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6.xml" ContentType="application/vnd.openxmlformats-officedocument.spreadsheetml.tab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https://d.docs.live.net/5e1a7edefa746d31/डेस्कटॉप/"/>
    </mc:Choice>
  </mc:AlternateContent>
  <xr:revisionPtr revIDLastSave="4104" documentId="13_ncr:1_{71EB65F7-8DCC-41B9-937A-B6B87B714AB1}" xr6:coauthVersionLast="47" xr6:coauthVersionMax="47" xr10:uidLastSave="{80477C31-DD9C-45A9-A0DB-C1F1FBF0845F}"/>
  <bookViews>
    <workbookView xWindow="-108" yWindow="-108" windowWidth="23256" windowHeight="12456" tabRatio="797" firstSheet="2" activeTab="2" xr2:uid="{38D620CB-1BB7-2444-A829-12B654074556}"/>
  </bookViews>
  <sheets>
    <sheet name="Ajustes" sheetId="1" state="hidden" r:id="rId1"/>
    <sheet name="Cálculos" sheetId="7" state="hidden" r:id="rId2"/>
    <sheet name="Presupuestos de Gastos" sheetId="11" r:id="rId3"/>
    <sheet name="Libro Diario" sheetId="4" r:id="rId4"/>
    <sheet name="Libro Mayor" sheetId="2" r:id="rId5"/>
    <sheet name="Dashboard I&amp;G" sheetId="6" r:id="rId6"/>
    <sheet name="Transacciones Inversión" sheetId="12" r:id="rId7"/>
    <sheet name="Cartera Inversión" sheetId="10" r:id="rId8"/>
    <sheet name="Dashboard Inversión" sheetId="14" r:id="rId9"/>
    <sheet name="Patrimonio" sheetId="8" r:id="rId10"/>
  </sheets>
  <definedNames>
    <definedName name="Ahorros_encabezados_fila">ROW(Ahorros[#Headers])</definedName>
    <definedName name="Ahorros_max_fila">MAX(ROW(Ahorros[]))</definedName>
    <definedName name="Ahorros_min_fila">MIN(ROW(Ahorros[]))</definedName>
    <definedName name="Ahorros_total_fila">ROW('Libro Mayor'!$C$48)</definedName>
    <definedName name="Año_de_inicio">Ajustes!$E$8</definedName>
    <definedName name="Cambio_Ingresos_tardios_dia_inicio">Ajustes!$E$18</definedName>
    <definedName name="Cambio_Ingresos_tardios_estatus">Ajustes!$E$16</definedName>
    <definedName name="CAPITALIZACIÓN_NOMBRES">OFFSET(Cálculos!$C$21,0,0,COUNTA(Cálculos!$C$21:$C$200))</definedName>
    <definedName name="CAPITALIZACIÓN_PORCENTAJE">OFFSET(Cálculos!$D$21,0,0,COUNTA(Cálculos!$D$21:$D$200))</definedName>
    <definedName name="DIVIDENDOS_EUROS">OFFSET(Cálculos!$M$21,0,0,COUNTA(Cálculos!$M$21:$M$200))</definedName>
    <definedName name="DIVIDENDOS_NOMBRES">OFFSET(Cálculos!$L$21,0,0,COUNTA(Cálculos!$L$21:$L$200))</definedName>
    <definedName name="Gastos_encabezados_fila">ROW(Gastos[#Headers])</definedName>
    <definedName name="Gastos_max_fila">MAX(ROW(Gastos[]))</definedName>
    <definedName name="Gastos_min_fila">MIN(ROW(Gastos[]))</definedName>
    <definedName name="Gastos_total_fila">ROW('Libro Mayor'!$C$35)</definedName>
    <definedName name="Ingresos_encabezados_fila">ROW(Ingresos[#Headers])</definedName>
    <definedName name="Ingresos_max_fila">MAX(ROW(Ingresos[]))</definedName>
    <definedName name="Ingresos_min_fila">MIN(ROW(Ingresos[]))</definedName>
    <definedName name="Ingresos_total_fila">ROW('Libro Mayor'!$C$20)</definedName>
    <definedName name="SECTOR_NOMBRE">OFFSET(Cálculos!$F$21,0,0,COUNTA(Cálculos!$F$21:$F$200))</definedName>
    <definedName name="SECTOR_PORCENTAJE">OFFSET(Cálculos!$G$21,0,0,COUNTA(Cálculos!$G$21:$G$200))</definedName>
    <definedName name="SIMBOLO_NOMBRE">OFFSET(Cálculos!$I$21,0,0,COUNTA(Cálculos!$I$21:$I$200))</definedName>
    <definedName name="SIMBOLO_PORCENTAJE">OFFSET(Cálculos!$J$21,0,0,COUNTA(Cálculos!$J$21:$J$200))</definedName>
    <definedName name="solver_eng" localSheetId="9" hidden="1">1</definedName>
    <definedName name="solver_lin" localSheetId="9" hidden="1">2</definedName>
    <definedName name="solver_neg" localSheetId="9" hidden="1">1</definedName>
    <definedName name="solver_num" localSheetId="9" hidden="1">0</definedName>
    <definedName name="solver_opt" localSheetId="9" hidden="1">Patrimonio!#REF!</definedName>
    <definedName name="solver_typ" localSheetId="9" hidden="1">1</definedName>
    <definedName name="solver_val" localSheetId="9" hidden="1">0</definedName>
    <definedName name="solver_ver" localSheetId="9" hidden="1">2</definedName>
  </definedNames>
  <calcPr calcId="191029"/>
  <pivotCaches>
    <pivotCache cacheId="0" r:id="rId11"/>
    <pivotCache cacheId="1"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O12" i="2" l="1"/>
  <c r="EP12" i="2"/>
  <c r="EQ12" i="2"/>
  <c r="ER12" i="2"/>
  <c r="ES12" i="2"/>
  <c r="ET12" i="2"/>
  <c r="EU12" i="2"/>
  <c r="EV12" i="2"/>
  <c r="EW12" i="2"/>
  <c r="EX12" i="2"/>
  <c r="EY12" i="2"/>
  <c r="EZ12" i="2"/>
  <c r="EO13" i="2"/>
  <c r="EP13" i="2"/>
  <c r="EQ13" i="2"/>
  <c r="ER13" i="2"/>
  <c r="ES13" i="2"/>
  <c r="ET13" i="2"/>
  <c r="EU13" i="2"/>
  <c r="EV13" i="2"/>
  <c r="EW13" i="2"/>
  <c r="EX13" i="2"/>
  <c r="EY13" i="2"/>
  <c r="EZ13" i="2"/>
  <c r="EO14" i="2"/>
  <c r="EP14" i="2"/>
  <c r="EQ14" i="2"/>
  <c r="ER14" i="2"/>
  <c r="ES14" i="2"/>
  <c r="ET14" i="2"/>
  <c r="EU14" i="2"/>
  <c r="EV14" i="2"/>
  <c r="EW14" i="2"/>
  <c r="EX14" i="2"/>
  <c r="EY14" i="2"/>
  <c r="EZ14" i="2"/>
  <c r="EO15" i="2"/>
  <c r="EP15" i="2"/>
  <c r="EQ15" i="2"/>
  <c r="ER15" i="2"/>
  <c r="ES15" i="2"/>
  <c r="ET15" i="2"/>
  <c r="EU15" i="2"/>
  <c r="EV15" i="2"/>
  <c r="EW15" i="2"/>
  <c r="EX15" i="2"/>
  <c r="EY15" i="2"/>
  <c r="EZ15" i="2"/>
  <c r="EO16" i="2"/>
  <c r="EP16" i="2"/>
  <c r="EQ16" i="2"/>
  <c r="ER16" i="2"/>
  <c r="ES16" i="2"/>
  <c r="ET16" i="2"/>
  <c r="EU16" i="2"/>
  <c r="EV16" i="2"/>
  <c r="EW16" i="2"/>
  <c r="EX16" i="2"/>
  <c r="EY16" i="2"/>
  <c r="EZ16" i="2"/>
  <c r="EO17" i="2"/>
  <c r="EP17" i="2"/>
  <c r="EQ17" i="2"/>
  <c r="ER17" i="2"/>
  <c r="ES17" i="2"/>
  <c r="ET17" i="2"/>
  <c r="EU17" i="2"/>
  <c r="EV17" i="2"/>
  <c r="EW17" i="2"/>
  <c r="EX17" i="2"/>
  <c r="EY17" i="2"/>
  <c r="EZ17" i="2"/>
  <c r="EO18" i="2"/>
  <c r="EP18" i="2"/>
  <c r="EQ18" i="2"/>
  <c r="ER18" i="2"/>
  <c r="ES18" i="2"/>
  <c r="ET18" i="2"/>
  <c r="EU18" i="2"/>
  <c r="EV18" i="2"/>
  <c r="EW18" i="2"/>
  <c r="EX18" i="2"/>
  <c r="EY18" i="2"/>
  <c r="EZ18" i="2"/>
  <c r="EO19" i="2"/>
  <c r="EP19" i="2"/>
  <c r="EQ19" i="2"/>
  <c r="ER19" i="2"/>
  <c r="ES19" i="2"/>
  <c r="ET19" i="2"/>
  <c r="EU19" i="2"/>
  <c r="EV19" i="2"/>
  <c r="EW19" i="2"/>
  <c r="EX19" i="2"/>
  <c r="EY19" i="2"/>
  <c r="EZ19" i="2"/>
  <c r="EO33" i="2"/>
  <c r="EP33" i="2"/>
  <c r="EQ33" i="2"/>
  <c r="ER33" i="2"/>
  <c r="ES33" i="2"/>
  <c r="ET33" i="2"/>
  <c r="EU33" i="2"/>
  <c r="EV33" i="2"/>
  <c r="EW33" i="2"/>
  <c r="EX33" i="2"/>
  <c r="EY33" i="2"/>
  <c r="EZ33" i="2"/>
  <c r="EA33" i="2"/>
  <c r="EB33" i="2"/>
  <c r="EC33" i="2"/>
  <c r="ED33" i="2"/>
  <c r="EE33" i="2"/>
  <c r="EF33" i="2"/>
  <c r="EG33" i="2"/>
  <c r="EH33" i="2"/>
  <c r="EI33" i="2"/>
  <c r="EJ33" i="2"/>
  <c r="EK33" i="2"/>
  <c r="EL33" i="2"/>
  <c r="DM33" i="2"/>
  <c r="DN33" i="2"/>
  <c r="DO33" i="2"/>
  <c r="DP33" i="2"/>
  <c r="DQ33" i="2"/>
  <c r="DR33" i="2"/>
  <c r="DS33" i="2"/>
  <c r="DT33" i="2"/>
  <c r="DU33" i="2"/>
  <c r="DV33" i="2"/>
  <c r="DW33" i="2"/>
  <c r="DX33" i="2"/>
  <c r="CY33" i="2"/>
  <c r="CZ33" i="2"/>
  <c r="DA33" i="2"/>
  <c r="DB33" i="2"/>
  <c r="DC33" i="2"/>
  <c r="DD33" i="2"/>
  <c r="DE33" i="2"/>
  <c r="DF33" i="2"/>
  <c r="DG33" i="2"/>
  <c r="DH33" i="2"/>
  <c r="DI33" i="2"/>
  <c r="DJ33" i="2"/>
  <c r="CK33" i="2"/>
  <c r="CL33" i="2"/>
  <c r="CM33" i="2"/>
  <c r="CN33" i="2"/>
  <c r="CO33" i="2"/>
  <c r="CP33" i="2"/>
  <c r="CQ33" i="2"/>
  <c r="CR33" i="2"/>
  <c r="CS33" i="2"/>
  <c r="CT33" i="2"/>
  <c r="CU33" i="2"/>
  <c r="CV33" i="2"/>
  <c r="BW33" i="2"/>
  <c r="BX33" i="2"/>
  <c r="BY33" i="2"/>
  <c r="BZ33" i="2"/>
  <c r="CA33" i="2"/>
  <c r="CB33" i="2"/>
  <c r="CC33" i="2"/>
  <c r="CD33" i="2"/>
  <c r="CE33" i="2"/>
  <c r="CF33" i="2"/>
  <c r="CG33" i="2"/>
  <c r="CH33" i="2"/>
  <c r="BI33" i="2"/>
  <c r="BJ33" i="2"/>
  <c r="BK33" i="2"/>
  <c r="BL33" i="2"/>
  <c r="BM33" i="2"/>
  <c r="BN33" i="2"/>
  <c r="BO33" i="2"/>
  <c r="BP33" i="2"/>
  <c r="BQ33" i="2"/>
  <c r="BR33" i="2"/>
  <c r="BS33" i="2"/>
  <c r="BT33" i="2"/>
  <c r="AU33" i="2"/>
  <c r="AV33" i="2"/>
  <c r="AW33" i="2"/>
  <c r="AX33" i="2"/>
  <c r="AY33" i="2"/>
  <c r="AZ33" i="2"/>
  <c r="BA33" i="2"/>
  <c r="BB33" i="2"/>
  <c r="BC33" i="2"/>
  <c r="BD33" i="2"/>
  <c r="BE33" i="2"/>
  <c r="BF33" i="2"/>
  <c r="AG33" i="2"/>
  <c r="AH33" i="2"/>
  <c r="AI33" i="2"/>
  <c r="AJ33" i="2"/>
  <c r="AK33" i="2"/>
  <c r="AL33" i="2"/>
  <c r="AM33" i="2"/>
  <c r="AN33" i="2"/>
  <c r="AO33" i="2"/>
  <c r="AP33" i="2"/>
  <c r="AQ33" i="2"/>
  <c r="AR33" i="2"/>
  <c r="E33" i="2"/>
  <c r="F33" i="2"/>
  <c r="G33" i="2"/>
  <c r="H33" i="2"/>
  <c r="I33" i="2"/>
  <c r="J33" i="2"/>
  <c r="K33" i="2"/>
  <c r="L33" i="2"/>
  <c r="M33" i="2"/>
  <c r="N33" i="2"/>
  <c r="O33" i="2"/>
  <c r="P33" i="2"/>
  <c r="H509" i="4"/>
  <c r="I509" i="4"/>
  <c r="B7" i="10" a="1"/>
  <c r="B7" i="10" s="1"/>
  <c r="C7" i="10" s="1" a="1"/>
  <c r="C7" i="10" s="1"/>
  <c r="H3" i="12"/>
  <c r="H508" i="4"/>
  <c r="I508" i="4"/>
  <c r="H507" i="4"/>
  <c r="I507" i="4"/>
  <c r="AS33" i="2" l="1"/>
  <c r="EM33" i="2"/>
  <c r="CI33" i="2"/>
  <c r="DY33" i="2"/>
  <c r="BU33" i="2"/>
  <c r="DK33" i="2"/>
  <c r="BG33" i="2"/>
  <c r="FA33" i="2"/>
  <c r="CW33" i="2"/>
  <c r="H7" i="10" a="1"/>
  <c r="H7" i="10" s="1"/>
  <c r="I7" i="10" s="1" a="1"/>
  <c r="I7" i="10" s="1"/>
  <c r="D7" i="10" a="1"/>
  <c r="D7" i="10" s="1"/>
  <c r="F7" i="10" a="1"/>
  <c r="F7" i="10" s="1"/>
  <c r="H506" i="4"/>
  <c r="I506" i="4"/>
  <c r="H505" i="4"/>
  <c r="I505" i="4"/>
  <c r="H504" i="4"/>
  <c r="I504" i="4"/>
  <c r="H503" i="4"/>
  <c r="I503" i="4"/>
  <c r="H502" i="4"/>
  <c r="I502" i="4"/>
  <c r="H501" i="4"/>
  <c r="I501" i="4"/>
  <c r="H500" i="4"/>
  <c r="I500" i="4"/>
  <c r="H499" i="4"/>
  <c r="I499" i="4"/>
  <c r="H498" i="4"/>
  <c r="I498" i="4"/>
  <c r="H497" i="4"/>
  <c r="I497" i="4"/>
  <c r="H496" i="4"/>
  <c r="I496" i="4"/>
  <c r="H495" i="4"/>
  <c r="I495" i="4"/>
  <c r="H494" i="4"/>
  <c r="I494" i="4"/>
  <c r="H493" i="4"/>
  <c r="I493" i="4"/>
  <c r="H492" i="4"/>
  <c r="I492" i="4"/>
  <c r="H491" i="4"/>
  <c r="I491" i="4"/>
  <c r="S33" i="2"/>
  <c r="T33" i="2"/>
  <c r="U33" i="2"/>
  <c r="V33" i="2"/>
  <c r="W33" i="2"/>
  <c r="X33" i="2"/>
  <c r="Y33" i="2"/>
  <c r="Z33" i="2"/>
  <c r="AA33" i="2"/>
  <c r="AB33" i="2"/>
  <c r="AC33" i="2"/>
  <c r="AD33" i="2"/>
  <c r="Q33" i="2"/>
  <c r="H490" i="4"/>
  <c r="I490" i="4"/>
  <c r="H489" i="4"/>
  <c r="I489" i="4"/>
  <c r="H488" i="4"/>
  <c r="I488" i="4"/>
  <c r="H487" i="4"/>
  <c r="I487" i="4"/>
  <c r="H486" i="4"/>
  <c r="I486" i="4"/>
  <c r="H485" i="4"/>
  <c r="I485" i="4"/>
  <c r="H484" i="4"/>
  <c r="I484" i="4"/>
  <c r="H483" i="4"/>
  <c r="I483" i="4"/>
  <c r="H482" i="4"/>
  <c r="I482" i="4"/>
  <c r="H481" i="4"/>
  <c r="I481" i="4"/>
  <c r="H480" i="4"/>
  <c r="I480" i="4"/>
  <c r="H479" i="4"/>
  <c r="I479" i="4"/>
  <c r="H478" i="4"/>
  <c r="I478" i="4"/>
  <c r="H477" i="4"/>
  <c r="I477" i="4"/>
  <c r="H476" i="4"/>
  <c r="I476" i="4"/>
  <c r="H472" i="4"/>
  <c r="I472" i="4"/>
  <c r="H473" i="4"/>
  <c r="I473" i="4"/>
  <c r="H475" i="4"/>
  <c r="I475" i="4"/>
  <c r="H474" i="4"/>
  <c r="I474" i="4"/>
  <c r="H471" i="4"/>
  <c r="I471" i="4"/>
  <c r="H470" i="4"/>
  <c r="I470" i="4"/>
  <c r="H469" i="4"/>
  <c r="I469" i="4"/>
  <c r="H468" i="4"/>
  <c r="I468" i="4"/>
  <c r="H467" i="4"/>
  <c r="I467" i="4"/>
  <c r="H466" i="4"/>
  <c r="I466" i="4"/>
  <c r="H465" i="4"/>
  <c r="I465" i="4"/>
  <c r="H464" i="4"/>
  <c r="I464" i="4"/>
  <c r="H463" i="4"/>
  <c r="I463" i="4"/>
  <c r="H462" i="4"/>
  <c r="I462" i="4"/>
  <c r="H461" i="4"/>
  <c r="I461" i="4"/>
  <c r="H460" i="4"/>
  <c r="I460" i="4"/>
  <c r="H459" i="4"/>
  <c r="I459" i="4"/>
  <c r="H458" i="4"/>
  <c r="I458" i="4"/>
  <c r="H457" i="4"/>
  <c r="I457" i="4"/>
  <c r="H456" i="4"/>
  <c r="I456" i="4"/>
  <c r="H455" i="4"/>
  <c r="I455" i="4"/>
  <c r="H454" i="4"/>
  <c r="I454" i="4"/>
  <c r="H453" i="4"/>
  <c r="I453" i="4"/>
  <c r="H452" i="4"/>
  <c r="I452" i="4"/>
  <c r="H451" i="4"/>
  <c r="I451" i="4"/>
  <c r="H450" i="4"/>
  <c r="I450" i="4"/>
  <c r="H449" i="4"/>
  <c r="I449" i="4"/>
  <c r="H448" i="4"/>
  <c r="I448" i="4"/>
  <c r="H447" i="4"/>
  <c r="I447" i="4"/>
  <c r="H446" i="4"/>
  <c r="I446" i="4"/>
  <c r="H445" i="4"/>
  <c r="I445" i="4"/>
  <c r="H444" i="4"/>
  <c r="I444" i="4"/>
  <c r="H443" i="4"/>
  <c r="I443" i="4"/>
  <c r="H442" i="4"/>
  <c r="I442" i="4"/>
  <c r="H441" i="4"/>
  <c r="I441" i="4"/>
  <c r="H440" i="4"/>
  <c r="I440" i="4"/>
  <c r="H439" i="4"/>
  <c r="I439" i="4"/>
  <c r="H438" i="4"/>
  <c r="I438" i="4"/>
  <c r="H437" i="4"/>
  <c r="I437" i="4"/>
  <c r="H436" i="4"/>
  <c r="I436" i="4"/>
  <c r="H435" i="4"/>
  <c r="I435" i="4"/>
  <c r="H434" i="4"/>
  <c r="I434" i="4"/>
  <c r="H433" i="4"/>
  <c r="I433" i="4"/>
  <c r="H432" i="4"/>
  <c r="I432" i="4"/>
  <c r="H431" i="4"/>
  <c r="I431" i="4"/>
  <c r="H430" i="4"/>
  <c r="I430" i="4"/>
  <c r="H429" i="4"/>
  <c r="I429" i="4"/>
  <c r="H428" i="4"/>
  <c r="I428" i="4"/>
  <c r="H427" i="4"/>
  <c r="I427" i="4"/>
  <c r="H426" i="4"/>
  <c r="I426" i="4"/>
  <c r="H425" i="4"/>
  <c r="I425" i="4"/>
  <c r="H424" i="4"/>
  <c r="I424" i="4"/>
  <c r="H423" i="4"/>
  <c r="I423" i="4"/>
  <c r="H422" i="4"/>
  <c r="I422" i="4"/>
  <c r="H421" i="4"/>
  <c r="I421" i="4"/>
  <c r="H420" i="4"/>
  <c r="I420" i="4"/>
  <c r="H419" i="4"/>
  <c r="I419" i="4"/>
  <c r="H418" i="4"/>
  <c r="I418" i="4"/>
  <c r="H417" i="4"/>
  <c r="I417" i="4"/>
  <c r="H416" i="4"/>
  <c r="I416" i="4"/>
  <c r="H415" i="4"/>
  <c r="I415" i="4"/>
  <c r="H414" i="4"/>
  <c r="I414" i="4"/>
  <c r="H413" i="4"/>
  <c r="I413" i="4"/>
  <c r="H412" i="4"/>
  <c r="I412" i="4"/>
  <c r="H411" i="4"/>
  <c r="I411" i="4"/>
  <c r="H410" i="4"/>
  <c r="I410" i="4"/>
  <c r="H409" i="4"/>
  <c r="I409" i="4"/>
  <c r="H408" i="4"/>
  <c r="I408" i="4"/>
  <c r="H407" i="4"/>
  <c r="I407" i="4"/>
  <c r="H406" i="4"/>
  <c r="I406" i="4"/>
  <c r="H405" i="4"/>
  <c r="I405" i="4"/>
  <c r="H404" i="4"/>
  <c r="I404" i="4"/>
  <c r="H403" i="4"/>
  <c r="I403" i="4"/>
  <c r="H402" i="4"/>
  <c r="I402" i="4"/>
  <c r="H401" i="4"/>
  <c r="I401" i="4"/>
  <c r="H400" i="4"/>
  <c r="I400" i="4"/>
  <c r="H399" i="4"/>
  <c r="I399" i="4"/>
  <c r="H398" i="4"/>
  <c r="I398" i="4"/>
  <c r="H397" i="4"/>
  <c r="I397" i="4"/>
  <c r="H396" i="4"/>
  <c r="I396" i="4"/>
  <c r="H395" i="4"/>
  <c r="I395" i="4"/>
  <c r="H394" i="4"/>
  <c r="I394" i="4"/>
  <c r="H393" i="4"/>
  <c r="I393" i="4"/>
  <c r="H392" i="4"/>
  <c r="I392" i="4"/>
  <c r="H391" i="4"/>
  <c r="I391" i="4"/>
  <c r="H390" i="4"/>
  <c r="I390" i="4"/>
  <c r="H389" i="4"/>
  <c r="I389" i="4"/>
  <c r="H388" i="4"/>
  <c r="I388" i="4"/>
  <c r="H387" i="4"/>
  <c r="I387" i="4"/>
  <c r="H386" i="4"/>
  <c r="I386" i="4"/>
  <c r="H385" i="4"/>
  <c r="I385" i="4"/>
  <c r="H384" i="4"/>
  <c r="I384" i="4"/>
  <c r="H383" i="4"/>
  <c r="I383" i="4"/>
  <c r="H382" i="4"/>
  <c r="I382" i="4"/>
  <c r="H381" i="4"/>
  <c r="I381" i="4"/>
  <c r="H380" i="4"/>
  <c r="I380" i="4"/>
  <c r="H379" i="4"/>
  <c r="I379" i="4"/>
  <c r="H378" i="4"/>
  <c r="I378" i="4"/>
  <c r="H377" i="4"/>
  <c r="I377" i="4"/>
  <c r="H376" i="4"/>
  <c r="I376" i="4"/>
  <c r="H375" i="4"/>
  <c r="I375" i="4"/>
  <c r="H374" i="4"/>
  <c r="I374" i="4"/>
  <c r="H373" i="4"/>
  <c r="I373" i="4"/>
  <c r="H372" i="4"/>
  <c r="I372" i="4"/>
  <c r="H371" i="4"/>
  <c r="I371" i="4"/>
  <c r="H370" i="4"/>
  <c r="I370" i="4"/>
  <c r="H369" i="4"/>
  <c r="I369" i="4"/>
  <c r="H368" i="4"/>
  <c r="I368" i="4"/>
  <c r="H367" i="4"/>
  <c r="I367" i="4"/>
  <c r="H366" i="4"/>
  <c r="I366" i="4"/>
  <c r="H365" i="4"/>
  <c r="I365" i="4"/>
  <c r="H364" i="4"/>
  <c r="I364" i="4"/>
  <c r="H363" i="4"/>
  <c r="I363" i="4"/>
  <c r="H362" i="4"/>
  <c r="I362" i="4"/>
  <c r="H361" i="4"/>
  <c r="I361" i="4"/>
  <c r="H360" i="4"/>
  <c r="I360" i="4"/>
  <c r="H359" i="4"/>
  <c r="I359" i="4"/>
  <c r="H358" i="4"/>
  <c r="I358" i="4"/>
  <c r="H357" i="4"/>
  <c r="I357" i="4"/>
  <c r="H356" i="4"/>
  <c r="I356" i="4"/>
  <c r="H355" i="4"/>
  <c r="I355" i="4"/>
  <c r="H354" i="4"/>
  <c r="I354" i="4"/>
  <c r="H353" i="4"/>
  <c r="I353" i="4"/>
  <c r="H352" i="4"/>
  <c r="I352" i="4"/>
  <c r="H351" i="4"/>
  <c r="I351" i="4"/>
  <c r="H350" i="4"/>
  <c r="I350" i="4"/>
  <c r="H349" i="4"/>
  <c r="I349" i="4"/>
  <c r="H348" i="4"/>
  <c r="I348" i="4"/>
  <c r="H347" i="4"/>
  <c r="I347" i="4"/>
  <c r="H346" i="4"/>
  <c r="I346" i="4"/>
  <c r="H345" i="4"/>
  <c r="I345" i="4"/>
  <c r="H344" i="4"/>
  <c r="I344" i="4"/>
  <c r="H343" i="4"/>
  <c r="I343" i="4"/>
  <c r="H342" i="4"/>
  <c r="I342" i="4"/>
  <c r="H341" i="4"/>
  <c r="I341" i="4"/>
  <c r="H340" i="4"/>
  <c r="I340" i="4"/>
  <c r="H339" i="4"/>
  <c r="I339" i="4"/>
  <c r="H338" i="4"/>
  <c r="I338" i="4"/>
  <c r="H337" i="4"/>
  <c r="I337" i="4"/>
  <c r="H336" i="4"/>
  <c r="I336" i="4"/>
  <c r="H335" i="4"/>
  <c r="I335" i="4"/>
  <c r="H334" i="4"/>
  <c r="I334" i="4"/>
  <c r="H333" i="4"/>
  <c r="I333" i="4"/>
  <c r="H332" i="4"/>
  <c r="I332" i="4"/>
  <c r="H331" i="4"/>
  <c r="I331" i="4"/>
  <c r="H330" i="4"/>
  <c r="I330" i="4"/>
  <c r="H329" i="4"/>
  <c r="I329" i="4"/>
  <c r="H328" i="4"/>
  <c r="I328" i="4"/>
  <c r="H327" i="4"/>
  <c r="I327" i="4"/>
  <c r="H326" i="4"/>
  <c r="I326" i="4"/>
  <c r="H325" i="4"/>
  <c r="I325" i="4"/>
  <c r="H324" i="4"/>
  <c r="I324" i="4"/>
  <c r="H323" i="4"/>
  <c r="I323" i="4"/>
  <c r="H322" i="4"/>
  <c r="I322" i="4"/>
  <c r="H321" i="4"/>
  <c r="I321" i="4"/>
  <c r="H320" i="4"/>
  <c r="I320" i="4"/>
  <c r="H319" i="4"/>
  <c r="I319" i="4"/>
  <c r="H318" i="4"/>
  <c r="I318" i="4"/>
  <c r="H317" i="4"/>
  <c r="I317" i="4"/>
  <c r="H316" i="4"/>
  <c r="I316" i="4"/>
  <c r="H315" i="4"/>
  <c r="I315" i="4"/>
  <c r="H314" i="4"/>
  <c r="I314" i="4"/>
  <c r="H313" i="4"/>
  <c r="I313" i="4"/>
  <c r="H312" i="4"/>
  <c r="I312" i="4"/>
  <c r="H311" i="4"/>
  <c r="I311" i="4"/>
  <c r="H310" i="4"/>
  <c r="I310" i="4"/>
  <c r="H309" i="4"/>
  <c r="I309" i="4"/>
  <c r="H308" i="4"/>
  <c r="I308" i="4"/>
  <c r="H307" i="4"/>
  <c r="I307" i="4"/>
  <c r="H306" i="4"/>
  <c r="I306" i="4"/>
  <c r="H305" i="4"/>
  <c r="I305" i="4"/>
  <c r="H304" i="4"/>
  <c r="I304" i="4"/>
  <c r="H303" i="4"/>
  <c r="I303" i="4"/>
  <c r="H302" i="4"/>
  <c r="I302" i="4"/>
  <c r="H301" i="4"/>
  <c r="I301" i="4"/>
  <c r="H300" i="4"/>
  <c r="I300" i="4"/>
  <c r="H299" i="4"/>
  <c r="I299" i="4"/>
  <c r="H298" i="4"/>
  <c r="I298" i="4"/>
  <c r="H297" i="4"/>
  <c r="I297" i="4"/>
  <c r="H296" i="4"/>
  <c r="I296" i="4"/>
  <c r="H295" i="4"/>
  <c r="I295" i="4"/>
  <c r="H294" i="4"/>
  <c r="I294" i="4"/>
  <c r="H293" i="4"/>
  <c r="I293" i="4"/>
  <c r="H292" i="4"/>
  <c r="I292" i="4"/>
  <c r="H291" i="4"/>
  <c r="I291" i="4"/>
  <c r="H290" i="4"/>
  <c r="I290" i="4"/>
  <c r="H289" i="4"/>
  <c r="I289" i="4"/>
  <c r="H288" i="4"/>
  <c r="I288" i="4"/>
  <c r="H287" i="4"/>
  <c r="I287" i="4"/>
  <c r="H286" i="4"/>
  <c r="I286" i="4"/>
  <c r="H285" i="4"/>
  <c r="I285" i="4"/>
  <c r="H284" i="4"/>
  <c r="I284" i="4"/>
  <c r="H283" i="4"/>
  <c r="I283" i="4"/>
  <c r="H282" i="4"/>
  <c r="I282" i="4"/>
  <c r="H281" i="4"/>
  <c r="I281" i="4"/>
  <c r="H280" i="4"/>
  <c r="I280" i="4"/>
  <c r="H279" i="4"/>
  <c r="I279" i="4"/>
  <c r="H278" i="4"/>
  <c r="I278" i="4"/>
  <c r="H277" i="4"/>
  <c r="I277" i="4"/>
  <c r="H276" i="4"/>
  <c r="I276" i="4"/>
  <c r="H275" i="4"/>
  <c r="I275" i="4"/>
  <c r="H274" i="4"/>
  <c r="I274" i="4"/>
  <c r="H273" i="4"/>
  <c r="I273" i="4"/>
  <c r="H272" i="4"/>
  <c r="I272" i="4"/>
  <c r="H271" i="4"/>
  <c r="I271" i="4"/>
  <c r="H270" i="4"/>
  <c r="I270" i="4"/>
  <c r="H269" i="4"/>
  <c r="I269" i="4"/>
  <c r="H268" i="4"/>
  <c r="I268" i="4"/>
  <c r="H267" i="4"/>
  <c r="I267" i="4"/>
  <c r="H264" i="4"/>
  <c r="I264" i="4"/>
  <c r="H266" i="4"/>
  <c r="I266" i="4"/>
  <c r="H265" i="4"/>
  <c r="I265" i="4"/>
  <c r="H263" i="4"/>
  <c r="I263" i="4"/>
  <c r="H258" i="4"/>
  <c r="I258" i="4"/>
  <c r="H260" i="4"/>
  <c r="I260" i="4"/>
  <c r="H255" i="4"/>
  <c r="I255" i="4"/>
  <c r="H262" i="4"/>
  <c r="I262" i="4"/>
  <c r="H261" i="4"/>
  <c r="I261" i="4"/>
  <c r="H259" i="4"/>
  <c r="I259" i="4"/>
  <c r="H257" i="4"/>
  <c r="I257" i="4"/>
  <c r="H256" i="4"/>
  <c r="I256" i="4"/>
  <c r="H254" i="4"/>
  <c r="I254" i="4"/>
  <c r="H253" i="4"/>
  <c r="I253" i="4"/>
  <c r="H252" i="4"/>
  <c r="I252" i="4"/>
  <c r="H251" i="4"/>
  <c r="I251" i="4"/>
  <c r="H250" i="4"/>
  <c r="I250" i="4"/>
  <c r="H249" i="4"/>
  <c r="I249" i="4"/>
  <c r="H248" i="4"/>
  <c r="I248" i="4"/>
  <c r="H247" i="4"/>
  <c r="I247" i="4"/>
  <c r="H246" i="4"/>
  <c r="I246" i="4"/>
  <c r="H245" i="4"/>
  <c r="I245" i="4"/>
  <c r="H244" i="4"/>
  <c r="I244" i="4"/>
  <c r="H243" i="4"/>
  <c r="I243" i="4"/>
  <c r="H242" i="4"/>
  <c r="I242" i="4"/>
  <c r="H241" i="4"/>
  <c r="I241" i="4"/>
  <c r="H240" i="4"/>
  <c r="I240" i="4"/>
  <c r="H239" i="4"/>
  <c r="I239" i="4"/>
  <c r="H238" i="4"/>
  <c r="I238" i="4"/>
  <c r="H237" i="4"/>
  <c r="I237" i="4"/>
  <c r="H236" i="4"/>
  <c r="I236" i="4"/>
  <c r="H235" i="4"/>
  <c r="I235" i="4"/>
  <c r="H234" i="4"/>
  <c r="I234" i="4"/>
  <c r="H233" i="4"/>
  <c r="I233" i="4"/>
  <c r="H232" i="4"/>
  <c r="I232" i="4"/>
  <c r="H231" i="4"/>
  <c r="I231" i="4"/>
  <c r="H230" i="4"/>
  <c r="I230" i="4"/>
  <c r="H229" i="4"/>
  <c r="I229" i="4"/>
  <c r="H228" i="4"/>
  <c r="I228" i="4"/>
  <c r="H227" i="4"/>
  <c r="I227" i="4"/>
  <c r="H226" i="4"/>
  <c r="I226" i="4"/>
  <c r="H225" i="4"/>
  <c r="I225" i="4"/>
  <c r="H224" i="4"/>
  <c r="I224" i="4"/>
  <c r="H223" i="4"/>
  <c r="I223" i="4"/>
  <c r="H222" i="4"/>
  <c r="I222" i="4"/>
  <c r="H221" i="4"/>
  <c r="I221" i="4"/>
  <c r="H220" i="4"/>
  <c r="I220" i="4"/>
  <c r="H219" i="4"/>
  <c r="I219" i="4"/>
  <c r="H218" i="4"/>
  <c r="I218" i="4"/>
  <c r="H217" i="4"/>
  <c r="I217" i="4"/>
  <c r="H216" i="4"/>
  <c r="I216" i="4"/>
  <c r="H215" i="4"/>
  <c r="I215" i="4"/>
  <c r="H214" i="4"/>
  <c r="I214" i="4"/>
  <c r="H213" i="4"/>
  <c r="I213" i="4"/>
  <c r="H212" i="4"/>
  <c r="I212" i="4"/>
  <c r="H211" i="4"/>
  <c r="I211" i="4"/>
  <c r="H210" i="4"/>
  <c r="I210" i="4"/>
  <c r="H209" i="4"/>
  <c r="I209" i="4"/>
  <c r="H208" i="4"/>
  <c r="I208" i="4"/>
  <c r="H207" i="4"/>
  <c r="I207" i="4"/>
  <c r="H206" i="4"/>
  <c r="I206" i="4"/>
  <c r="H205" i="4"/>
  <c r="I205" i="4"/>
  <c r="H204" i="4"/>
  <c r="I204" i="4"/>
  <c r="H203" i="4"/>
  <c r="I203" i="4"/>
  <c r="H202" i="4"/>
  <c r="I202" i="4"/>
  <c r="H201" i="4"/>
  <c r="I201" i="4"/>
  <c r="H200" i="4"/>
  <c r="I200" i="4"/>
  <c r="H199" i="4"/>
  <c r="I199" i="4"/>
  <c r="H198" i="4"/>
  <c r="I198" i="4"/>
  <c r="H197" i="4"/>
  <c r="I197" i="4"/>
  <c r="H196" i="4"/>
  <c r="I196" i="4"/>
  <c r="H195" i="4"/>
  <c r="I195" i="4"/>
  <c r="H194" i="4"/>
  <c r="I194" i="4"/>
  <c r="H193" i="4"/>
  <c r="I193" i="4"/>
  <c r="H192" i="4"/>
  <c r="I192" i="4"/>
  <c r="H191" i="4"/>
  <c r="I191" i="4"/>
  <c r="H190" i="4"/>
  <c r="I190" i="4"/>
  <c r="H189" i="4"/>
  <c r="I189" i="4"/>
  <c r="H188" i="4"/>
  <c r="I188" i="4"/>
  <c r="H187" i="4"/>
  <c r="I187" i="4"/>
  <c r="H186" i="4"/>
  <c r="I186" i="4"/>
  <c r="Q40" i="2"/>
  <c r="AE40" i="2"/>
  <c r="AS40" i="2"/>
  <c r="BG40" i="2"/>
  <c r="BU40" i="2"/>
  <c r="CI40" i="2"/>
  <c r="CW40" i="2"/>
  <c r="DK40" i="2"/>
  <c r="DY40" i="2"/>
  <c r="EM40" i="2"/>
  <c r="FA40" i="2"/>
  <c r="Q41" i="2"/>
  <c r="AE41" i="2"/>
  <c r="AS41" i="2"/>
  <c r="BG41" i="2"/>
  <c r="BU41" i="2"/>
  <c r="CI41" i="2"/>
  <c r="CW41" i="2"/>
  <c r="DK41" i="2"/>
  <c r="DY41" i="2"/>
  <c r="EM41" i="2"/>
  <c r="FA41" i="2"/>
  <c r="Q42" i="2"/>
  <c r="AE42" i="2"/>
  <c r="AS42" i="2"/>
  <c r="BG42" i="2"/>
  <c r="BU42" i="2"/>
  <c r="CI42" i="2"/>
  <c r="CW42" i="2"/>
  <c r="DK42" i="2"/>
  <c r="DY42" i="2"/>
  <c r="EM42" i="2"/>
  <c r="FA42" i="2"/>
  <c r="Q43" i="2"/>
  <c r="AE43" i="2"/>
  <c r="AS43" i="2"/>
  <c r="BG43" i="2"/>
  <c r="BU43" i="2"/>
  <c r="CI43" i="2"/>
  <c r="CW43" i="2"/>
  <c r="DK43" i="2"/>
  <c r="DY43" i="2"/>
  <c r="EM43" i="2"/>
  <c r="FA43" i="2"/>
  <c r="Q44" i="2"/>
  <c r="AE44" i="2"/>
  <c r="AS44" i="2"/>
  <c r="BG44" i="2"/>
  <c r="BU44" i="2"/>
  <c r="CI44" i="2"/>
  <c r="CW44" i="2"/>
  <c r="DK44" i="2"/>
  <c r="DY44" i="2"/>
  <c r="EM44" i="2"/>
  <c r="FA44" i="2"/>
  <c r="Q45" i="2"/>
  <c r="AE45" i="2"/>
  <c r="AS45" i="2"/>
  <c r="BG45" i="2"/>
  <c r="BU45" i="2"/>
  <c r="CI45" i="2"/>
  <c r="CW45" i="2"/>
  <c r="DK45" i="2"/>
  <c r="DY45" i="2"/>
  <c r="EM45" i="2"/>
  <c r="FA45" i="2"/>
  <c r="Q46" i="2"/>
  <c r="AE46" i="2"/>
  <c r="AS46" i="2"/>
  <c r="BG46" i="2"/>
  <c r="BU46" i="2"/>
  <c r="CI46" i="2"/>
  <c r="CW46" i="2"/>
  <c r="DK46" i="2"/>
  <c r="DY46" i="2"/>
  <c r="EM46" i="2"/>
  <c r="FA46" i="2"/>
  <c r="Q47" i="2"/>
  <c r="AE47" i="2"/>
  <c r="AS47" i="2"/>
  <c r="BG47" i="2"/>
  <c r="BU47" i="2"/>
  <c r="CI47" i="2"/>
  <c r="CW47" i="2"/>
  <c r="DK47" i="2"/>
  <c r="DY47" i="2"/>
  <c r="EM47" i="2"/>
  <c r="FA47" i="2"/>
  <c r="H185" i="4"/>
  <c r="I185" i="4"/>
  <c r="H184" i="4"/>
  <c r="I184" i="4"/>
  <c r="H183" i="4"/>
  <c r="I183" i="4"/>
  <c r="H182" i="4"/>
  <c r="I182" i="4"/>
  <c r="H181" i="4"/>
  <c r="I181" i="4"/>
  <c r="H180" i="4"/>
  <c r="I180" i="4"/>
  <c r="H179" i="4"/>
  <c r="I179" i="4"/>
  <c r="H178" i="4"/>
  <c r="I178" i="4"/>
  <c r="H177" i="4"/>
  <c r="I177" i="4"/>
  <c r="H176" i="4"/>
  <c r="I176" i="4"/>
  <c r="H175" i="4"/>
  <c r="I175" i="4"/>
  <c r="H174" i="4"/>
  <c r="I174" i="4"/>
  <c r="H173" i="4"/>
  <c r="I173" i="4"/>
  <c r="H170" i="4"/>
  <c r="I170" i="4"/>
  <c r="H167" i="4"/>
  <c r="I167" i="4"/>
  <c r="H168" i="4"/>
  <c r="I168" i="4"/>
  <c r="H169" i="4"/>
  <c r="I169" i="4"/>
  <c r="H172" i="4"/>
  <c r="I172" i="4"/>
  <c r="H171" i="4"/>
  <c r="I171" i="4"/>
  <c r="H166" i="4"/>
  <c r="I166" i="4"/>
  <c r="H165" i="4"/>
  <c r="I165" i="4"/>
  <c r="H164" i="4"/>
  <c r="I164" i="4"/>
  <c r="H163" i="4"/>
  <c r="I163" i="4"/>
  <c r="H162" i="4"/>
  <c r="I162" i="4"/>
  <c r="H161" i="4"/>
  <c r="I161" i="4"/>
  <c r="H160" i="4"/>
  <c r="I160" i="4"/>
  <c r="H159" i="4"/>
  <c r="I159" i="4"/>
  <c r="H158" i="4"/>
  <c r="I158" i="4"/>
  <c r="H157" i="4"/>
  <c r="I157" i="4"/>
  <c r="H156" i="4"/>
  <c r="I156" i="4"/>
  <c r="H155" i="4"/>
  <c r="I155" i="4"/>
  <c r="H154" i="4"/>
  <c r="I154" i="4"/>
  <c r="H153" i="4"/>
  <c r="I153" i="4"/>
  <c r="H152" i="4"/>
  <c r="I152" i="4"/>
  <c r="H151" i="4"/>
  <c r="I151" i="4"/>
  <c r="H150" i="4"/>
  <c r="I150" i="4"/>
  <c r="H149" i="4"/>
  <c r="I149" i="4"/>
  <c r="H148" i="4"/>
  <c r="I148" i="4"/>
  <c r="H147" i="4"/>
  <c r="I147" i="4"/>
  <c r="H146" i="4"/>
  <c r="I146" i="4"/>
  <c r="H145" i="4"/>
  <c r="I145" i="4"/>
  <c r="H144" i="4"/>
  <c r="I144" i="4"/>
  <c r="H143" i="4"/>
  <c r="I143" i="4"/>
  <c r="H142" i="4"/>
  <c r="I142" i="4"/>
  <c r="H141" i="4"/>
  <c r="I141" i="4"/>
  <c r="H140" i="4"/>
  <c r="I140" i="4"/>
  <c r="H139" i="4"/>
  <c r="I139" i="4"/>
  <c r="H138" i="4"/>
  <c r="I138" i="4"/>
  <c r="H137" i="4"/>
  <c r="I137" i="4"/>
  <c r="H136" i="4"/>
  <c r="I136" i="4"/>
  <c r="H132" i="4"/>
  <c r="I132" i="4"/>
  <c r="H135" i="4"/>
  <c r="I135" i="4"/>
  <c r="H134" i="4"/>
  <c r="I134" i="4"/>
  <c r="C22" i="11"/>
  <c r="H133" i="4"/>
  <c r="I133"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H131" i="4"/>
  <c r="H130" i="4"/>
  <c r="H129" i="4"/>
  <c r="H128"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I8" i="7"/>
  <c r="I9" i="7"/>
  <c r="I10" i="7"/>
  <c r="I11" i="7"/>
  <c r="I12" i="7"/>
  <c r="I13" i="7"/>
  <c r="I14" i="7"/>
  <c r="I15" i="7"/>
  <c r="I16" i="7"/>
  <c r="I17" i="7"/>
  <c r="I18" i="7"/>
  <c r="I7" i="7"/>
  <c r="D11" i="7"/>
  <c r="D9" i="7"/>
  <c r="D8" i="7"/>
  <c r="E5" i="2"/>
  <c r="H9" i="2" s="1"/>
  <c r="H32" i="2" s="1"/>
  <c r="L21" i="7" l="1" a="1"/>
  <c r="L21" i="7" s="1"/>
  <c r="D16" i="11"/>
  <c r="E16" i="11" s="1"/>
  <c r="D20" i="11"/>
  <c r="E20" i="11" s="1"/>
  <c r="AE33" i="2"/>
  <c r="H31" i="2"/>
  <c r="H30" i="2"/>
  <c r="D19" i="11"/>
  <c r="E19" i="11" s="1"/>
  <c r="H34" i="2"/>
  <c r="D18" i="11"/>
  <c r="E18" i="11" s="1"/>
  <c r="D12" i="11"/>
  <c r="E12" i="11" s="1"/>
  <c r="D17" i="11"/>
  <c r="E17" i="11" s="1"/>
  <c r="D21" i="11"/>
  <c r="E21" i="11" s="1"/>
  <c r="D15" i="11"/>
  <c r="E15" i="11" s="1"/>
  <c r="D11" i="11"/>
  <c r="E11" i="11" s="1"/>
  <c r="D14" i="11"/>
  <c r="E14" i="11" s="1"/>
  <c r="D13" i="11"/>
  <c r="E13" i="11" s="1"/>
  <c r="D10" i="11"/>
  <c r="E10" i="11" s="1"/>
  <c r="H12" i="2"/>
  <c r="O9" i="2"/>
  <c r="K9" i="2"/>
  <c r="G9" i="2"/>
  <c r="N9" i="2"/>
  <c r="J9" i="2"/>
  <c r="F9" i="2"/>
  <c r="Q9" i="2"/>
  <c r="M9" i="2"/>
  <c r="I9" i="2"/>
  <c r="E9" i="2"/>
  <c r="P9" i="2"/>
  <c r="L9" i="2"/>
  <c r="H29" i="2"/>
  <c r="D10" i="7"/>
  <c r="S5" i="2"/>
  <c r="AD9" i="2" s="1"/>
  <c r="Q37" i="2"/>
  <c r="J37" i="2"/>
  <c r="L22" i="2"/>
  <c r="E37" i="2"/>
  <c r="I37" i="2"/>
  <c r="K22" i="2"/>
  <c r="P37" i="2"/>
  <c r="P22" i="2"/>
  <c r="H22" i="2"/>
  <c r="G22" i="2"/>
  <c r="Q22" i="2"/>
  <c r="O22" i="2"/>
  <c r="N37" i="2"/>
  <c r="E22" i="2"/>
  <c r="I22" i="2"/>
  <c r="M22" i="2"/>
  <c r="F37" i="2"/>
  <c r="L37" i="2"/>
  <c r="F22" i="2"/>
  <c r="J22" i="2"/>
  <c r="N22" i="2"/>
  <c r="H37" i="2"/>
  <c r="M37" i="2"/>
  <c r="G37" i="2"/>
  <c r="K37" i="2"/>
  <c r="O37" i="2"/>
  <c r="O7" i="10" l="1" a="1"/>
  <c r="O7" i="10" s="1"/>
  <c r="M21" i="7" s="1" a="1"/>
  <c r="M21" i="7" s="1"/>
  <c r="F21" i="7" a="1"/>
  <c r="F21" i="7" s="1"/>
  <c r="G7" i="10" a="1"/>
  <c r="G7" i="10" s="1"/>
  <c r="M7" i="10" a="1"/>
  <c r="M7" i="10" s="1"/>
  <c r="I21" i="7" a="1"/>
  <c r="I21" i="7" s="1"/>
  <c r="AD32" i="2"/>
  <c r="AD31" i="2"/>
  <c r="AD34" i="2"/>
  <c r="AD30" i="2"/>
  <c r="I30" i="2"/>
  <c r="I31" i="2"/>
  <c r="J30" i="2"/>
  <c r="J31" i="2"/>
  <c r="O30" i="2"/>
  <c r="O31" i="2"/>
  <c r="L30" i="2"/>
  <c r="L31" i="2"/>
  <c r="M30" i="2"/>
  <c r="M31" i="2"/>
  <c r="N30" i="2"/>
  <c r="N31" i="2"/>
  <c r="P30" i="2"/>
  <c r="P31" i="2"/>
  <c r="G30" i="2"/>
  <c r="G31" i="2"/>
  <c r="E30" i="2"/>
  <c r="E31" i="2"/>
  <c r="F30" i="2"/>
  <c r="F31" i="2"/>
  <c r="K30" i="2"/>
  <c r="K31" i="2"/>
  <c r="L29" i="2"/>
  <c r="L32" i="2"/>
  <c r="L34" i="2"/>
  <c r="M32" i="2"/>
  <c r="M34" i="2"/>
  <c r="N32" i="2"/>
  <c r="N34" i="2"/>
  <c r="P32" i="2"/>
  <c r="P34" i="2"/>
  <c r="G34" i="2"/>
  <c r="G12" i="2"/>
  <c r="G32" i="2"/>
  <c r="E32" i="2"/>
  <c r="E34" i="2"/>
  <c r="F32" i="2"/>
  <c r="F34" i="2"/>
  <c r="K34" i="2"/>
  <c r="K32" i="2"/>
  <c r="I32" i="2"/>
  <c r="I34" i="2"/>
  <c r="J32" i="2"/>
  <c r="J34" i="2"/>
  <c r="O32" i="2"/>
  <c r="O34" i="2"/>
  <c r="D22" i="11"/>
  <c r="E22" i="11" s="1"/>
  <c r="P12" i="2"/>
  <c r="G29" i="2"/>
  <c r="E29" i="2"/>
  <c r="E12" i="2"/>
  <c r="E10" i="2"/>
  <c r="F29" i="2"/>
  <c r="F12" i="2"/>
  <c r="K29" i="2"/>
  <c r="K12" i="2"/>
  <c r="L10" i="2"/>
  <c r="L12" i="2"/>
  <c r="M12" i="2"/>
  <c r="M29" i="2"/>
  <c r="N12" i="2"/>
  <c r="N29" i="2"/>
  <c r="AD29" i="2"/>
  <c r="P29" i="2"/>
  <c r="I12" i="2"/>
  <c r="I29" i="2"/>
  <c r="J29" i="2"/>
  <c r="J12" i="2"/>
  <c r="O29" i="2"/>
  <c r="O12" i="2"/>
  <c r="Z9" i="2"/>
  <c r="Z18" i="2" s="1"/>
  <c r="J26" i="2"/>
  <c r="J11" i="2"/>
  <c r="J28" i="2"/>
  <c r="J27" i="2"/>
  <c r="J10" i="2"/>
  <c r="J24" i="2"/>
  <c r="J23" i="2"/>
  <c r="J25" i="2"/>
  <c r="K25" i="2"/>
  <c r="K23" i="2"/>
  <c r="K10" i="2"/>
  <c r="K11" i="2"/>
  <c r="K26" i="2"/>
  <c r="K27" i="2"/>
  <c r="K24" i="2"/>
  <c r="K28" i="2"/>
  <c r="I25" i="2"/>
  <c r="I23" i="2"/>
  <c r="I11" i="2"/>
  <c r="I26" i="2"/>
  <c r="I10" i="2"/>
  <c r="I27" i="2"/>
  <c r="I24" i="2"/>
  <c r="I28" i="2"/>
  <c r="N23" i="2"/>
  <c r="N28" i="2"/>
  <c r="N27" i="2"/>
  <c r="N24" i="2"/>
  <c r="N11" i="2"/>
  <c r="N25" i="2"/>
  <c r="N10" i="2"/>
  <c r="N26" i="2"/>
  <c r="H26" i="2"/>
  <c r="H10" i="2"/>
  <c r="H14" i="2"/>
  <c r="Q14" i="2" s="1"/>
  <c r="H18" i="2"/>
  <c r="Q18" i="2" s="1"/>
  <c r="H27" i="2"/>
  <c r="H28" i="2"/>
  <c r="H11" i="2"/>
  <c r="H15" i="2"/>
  <c r="Q15" i="2" s="1"/>
  <c r="H19" i="2"/>
  <c r="Q19" i="2" s="1"/>
  <c r="H16" i="2"/>
  <c r="Q16" i="2" s="1"/>
  <c r="H24" i="2"/>
  <c r="H23" i="2"/>
  <c r="H13" i="2"/>
  <c r="Q13" i="2" s="1"/>
  <c r="H25" i="2"/>
  <c r="H17" i="2"/>
  <c r="Q17" i="2" s="1"/>
  <c r="O27" i="2"/>
  <c r="O24" i="2"/>
  <c r="O23" i="2"/>
  <c r="O11" i="2"/>
  <c r="O25" i="2"/>
  <c r="O10" i="2"/>
  <c r="O26" i="2"/>
  <c r="O28" i="2"/>
  <c r="P25" i="2"/>
  <c r="P23" i="2"/>
  <c r="P24" i="2"/>
  <c r="P10" i="2"/>
  <c r="P26" i="2"/>
  <c r="P27" i="2"/>
  <c r="P28" i="2"/>
  <c r="P11" i="2"/>
  <c r="M27" i="2"/>
  <c r="M28" i="2"/>
  <c r="M24" i="2"/>
  <c r="M23" i="2"/>
  <c r="M25" i="2"/>
  <c r="M26" i="2"/>
  <c r="M11" i="2"/>
  <c r="AD28" i="2"/>
  <c r="AD11" i="2"/>
  <c r="AD23" i="2"/>
  <c r="AD10" i="2"/>
  <c r="L25" i="2"/>
  <c r="L27" i="2"/>
  <c r="L28" i="2"/>
  <c r="L11" i="2"/>
  <c r="L24" i="2"/>
  <c r="L23" i="2"/>
  <c r="L26" i="2"/>
  <c r="G25" i="2"/>
  <c r="G23" i="2"/>
  <c r="G11" i="2"/>
  <c r="G26" i="2"/>
  <c r="G10" i="2"/>
  <c r="G27" i="2"/>
  <c r="G24" i="2"/>
  <c r="G28" i="2"/>
  <c r="Z23" i="2"/>
  <c r="Z12" i="2"/>
  <c r="Z16" i="2"/>
  <c r="Z10" i="2"/>
  <c r="Z26" i="2"/>
  <c r="Z13" i="2"/>
  <c r="F26" i="2"/>
  <c r="F11" i="2"/>
  <c r="F23" i="2"/>
  <c r="F27" i="2"/>
  <c r="F10" i="2"/>
  <c r="F28" i="2"/>
  <c r="F24" i="2"/>
  <c r="F25" i="2"/>
  <c r="S9" i="2"/>
  <c r="U9" i="2"/>
  <c r="AA9" i="2"/>
  <c r="S22" i="2"/>
  <c r="W22" i="2"/>
  <c r="AA22" i="2"/>
  <c r="AE22" i="2"/>
  <c r="T37" i="2"/>
  <c r="X37" i="2"/>
  <c r="AB37" i="2"/>
  <c r="W9" i="2"/>
  <c r="AB9" i="2"/>
  <c r="T22" i="2"/>
  <c r="X22" i="2"/>
  <c r="AB22" i="2"/>
  <c r="U37" i="2"/>
  <c r="Y37" i="2"/>
  <c r="AC37" i="2"/>
  <c r="AG5" i="2"/>
  <c r="V9" i="2"/>
  <c r="AC9" i="2"/>
  <c r="Y22" i="2"/>
  <c r="Z37" i="2"/>
  <c r="T9" i="2"/>
  <c r="Z22" i="2"/>
  <c r="S37" i="2"/>
  <c r="AA37" i="2"/>
  <c r="X9" i="2"/>
  <c r="U22" i="2"/>
  <c r="AC22" i="2"/>
  <c r="V37" i="2"/>
  <c r="AD37" i="2"/>
  <c r="Y9" i="2"/>
  <c r="V22" i="2"/>
  <c r="AD22" i="2"/>
  <c r="W37" i="2"/>
  <c r="AE37" i="2"/>
  <c r="E28" i="2"/>
  <c r="E24" i="2"/>
  <c r="E26" i="2"/>
  <c r="E27" i="2"/>
  <c r="E11" i="2"/>
  <c r="E23" i="2"/>
  <c r="E25" i="2"/>
  <c r="AD24" i="2"/>
  <c r="AD25" i="2"/>
  <c r="AD26" i="2"/>
  <c r="AD27" i="2"/>
  <c r="N35" i="2" a="1"/>
  <c r="N20" i="2" a="1"/>
  <c r="I35" i="2" a="1"/>
  <c r="K20" i="2" a="1"/>
  <c r="G20" i="2" a="1"/>
  <c r="F35" i="2" a="1"/>
  <c r="P35" i="2" a="1"/>
  <c r="K35" i="2" a="1"/>
  <c r="I20" i="2" a="1"/>
  <c r="O20" i="2" a="1"/>
  <c r="J35" i="2" a="1"/>
  <c r="G35" i="2" a="1"/>
  <c r="E35" i="2" a="1"/>
  <c r="M20" i="2" a="1"/>
  <c r="AD35" i="2" a="1"/>
  <c r="L20" i="2" a="1"/>
  <c r="J20" i="2" a="1"/>
  <c r="O35" i="2" a="1"/>
  <c r="P20" i="2" a="1"/>
  <c r="M35" i="2" a="1"/>
  <c r="H20" i="2" a="1"/>
  <c r="H35" i="2" a="1"/>
  <c r="AD20" i="2" a="1"/>
  <c r="F20" i="2" a="1"/>
  <c r="E20" i="2" a="1"/>
  <c r="L35" i="2" a="1"/>
  <c r="E7" i="10" l="1" a="1"/>
  <c r="X31" i="2"/>
  <c r="X30" i="2"/>
  <c r="X32" i="2"/>
  <c r="X34" i="2"/>
  <c r="AB32" i="2"/>
  <c r="AB34" i="2"/>
  <c r="AB30" i="2"/>
  <c r="AB31" i="2"/>
  <c r="Z28" i="2"/>
  <c r="T30" i="2"/>
  <c r="T32" i="2"/>
  <c r="T34" i="2"/>
  <c r="T31" i="2"/>
  <c r="Z17" i="2"/>
  <c r="V30" i="2"/>
  <c r="V34" i="2"/>
  <c r="V32" i="2"/>
  <c r="V31" i="2"/>
  <c r="AA32" i="2"/>
  <c r="AA34" i="2"/>
  <c r="AA30" i="2"/>
  <c r="AA31" i="2"/>
  <c r="U30" i="2"/>
  <c r="U34" i="2"/>
  <c r="U32" i="2"/>
  <c r="U31" i="2"/>
  <c r="Z19" i="2"/>
  <c r="W31" i="2"/>
  <c r="W32" i="2"/>
  <c r="W34" i="2"/>
  <c r="W30" i="2"/>
  <c r="Z24" i="2"/>
  <c r="Y31" i="2"/>
  <c r="Y30" i="2"/>
  <c r="Y32" i="2"/>
  <c r="Y34" i="2"/>
  <c r="S30" i="2"/>
  <c r="S32" i="2"/>
  <c r="S31" i="2"/>
  <c r="S34" i="2"/>
  <c r="Z31" i="2"/>
  <c r="Z30" i="2"/>
  <c r="Z32" i="2"/>
  <c r="Z34" i="2"/>
  <c r="Z25" i="2"/>
  <c r="Z15" i="2"/>
  <c r="Z11" i="2"/>
  <c r="Z14" i="2"/>
  <c r="AC32" i="2"/>
  <c r="AC31" i="2"/>
  <c r="AC34" i="2"/>
  <c r="AC30" i="2"/>
  <c r="Z27" i="2"/>
  <c r="Q31" i="2"/>
  <c r="Q30" i="2"/>
  <c r="Q34" i="2"/>
  <c r="Q32" i="2"/>
  <c r="G20" i="2"/>
  <c r="Q29" i="2"/>
  <c r="Q12" i="2"/>
  <c r="U29" i="2"/>
  <c r="Y29" i="2"/>
  <c r="AC29" i="2"/>
  <c r="S29" i="2"/>
  <c r="X29" i="2"/>
  <c r="T29" i="2"/>
  <c r="V29" i="2"/>
  <c r="AB29" i="2"/>
  <c r="Z29" i="2"/>
  <c r="W29" i="2"/>
  <c r="AA29" i="2"/>
  <c r="Q26" i="2"/>
  <c r="P20" i="2"/>
  <c r="E35" i="2"/>
  <c r="H35" i="2"/>
  <c r="F35" i="2"/>
  <c r="L35" i="2"/>
  <c r="M20" i="2"/>
  <c r="O35" i="2"/>
  <c r="N20" i="2"/>
  <c r="K20" i="2"/>
  <c r="J35" i="2"/>
  <c r="E20" i="2"/>
  <c r="G35" i="2"/>
  <c r="P35" i="2"/>
  <c r="O20" i="2"/>
  <c r="H20" i="2"/>
  <c r="I35" i="2"/>
  <c r="K35" i="2"/>
  <c r="F20" i="2"/>
  <c r="L20" i="2"/>
  <c r="M35" i="2"/>
  <c r="N35" i="2"/>
  <c r="I20" i="2"/>
  <c r="J20" i="2"/>
  <c r="X24" i="2"/>
  <c r="X28" i="2"/>
  <c r="X11" i="2"/>
  <c r="X25" i="2"/>
  <c r="X23" i="2"/>
  <c r="X10" i="2"/>
  <c r="X26" i="2"/>
  <c r="X27" i="2"/>
  <c r="T24" i="2"/>
  <c r="T28" i="2"/>
  <c r="T11" i="2"/>
  <c r="T25" i="2"/>
  <c r="T23" i="2"/>
  <c r="T10" i="2"/>
  <c r="T26" i="2"/>
  <c r="T27" i="2"/>
  <c r="V28" i="2"/>
  <c r="V27" i="2"/>
  <c r="V11" i="2"/>
  <c r="V24" i="2"/>
  <c r="V23" i="2"/>
  <c r="V10" i="2"/>
  <c r="V25" i="2"/>
  <c r="V26" i="2"/>
  <c r="V14" i="2"/>
  <c r="V15" i="2"/>
  <c r="V16" i="2"/>
  <c r="V17" i="2"/>
  <c r="V19" i="2"/>
  <c r="V12" i="2"/>
  <c r="V18" i="2"/>
  <c r="V13" i="2"/>
  <c r="AB24" i="2"/>
  <c r="AB28" i="2"/>
  <c r="AB11" i="2"/>
  <c r="AB15" i="2"/>
  <c r="AB19" i="2"/>
  <c r="AB25" i="2"/>
  <c r="AB23" i="2"/>
  <c r="AB12" i="2"/>
  <c r="AB16" i="2"/>
  <c r="AB10" i="2"/>
  <c r="AB26" i="2"/>
  <c r="AB13" i="2"/>
  <c r="AB17" i="2"/>
  <c r="AB27" i="2"/>
  <c r="AB14" i="2"/>
  <c r="AB18" i="2"/>
  <c r="Q23" i="2"/>
  <c r="Q11" i="2"/>
  <c r="Q24" i="2"/>
  <c r="AP37" i="2"/>
  <c r="AR9" i="2"/>
  <c r="AU5" i="2"/>
  <c r="AM9" i="2"/>
  <c r="AG9" i="2"/>
  <c r="AL37" i="2"/>
  <c r="AO9" i="2"/>
  <c r="AG37" i="2"/>
  <c r="AS22" i="2"/>
  <c r="AP9" i="2"/>
  <c r="AN22" i="2"/>
  <c r="AJ22" i="2"/>
  <c r="AH22" i="2"/>
  <c r="AL22" i="2"/>
  <c r="AS37" i="2"/>
  <c r="AR37" i="2"/>
  <c r="AO22" i="2"/>
  <c r="AL9" i="2"/>
  <c r="AQ37" i="2"/>
  <c r="AN9" i="2"/>
  <c r="AK9" i="2"/>
  <c r="AP22" i="2"/>
  <c r="AI22" i="2"/>
  <c r="AM22" i="2"/>
  <c r="AN37" i="2"/>
  <c r="AH9" i="2"/>
  <c r="AQ22" i="2"/>
  <c r="AJ37" i="2"/>
  <c r="AR22" i="2"/>
  <c r="AH37" i="2"/>
  <c r="AO37" i="2"/>
  <c r="AK22" i="2"/>
  <c r="AM37" i="2"/>
  <c r="AQ9" i="2"/>
  <c r="AI9" i="2"/>
  <c r="AJ9" i="2"/>
  <c r="AK37" i="2"/>
  <c r="AG22" i="2"/>
  <c r="AI37" i="2"/>
  <c r="W26" i="2"/>
  <c r="W27" i="2"/>
  <c r="W25" i="2"/>
  <c r="W28" i="2"/>
  <c r="W24" i="2"/>
  <c r="W23" i="2"/>
  <c r="W11" i="2"/>
  <c r="W10" i="2"/>
  <c r="AA25" i="2"/>
  <c r="AA26" i="2"/>
  <c r="AA27" i="2"/>
  <c r="AA28" i="2"/>
  <c r="AA11" i="2"/>
  <c r="AA24" i="2"/>
  <c r="AA23" i="2"/>
  <c r="AA10" i="2"/>
  <c r="Q10" i="2"/>
  <c r="Q28" i="2"/>
  <c r="U26" i="2"/>
  <c r="U27" i="2"/>
  <c r="U24" i="2"/>
  <c r="U28" i="2"/>
  <c r="U25" i="2"/>
  <c r="U23" i="2"/>
  <c r="U11" i="2"/>
  <c r="U10" i="2"/>
  <c r="Q25" i="2"/>
  <c r="Q27" i="2"/>
  <c r="Y26" i="2"/>
  <c r="Y27" i="2"/>
  <c r="Y24" i="2"/>
  <c r="Y28" i="2"/>
  <c r="Y25" i="2"/>
  <c r="Y23" i="2"/>
  <c r="Y11" i="2"/>
  <c r="Y10" i="2"/>
  <c r="AC25" i="2"/>
  <c r="AC27" i="2"/>
  <c r="AC26" i="2"/>
  <c r="AC28" i="2"/>
  <c r="AC11" i="2"/>
  <c r="AC24" i="2"/>
  <c r="AC23" i="2"/>
  <c r="AC10" i="2"/>
  <c r="S26" i="2"/>
  <c r="S27" i="2"/>
  <c r="S24" i="2"/>
  <c r="S28" i="2"/>
  <c r="S25" i="2"/>
  <c r="S23" i="2"/>
  <c r="S11" i="2"/>
  <c r="S10" i="2"/>
  <c r="AD20" i="2"/>
  <c r="AD35" i="2"/>
  <c r="W20" i="2" a="1"/>
  <c r="U20" i="2" a="1"/>
  <c r="S20" i="2" a="1"/>
  <c r="AC35" i="2" a="1"/>
  <c r="X20" i="2" a="1"/>
  <c r="Z35" i="2" a="1"/>
  <c r="X35" i="2" a="1"/>
  <c r="Y35" i="2" a="1"/>
  <c r="AC20" i="2" a="1"/>
  <c r="Z20" i="2" a="1"/>
  <c r="V35" i="2" a="1"/>
  <c r="AB35" i="2" a="1"/>
  <c r="T35" i="2" a="1"/>
  <c r="AB20" i="2" a="1"/>
  <c r="S35" i="2" a="1"/>
  <c r="V20" i="2" a="1"/>
  <c r="T20" i="2" a="1"/>
  <c r="Q35" i="2" a="1"/>
  <c r="W35" i="2" a="1"/>
  <c r="AA20" i="2" a="1"/>
  <c r="Q20" i="2" a="1"/>
  <c r="U35" i="2" a="1"/>
  <c r="AA35" i="2" a="1"/>
  <c r="Y20" i="2" a="1"/>
  <c r="E7" i="10" l="1"/>
  <c r="M3" i="10"/>
  <c r="L7" i="10" a="1"/>
  <c r="Z20" i="2"/>
  <c r="AH32" i="2"/>
  <c r="AH34" i="2"/>
  <c r="AH31" i="2"/>
  <c r="AH30" i="2"/>
  <c r="AP30" i="2"/>
  <c r="AP34" i="2"/>
  <c r="AP31" i="2"/>
  <c r="AP32" i="2"/>
  <c r="AO30" i="2"/>
  <c r="AO34" i="2"/>
  <c r="AO31" i="2"/>
  <c r="AO32" i="2"/>
  <c r="AK34" i="2"/>
  <c r="AK31" i="2"/>
  <c r="AK30" i="2"/>
  <c r="AK32" i="2"/>
  <c r="AG32" i="2"/>
  <c r="AG31" i="2"/>
  <c r="AG34" i="2"/>
  <c r="AG30" i="2"/>
  <c r="AE31" i="2"/>
  <c r="AE32" i="2"/>
  <c r="AJ32" i="2"/>
  <c r="AJ31" i="2"/>
  <c r="AJ34" i="2"/>
  <c r="AJ30" i="2"/>
  <c r="AN34" i="2"/>
  <c r="AN32" i="2"/>
  <c r="AN31" i="2"/>
  <c r="AN30" i="2"/>
  <c r="AM34" i="2"/>
  <c r="AM32" i="2"/>
  <c r="AM31" i="2"/>
  <c r="AM30" i="2"/>
  <c r="AI32" i="2"/>
  <c r="AI31" i="2"/>
  <c r="AI34" i="2"/>
  <c r="AI30" i="2"/>
  <c r="AE34" i="2"/>
  <c r="AE30" i="2"/>
  <c r="AQ30" i="2"/>
  <c r="AQ34" i="2"/>
  <c r="AQ32" i="2"/>
  <c r="AQ31" i="2"/>
  <c r="AL34" i="2"/>
  <c r="AL30" i="2"/>
  <c r="AL31" i="2"/>
  <c r="AL32" i="2"/>
  <c r="AR30" i="2"/>
  <c r="AR34" i="2"/>
  <c r="AR32" i="2"/>
  <c r="AR31" i="2"/>
  <c r="AE29" i="2"/>
  <c r="Z35" i="2"/>
  <c r="AQ29" i="2"/>
  <c r="AH29" i="2"/>
  <c r="AL29" i="2"/>
  <c r="AP29" i="2"/>
  <c r="AR29" i="2"/>
  <c r="AK29" i="2"/>
  <c r="AG29" i="2"/>
  <c r="AJ29" i="2"/>
  <c r="AN29" i="2"/>
  <c r="AM29" i="2"/>
  <c r="AI29" i="2"/>
  <c r="AO29" i="2"/>
  <c r="H7" i="2"/>
  <c r="H39" i="2" s="1"/>
  <c r="AE28" i="2"/>
  <c r="M7" i="2"/>
  <c r="M39" i="2" s="1"/>
  <c r="AE17" i="2"/>
  <c r="AE24" i="2"/>
  <c r="AE27" i="2"/>
  <c r="AE26" i="2"/>
  <c r="AE25" i="2"/>
  <c r="J7" i="2"/>
  <c r="J39" i="2" s="1"/>
  <c r="L7" i="2"/>
  <c r="L39" i="2" s="1"/>
  <c r="N7" i="2"/>
  <c r="N39" i="2" s="1"/>
  <c r="E7" i="2"/>
  <c r="E39" i="2" s="1"/>
  <c r="U20" i="2"/>
  <c r="V20" i="2"/>
  <c r="AB35" i="2"/>
  <c r="V35" i="2"/>
  <c r="S35" i="2"/>
  <c r="Y35" i="2"/>
  <c r="Q20" i="2"/>
  <c r="S20" i="2"/>
  <c r="AC20" i="2"/>
  <c r="Y20" i="2"/>
  <c r="U35" i="2"/>
  <c r="AA20" i="2"/>
  <c r="W20" i="2"/>
  <c r="AB20" i="2"/>
  <c r="T20" i="2"/>
  <c r="X20" i="2"/>
  <c r="W35" i="2"/>
  <c r="AC35" i="2"/>
  <c r="AA35" i="2"/>
  <c r="Q35" i="2"/>
  <c r="T35" i="2"/>
  <c r="X35" i="2"/>
  <c r="AJ27" i="2"/>
  <c r="AJ26" i="2"/>
  <c r="AJ14" i="2"/>
  <c r="AJ11" i="2"/>
  <c r="AJ18" i="2"/>
  <c r="AJ10" i="2"/>
  <c r="AJ19" i="2"/>
  <c r="AJ15" i="2"/>
  <c r="AJ25" i="2"/>
  <c r="AJ24" i="2"/>
  <c r="AJ16" i="2"/>
  <c r="AJ17" i="2"/>
  <c r="AJ13" i="2"/>
  <c r="AJ12" i="2"/>
  <c r="AJ23" i="2"/>
  <c r="AJ28" i="2"/>
  <c r="AN27" i="2"/>
  <c r="AN26" i="2"/>
  <c r="AN10" i="2"/>
  <c r="AN13" i="2"/>
  <c r="AN23" i="2"/>
  <c r="AN24" i="2"/>
  <c r="AN16" i="2"/>
  <c r="AN28" i="2"/>
  <c r="AN11" i="2"/>
  <c r="AN19" i="2"/>
  <c r="AN25" i="2"/>
  <c r="AN14" i="2"/>
  <c r="AN18" i="2"/>
  <c r="AN17" i="2"/>
  <c r="AN12" i="2"/>
  <c r="AN15" i="2"/>
  <c r="AM26" i="2"/>
  <c r="AM27" i="2"/>
  <c r="AM11" i="2"/>
  <c r="AM28" i="2"/>
  <c r="AM10" i="2"/>
  <c r="AM24" i="2"/>
  <c r="AM23" i="2"/>
  <c r="AM25" i="2"/>
  <c r="AE18" i="2"/>
  <c r="AE16" i="2"/>
  <c r="I7" i="2"/>
  <c r="I39" i="2" s="1"/>
  <c r="G7" i="2"/>
  <c r="G39" i="2" s="1"/>
  <c r="AG28" i="2"/>
  <c r="AG10" i="2"/>
  <c r="AG24" i="2"/>
  <c r="AG25" i="2"/>
  <c r="AG23" i="2"/>
  <c r="AG27" i="2"/>
  <c r="AG26" i="2"/>
  <c r="AG11" i="2"/>
  <c r="AE13" i="2"/>
  <c r="AE10" i="2"/>
  <c r="AI24" i="2"/>
  <c r="AI10" i="2"/>
  <c r="AI27" i="2"/>
  <c r="AI11" i="2"/>
  <c r="AI23" i="2"/>
  <c r="AI26" i="2"/>
  <c r="AI25" i="2"/>
  <c r="AI28" i="2"/>
  <c r="AO10" i="2"/>
  <c r="AO23" i="2"/>
  <c r="AO25" i="2"/>
  <c r="AO11" i="2"/>
  <c r="AO27" i="2"/>
  <c r="AO24" i="2"/>
  <c r="AO28" i="2"/>
  <c r="AO26" i="2"/>
  <c r="BG37" i="2"/>
  <c r="BD9" i="2"/>
  <c r="AV9" i="2"/>
  <c r="BI5" i="2"/>
  <c r="BB9" i="2"/>
  <c r="AZ9" i="2"/>
  <c r="BF9" i="2"/>
  <c r="AX9" i="2"/>
  <c r="BA22" i="2"/>
  <c r="AU9" i="2"/>
  <c r="BF22" i="2"/>
  <c r="AW37" i="2"/>
  <c r="BG22" i="2"/>
  <c r="AX37" i="2"/>
  <c r="AW9" i="2"/>
  <c r="BD22" i="2"/>
  <c r="BC37" i="2"/>
  <c r="BE22" i="2"/>
  <c r="AV37" i="2"/>
  <c r="AY9" i="2"/>
  <c r="BA37" i="2"/>
  <c r="AU22" i="2"/>
  <c r="BB37" i="2"/>
  <c r="BA9" i="2"/>
  <c r="AZ37" i="2"/>
  <c r="BC9" i="2"/>
  <c r="AX22" i="2"/>
  <c r="BE37" i="2"/>
  <c r="AY22" i="2"/>
  <c r="AW22" i="2"/>
  <c r="BD37" i="2"/>
  <c r="BB22" i="2"/>
  <c r="BF37" i="2"/>
  <c r="AV22" i="2"/>
  <c r="AU37" i="2"/>
  <c r="BC22" i="2"/>
  <c r="AZ22" i="2"/>
  <c r="AY37" i="2"/>
  <c r="BE9" i="2"/>
  <c r="AE12" i="2"/>
  <c r="AE15" i="2"/>
  <c r="F7" i="2"/>
  <c r="F39" i="2" s="1"/>
  <c r="O7" i="2"/>
  <c r="O39" i="2" s="1"/>
  <c r="AK10" i="2"/>
  <c r="AK11" i="2"/>
  <c r="AK25" i="2"/>
  <c r="AK27" i="2"/>
  <c r="AK23" i="2"/>
  <c r="AK28" i="2"/>
  <c r="AK26" i="2"/>
  <c r="AK24" i="2"/>
  <c r="AE23" i="2"/>
  <c r="AE11" i="2"/>
  <c r="AQ24" i="2"/>
  <c r="AQ11" i="2"/>
  <c r="AQ27" i="2"/>
  <c r="AQ26" i="2"/>
  <c r="AQ23" i="2"/>
  <c r="AQ10" i="2"/>
  <c r="AQ28" i="2"/>
  <c r="AQ25" i="2"/>
  <c r="AH24" i="2"/>
  <c r="AH23" i="2"/>
  <c r="AH25" i="2"/>
  <c r="AH26" i="2"/>
  <c r="AH28" i="2"/>
  <c r="AH27" i="2"/>
  <c r="AH10" i="2"/>
  <c r="AH11" i="2"/>
  <c r="AL28" i="2"/>
  <c r="AL27" i="2"/>
  <c r="AL24" i="2"/>
  <c r="AL10" i="2"/>
  <c r="AL26" i="2"/>
  <c r="AL23" i="2"/>
  <c r="AL25" i="2"/>
  <c r="AL11" i="2"/>
  <c r="AP19" i="2"/>
  <c r="AP15" i="2"/>
  <c r="AP24" i="2"/>
  <c r="AP26" i="2"/>
  <c r="AP23" i="2"/>
  <c r="AP18" i="2"/>
  <c r="AP14" i="2"/>
  <c r="AP28" i="2"/>
  <c r="AP10" i="2"/>
  <c r="AP17" i="2"/>
  <c r="AP13" i="2"/>
  <c r="AP27" i="2"/>
  <c r="AP16" i="2"/>
  <c r="AP12" i="2"/>
  <c r="AP11" i="2"/>
  <c r="AP25" i="2"/>
  <c r="AR26" i="2"/>
  <c r="AR10" i="2"/>
  <c r="AR27" i="2"/>
  <c r="AR25" i="2"/>
  <c r="AR28" i="2"/>
  <c r="AR23" i="2"/>
  <c r="AR24" i="2"/>
  <c r="AR11" i="2"/>
  <c r="AE19" i="2"/>
  <c r="AE14" i="2"/>
  <c r="K7" i="2"/>
  <c r="K39" i="2" s="1"/>
  <c r="P7" i="2"/>
  <c r="P39" i="2" s="1"/>
  <c r="AD7" i="2"/>
  <c r="AD39" i="2" s="1"/>
  <c r="AR35" i="2" a="1"/>
  <c r="AO35" i="2" a="1"/>
  <c r="AJ20" i="2" a="1"/>
  <c r="AE35" i="2" a="1"/>
  <c r="AG35" i="2" a="1"/>
  <c r="AG20" i="2" a="1"/>
  <c r="AI20" i="2" a="1"/>
  <c r="AR20" i="2" a="1"/>
  <c r="AM35" i="2" a="1"/>
  <c r="AK20" i="2" a="1"/>
  <c r="AP35" i="2" a="1"/>
  <c r="AE20" i="2" a="1"/>
  <c r="AN20" i="2" a="1"/>
  <c r="AL35" i="2" a="1"/>
  <c r="AQ35" i="2" a="1"/>
  <c r="AI35" i="2" a="1"/>
  <c r="AH20" i="2" a="1"/>
  <c r="AP20" i="2" a="1"/>
  <c r="AO20" i="2" a="1"/>
  <c r="AQ20" i="2" a="1"/>
  <c r="AH35" i="2" a="1"/>
  <c r="AJ35" i="2" a="1"/>
  <c r="AK35" i="2" a="1"/>
  <c r="AL20" i="2" a="1"/>
  <c r="AN35" i="2" a="1"/>
  <c r="AM20" i="2" a="1"/>
  <c r="C21" i="7" l="1" a="1"/>
  <c r="C21" i="7" s="1"/>
  <c r="L7" i="10"/>
  <c r="Z7" i="2"/>
  <c r="Z38" i="2" s="1"/>
  <c r="AW32" i="2"/>
  <c r="AW31" i="2"/>
  <c r="AW34" i="2"/>
  <c r="AW30" i="2"/>
  <c r="AY34" i="2"/>
  <c r="AY31" i="2"/>
  <c r="AY32" i="2"/>
  <c r="AY30" i="2"/>
  <c r="AS30" i="2"/>
  <c r="AS34" i="2"/>
  <c r="AV32" i="2"/>
  <c r="AV30" i="2"/>
  <c r="AV31" i="2"/>
  <c r="AV34" i="2"/>
  <c r="BD30" i="2"/>
  <c r="BD34" i="2"/>
  <c r="BD31" i="2"/>
  <c r="BD32" i="2"/>
  <c r="BA34" i="2"/>
  <c r="BA32" i="2"/>
  <c r="BA31" i="2"/>
  <c r="BA30" i="2"/>
  <c r="AX32" i="2"/>
  <c r="AX31" i="2"/>
  <c r="AX34" i="2"/>
  <c r="AX30" i="2"/>
  <c r="AS31" i="2"/>
  <c r="BB34" i="2"/>
  <c r="BB32" i="2"/>
  <c r="BB31" i="2"/>
  <c r="BB30" i="2"/>
  <c r="BC30" i="2"/>
  <c r="BC34" i="2"/>
  <c r="BC32" i="2"/>
  <c r="BC31" i="2"/>
  <c r="AU32" i="2"/>
  <c r="AU30" i="2"/>
  <c r="AU31" i="2"/>
  <c r="AU34" i="2"/>
  <c r="BE30" i="2"/>
  <c r="BE34" i="2"/>
  <c r="BE31" i="2"/>
  <c r="BE32" i="2"/>
  <c r="BF30" i="2"/>
  <c r="BF34" i="2"/>
  <c r="BF31" i="2"/>
  <c r="BF32" i="2"/>
  <c r="AS32" i="2"/>
  <c r="AZ34" i="2"/>
  <c r="AZ31" i="2"/>
  <c r="AZ32" i="2"/>
  <c r="AZ30" i="2"/>
  <c r="Q39" i="2"/>
  <c r="G7" i="7"/>
  <c r="BE29" i="2"/>
  <c r="AW29" i="2"/>
  <c r="BF29" i="2"/>
  <c r="AV29" i="2"/>
  <c r="BC29" i="2"/>
  <c r="AU29" i="2"/>
  <c r="AZ29" i="2"/>
  <c r="BD29" i="2"/>
  <c r="BB29" i="2"/>
  <c r="BA29" i="2"/>
  <c r="AY29" i="2"/>
  <c r="AX29" i="2"/>
  <c r="Q7" i="2"/>
  <c r="Y7" i="2"/>
  <c r="T7" i="2"/>
  <c r="F38" i="2"/>
  <c r="X7" i="2"/>
  <c r="AA7" i="2"/>
  <c r="AA39" i="2" s="1"/>
  <c r="E38" i="2"/>
  <c r="AK20" i="2"/>
  <c r="AG20" i="2"/>
  <c r="AN35" i="2"/>
  <c r="AE35" i="2"/>
  <c r="AR35" i="2"/>
  <c r="AH35" i="2"/>
  <c r="AQ20" i="2"/>
  <c r="AG35" i="2"/>
  <c r="AM20" i="2"/>
  <c r="AH20" i="2"/>
  <c r="AK35" i="2"/>
  <c r="AE20" i="2"/>
  <c r="AR20" i="2"/>
  <c r="AL35" i="2"/>
  <c r="AP20" i="2"/>
  <c r="AP35" i="2"/>
  <c r="AQ35" i="2"/>
  <c r="AO35" i="2"/>
  <c r="AI20" i="2"/>
  <c r="AL20" i="2"/>
  <c r="AO20" i="2"/>
  <c r="AI35" i="2"/>
  <c r="AM35" i="2"/>
  <c r="AN20" i="2"/>
  <c r="AJ35" i="2"/>
  <c r="AJ20" i="2"/>
  <c r="BA28" i="2"/>
  <c r="BA11" i="2"/>
  <c r="BA24" i="2"/>
  <c r="BA26" i="2"/>
  <c r="BA27" i="2"/>
  <c r="BA23" i="2"/>
  <c r="BA25" i="2"/>
  <c r="BA10" i="2"/>
  <c r="AY23" i="2"/>
  <c r="AY25" i="2"/>
  <c r="AY26" i="2"/>
  <c r="AY27" i="2"/>
  <c r="AY28" i="2"/>
  <c r="AY11" i="2"/>
  <c r="AY24" i="2"/>
  <c r="AY10" i="2"/>
  <c r="AX16" i="2"/>
  <c r="AX26" i="2"/>
  <c r="AX28" i="2"/>
  <c r="AX12" i="2"/>
  <c r="AX25" i="2"/>
  <c r="AX17" i="2"/>
  <c r="AX23" i="2"/>
  <c r="AX24" i="2"/>
  <c r="AX15" i="2"/>
  <c r="AX13" i="2"/>
  <c r="AX18" i="2"/>
  <c r="AX14" i="2"/>
  <c r="AX19" i="2"/>
  <c r="AX10" i="2"/>
  <c r="AX27" i="2"/>
  <c r="AX11" i="2"/>
  <c r="BU37" i="2"/>
  <c r="BN37" i="2"/>
  <c r="BS22" i="2"/>
  <c r="BR9" i="2"/>
  <c r="BJ9" i="2"/>
  <c r="BJ37" i="2"/>
  <c r="BO22" i="2"/>
  <c r="BP9" i="2"/>
  <c r="BW5" i="2"/>
  <c r="BK22" i="2"/>
  <c r="BN9" i="2"/>
  <c r="BR37" i="2"/>
  <c r="BT9" i="2"/>
  <c r="BL9" i="2"/>
  <c r="BP22" i="2"/>
  <c r="BU22" i="2"/>
  <c r="BL37" i="2"/>
  <c r="BO9" i="2"/>
  <c r="BI9" i="2"/>
  <c r="BT22" i="2"/>
  <c r="BK37" i="2"/>
  <c r="BI22" i="2"/>
  <c r="BP37" i="2"/>
  <c r="BS9" i="2"/>
  <c r="BJ22" i="2"/>
  <c r="BI37" i="2"/>
  <c r="BM9" i="2"/>
  <c r="BO37" i="2"/>
  <c r="BM22" i="2"/>
  <c r="BT37" i="2"/>
  <c r="BN22" i="2"/>
  <c r="BM37" i="2"/>
  <c r="BQ9" i="2"/>
  <c r="BL22" i="2"/>
  <c r="BS37" i="2"/>
  <c r="BQ22" i="2"/>
  <c r="BK9" i="2"/>
  <c r="BR22" i="2"/>
  <c r="BQ37" i="2"/>
  <c r="AS10" i="2"/>
  <c r="AS12" i="2"/>
  <c r="AS15" i="2"/>
  <c r="AS27" i="2"/>
  <c r="BE27" i="2"/>
  <c r="BE10" i="2"/>
  <c r="BE23" i="2"/>
  <c r="BE25" i="2"/>
  <c r="BE11" i="2"/>
  <c r="BE28" i="2"/>
  <c r="BE26" i="2"/>
  <c r="BE24" i="2"/>
  <c r="AW27" i="2"/>
  <c r="AW10" i="2"/>
  <c r="AW25" i="2"/>
  <c r="AW11" i="2"/>
  <c r="AW28" i="2"/>
  <c r="AW26" i="2"/>
  <c r="AW24" i="2"/>
  <c r="AW23" i="2"/>
  <c r="BF28" i="2"/>
  <c r="BF11" i="2"/>
  <c r="BF10" i="2"/>
  <c r="BF27" i="2"/>
  <c r="BF26" i="2"/>
  <c r="BF25" i="2"/>
  <c r="BF23" i="2"/>
  <c r="BF24" i="2"/>
  <c r="AV26" i="2"/>
  <c r="AV27" i="2"/>
  <c r="AV11" i="2"/>
  <c r="AV25" i="2"/>
  <c r="AV24" i="2"/>
  <c r="AV23" i="2"/>
  <c r="AV28" i="2"/>
  <c r="AV10" i="2"/>
  <c r="AS23" i="2"/>
  <c r="AS28" i="2"/>
  <c r="AS13" i="2"/>
  <c r="AS19" i="2"/>
  <c r="AS18" i="2"/>
  <c r="BC23" i="2"/>
  <c r="BC25" i="2"/>
  <c r="BC10" i="2"/>
  <c r="BC27" i="2"/>
  <c r="BC28" i="2"/>
  <c r="BC11" i="2"/>
  <c r="BC24" i="2"/>
  <c r="BC26" i="2"/>
  <c r="AU26" i="2"/>
  <c r="AU24" i="2"/>
  <c r="AU11" i="2"/>
  <c r="AU10" i="2"/>
  <c r="AU27" i="2"/>
  <c r="AU25" i="2"/>
  <c r="AU23" i="2"/>
  <c r="AU28" i="2"/>
  <c r="AZ26" i="2"/>
  <c r="AZ11" i="2"/>
  <c r="AZ28" i="2"/>
  <c r="AZ10" i="2"/>
  <c r="AZ27" i="2"/>
  <c r="AZ25" i="2"/>
  <c r="AZ24" i="2"/>
  <c r="AZ23" i="2"/>
  <c r="BD26" i="2"/>
  <c r="BD23" i="2"/>
  <c r="BD15" i="2"/>
  <c r="BD19" i="2"/>
  <c r="BD11" i="2"/>
  <c r="BD28" i="2"/>
  <c r="BD12" i="2"/>
  <c r="BD16" i="2"/>
  <c r="BD10" i="2"/>
  <c r="BD27" i="2"/>
  <c r="BD13" i="2"/>
  <c r="BD17" i="2"/>
  <c r="BD24" i="2"/>
  <c r="BD14" i="2"/>
  <c r="BD18" i="2"/>
  <c r="BD25" i="2"/>
  <c r="AS11" i="2"/>
  <c r="AS25" i="2"/>
  <c r="AS17" i="2"/>
  <c r="AS29" i="2"/>
  <c r="AB7" i="2"/>
  <c r="AB39" i="2" s="1"/>
  <c r="V7" i="2"/>
  <c r="V39" i="2" s="1"/>
  <c r="BB10" i="2"/>
  <c r="BB14" i="2"/>
  <c r="BB18" i="2"/>
  <c r="BB27" i="2"/>
  <c r="BB15" i="2"/>
  <c r="BB19" i="2"/>
  <c r="BB26" i="2"/>
  <c r="BB28" i="2"/>
  <c r="BB25" i="2"/>
  <c r="BB12" i="2"/>
  <c r="BB16" i="2"/>
  <c r="BB13" i="2"/>
  <c r="BB17" i="2"/>
  <c r="BB11" i="2"/>
  <c r="BB23" i="2"/>
  <c r="BB24" i="2"/>
  <c r="AS26" i="2"/>
  <c r="AS24" i="2"/>
  <c r="AS16" i="2"/>
  <c r="AS14" i="2"/>
  <c r="W7" i="2"/>
  <c r="W39" i="2" s="1"/>
  <c r="AC7" i="2"/>
  <c r="AC39" i="2" s="1"/>
  <c r="S7" i="2"/>
  <c r="S39" i="2" s="1"/>
  <c r="U7" i="2"/>
  <c r="U39" i="2" s="1"/>
  <c r="AD38" i="2"/>
  <c r="P38" i="2"/>
  <c r="AW35" i="2" a="1"/>
  <c r="BA20" i="2" a="1"/>
  <c r="AU35" i="2" a="1"/>
  <c r="F48" i="2" a="1"/>
  <c r="AX20" i="2" a="1"/>
  <c r="BD20" i="2" a="1"/>
  <c r="BE20" i="2" a="1"/>
  <c r="BB20" i="2" a="1"/>
  <c r="BF35" i="2" a="1"/>
  <c r="E48" i="2" a="1"/>
  <c r="AV20" i="2" a="1"/>
  <c r="AD48" i="2" a="1"/>
  <c r="BB35" i="2" a="1"/>
  <c r="P48" i="2" a="1"/>
  <c r="AS20" i="2" a="1"/>
  <c r="AZ35" i="2" a="1"/>
  <c r="BD35" i="2" a="1"/>
  <c r="AW20" i="2" a="1"/>
  <c r="AZ20" i="2" a="1"/>
  <c r="BE35" i="2" a="1"/>
  <c r="BC35" i="2" a="1"/>
  <c r="AV35" i="2" a="1"/>
  <c r="BA35" i="2" a="1"/>
  <c r="AS35" i="2" a="1"/>
  <c r="AU20" i="2" a="1"/>
  <c r="BC20" i="2" a="1"/>
  <c r="AY20" i="2" a="1"/>
  <c r="BF20" i="2" a="1"/>
  <c r="AY35" i="2" a="1"/>
  <c r="AX35" i="2" a="1"/>
  <c r="L3" i="10" l="1"/>
  <c r="N3" i="10" s="1"/>
  <c r="K7" i="10" a="1"/>
  <c r="K7" i="10" s="1"/>
  <c r="J7" i="10" a="1"/>
  <c r="J7" i="10" s="1"/>
  <c r="N7" i="10" a="1"/>
  <c r="N7" i="10" s="1"/>
  <c r="Z39" i="2"/>
  <c r="BK32" i="2"/>
  <c r="BK31" i="2"/>
  <c r="BK34" i="2"/>
  <c r="BK30" i="2"/>
  <c r="BJ32" i="2"/>
  <c r="BJ31" i="2"/>
  <c r="BJ34" i="2"/>
  <c r="BJ30" i="2"/>
  <c r="BR30" i="2"/>
  <c r="BR32" i="2"/>
  <c r="BR34" i="2"/>
  <c r="BR31" i="2"/>
  <c r="BM34" i="2"/>
  <c r="BM31" i="2"/>
  <c r="BM30" i="2"/>
  <c r="BM32" i="2"/>
  <c r="BN34" i="2"/>
  <c r="BN31" i="2"/>
  <c r="BN30" i="2"/>
  <c r="BN32" i="2"/>
  <c r="BO34" i="2"/>
  <c r="BO32" i="2"/>
  <c r="BO30" i="2"/>
  <c r="BO31" i="2"/>
  <c r="BG32" i="2"/>
  <c r="BS30" i="2"/>
  <c r="BS34" i="2"/>
  <c r="BS32" i="2"/>
  <c r="BS31" i="2"/>
  <c r="BP34" i="2"/>
  <c r="BP32" i="2"/>
  <c r="BP30" i="2"/>
  <c r="BP31" i="2"/>
  <c r="BG34" i="2"/>
  <c r="BG30" i="2"/>
  <c r="BL32" i="2"/>
  <c r="BL31" i="2"/>
  <c r="BL34" i="2"/>
  <c r="BL30" i="2"/>
  <c r="BI32" i="2"/>
  <c r="BI31" i="2"/>
  <c r="BI34" i="2"/>
  <c r="BI30" i="2"/>
  <c r="BG31" i="2"/>
  <c r="BT30" i="2"/>
  <c r="BT34" i="2"/>
  <c r="BT32" i="2"/>
  <c r="BT31" i="2"/>
  <c r="BQ30" i="2"/>
  <c r="BQ34" i="2"/>
  <c r="BQ31" i="2"/>
  <c r="BQ32" i="2"/>
  <c r="F48" i="2"/>
  <c r="AD48" i="2"/>
  <c r="E48" i="2"/>
  <c r="P48" i="2"/>
  <c r="T38" i="2"/>
  <c r="T39" i="2"/>
  <c r="Y38" i="2"/>
  <c r="Y39" i="2"/>
  <c r="X38" i="2"/>
  <c r="X39" i="2"/>
  <c r="BM29" i="2"/>
  <c r="BI29" i="2"/>
  <c r="BN29" i="2"/>
  <c r="BO29" i="2"/>
  <c r="BL29" i="2"/>
  <c r="BK29" i="2"/>
  <c r="BQ29" i="2"/>
  <c r="BT29" i="2"/>
  <c r="BJ29" i="2"/>
  <c r="BS29" i="2"/>
  <c r="BP29" i="2"/>
  <c r="BR29" i="2"/>
  <c r="G8" i="7"/>
  <c r="AE7" i="2"/>
  <c r="AR7" i="2"/>
  <c r="AR39" i="2" s="1"/>
  <c r="AH7" i="2"/>
  <c r="AH39" i="2" s="1"/>
  <c r="AI7" i="2"/>
  <c r="AI39" i="2" s="1"/>
  <c r="AA38" i="2"/>
  <c r="AN7" i="2"/>
  <c r="AN39" i="2" s="1"/>
  <c r="AL7" i="2"/>
  <c r="AQ7" i="2"/>
  <c r="AQ39" i="2" s="1"/>
  <c r="AJ7" i="2"/>
  <c r="AJ39" i="2" s="1"/>
  <c r="AP7" i="2"/>
  <c r="AP39" i="2" s="1"/>
  <c r="BD20" i="2"/>
  <c r="BC35" i="2"/>
  <c r="AV35" i="2"/>
  <c r="AW20" i="2"/>
  <c r="BE20" i="2"/>
  <c r="BA35" i="2"/>
  <c r="BB20" i="2"/>
  <c r="AZ35" i="2"/>
  <c r="AZ20" i="2"/>
  <c r="AU20" i="2"/>
  <c r="AS35" i="2"/>
  <c r="AX20" i="2"/>
  <c r="AY35" i="2"/>
  <c r="BB35" i="2"/>
  <c r="AU35" i="2"/>
  <c r="BC20" i="2"/>
  <c r="AV20" i="2"/>
  <c r="AW35" i="2"/>
  <c r="AS20" i="2"/>
  <c r="AX35" i="2"/>
  <c r="AY20" i="2"/>
  <c r="BA20" i="2"/>
  <c r="BD35" i="2"/>
  <c r="BF35" i="2"/>
  <c r="BF20" i="2"/>
  <c r="BE35" i="2"/>
  <c r="V38" i="2"/>
  <c r="BG27" i="2"/>
  <c r="BG26" i="2"/>
  <c r="BO28" i="2"/>
  <c r="BO23" i="2"/>
  <c r="BO27" i="2"/>
  <c r="BO25" i="2"/>
  <c r="BO11" i="2"/>
  <c r="BO24" i="2"/>
  <c r="BO10" i="2"/>
  <c r="BO26" i="2"/>
  <c r="BL12" i="2"/>
  <c r="BL10" i="2"/>
  <c r="BL13" i="2"/>
  <c r="BL17" i="2"/>
  <c r="BL24" i="2"/>
  <c r="BL26" i="2"/>
  <c r="BL14" i="2"/>
  <c r="BL18" i="2"/>
  <c r="BL23" i="2"/>
  <c r="BL15" i="2"/>
  <c r="BL19" i="2"/>
  <c r="BL11" i="2"/>
  <c r="BL16" i="2"/>
  <c r="BL25" i="2"/>
  <c r="BL27" i="2"/>
  <c r="BL28" i="2"/>
  <c r="BG15" i="2"/>
  <c r="BG16" i="2"/>
  <c r="BG28" i="2"/>
  <c r="BG10" i="2"/>
  <c r="BK28" i="2"/>
  <c r="BK23" i="2"/>
  <c r="BK27" i="2"/>
  <c r="BK25" i="2"/>
  <c r="BK11" i="2"/>
  <c r="BK24" i="2"/>
  <c r="BK10" i="2"/>
  <c r="BK26" i="2"/>
  <c r="BQ27" i="2"/>
  <c r="BQ10" i="2"/>
  <c r="BQ11" i="2"/>
  <c r="BQ28" i="2"/>
  <c r="BQ26" i="2"/>
  <c r="BQ24" i="2"/>
  <c r="BQ23" i="2"/>
  <c r="BQ25" i="2"/>
  <c r="BT28" i="2"/>
  <c r="BT11" i="2"/>
  <c r="BT25" i="2"/>
  <c r="BT27" i="2"/>
  <c r="BT10" i="2"/>
  <c r="BT24" i="2"/>
  <c r="BT26" i="2"/>
  <c r="BT23" i="2"/>
  <c r="CI37" i="2"/>
  <c r="CF37" i="2"/>
  <c r="CH9" i="2"/>
  <c r="BZ9" i="2"/>
  <c r="CB37" i="2"/>
  <c r="CG22" i="2"/>
  <c r="CF9" i="2"/>
  <c r="BX9" i="2"/>
  <c r="BX37" i="2"/>
  <c r="CC22" i="2"/>
  <c r="CD9" i="2"/>
  <c r="CK5" i="2"/>
  <c r="BY22" i="2"/>
  <c r="CB9" i="2"/>
  <c r="BZ22" i="2"/>
  <c r="BW22" i="2"/>
  <c r="CD37" i="2"/>
  <c r="CG9" i="2"/>
  <c r="BX22" i="2"/>
  <c r="CA37" i="2"/>
  <c r="BW9" i="2"/>
  <c r="CD22" i="2"/>
  <c r="BY37" i="2"/>
  <c r="CA22" i="2"/>
  <c r="CH37" i="2"/>
  <c r="CB22" i="2"/>
  <c r="CE37" i="2"/>
  <c r="CA9" i="2"/>
  <c r="CH22" i="2"/>
  <c r="CC37" i="2"/>
  <c r="CE22" i="2"/>
  <c r="BY9" i="2"/>
  <c r="CF22" i="2"/>
  <c r="CE9" i="2"/>
  <c r="CG37" i="2"/>
  <c r="CI22" i="2"/>
  <c r="BZ37" i="2"/>
  <c r="CC9" i="2"/>
  <c r="BW37" i="2"/>
  <c r="BJ26" i="2"/>
  <c r="BJ27" i="2"/>
  <c r="BJ11" i="2"/>
  <c r="BJ23" i="2"/>
  <c r="BJ28" i="2"/>
  <c r="BJ25" i="2"/>
  <c r="BJ24" i="2"/>
  <c r="BJ10" i="2"/>
  <c r="BG29" i="2"/>
  <c r="BG12" i="2"/>
  <c r="U38" i="2"/>
  <c r="S38" i="2"/>
  <c r="AC38" i="2"/>
  <c r="BG23" i="2"/>
  <c r="BG11" i="2"/>
  <c r="BS28" i="2"/>
  <c r="BS23" i="2"/>
  <c r="BS24" i="2"/>
  <c r="BS10" i="2"/>
  <c r="BS26" i="2"/>
  <c r="BS27" i="2"/>
  <c r="BS11" i="2"/>
  <c r="BS25" i="2"/>
  <c r="BP13" i="2"/>
  <c r="BP17" i="2"/>
  <c r="BP25" i="2"/>
  <c r="BP27" i="2"/>
  <c r="BP28" i="2"/>
  <c r="BP10" i="2"/>
  <c r="BP14" i="2"/>
  <c r="BP18" i="2"/>
  <c r="BP24" i="2"/>
  <c r="BP15" i="2"/>
  <c r="BP19" i="2"/>
  <c r="BP26" i="2"/>
  <c r="BP23" i="2"/>
  <c r="BP12" i="2"/>
  <c r="BP16" i="2"/>
  <c r="BP11" i="2"/>
  <c r="BR26" i="2"/>
  <c r="BR23" i="2"/>
  <c r="BR27" i="2"/>
  <c r="BR11" i="2"/>
  <c r="BR24" i="2"/>
  <c r="BR15" i="2"/>
  <c r="BR19" i="2"/>
  <c r="BR10" i="2"/>
  <c r="BR12" i="2"/>
  <c r="BR16" i="2"/>
  <c r="BR28" i="2"/>
  <c r="BR13" i="2"/>
  <c r="BR17" i="2"/>
  <c r="BR25" i="2"/>
  <c r="BR14" i="2"/>
  <c r="BR18" i="2"/>
  <c r="BG19" i="2"/>
  <c r="BG18" i="2"/>
  <c r="AG7" i="2"/>
  <c r="AG39" i="2" s="1"/>
  <c r="W38" i="2"/>
  <c r="AB38" i="2"/>
  <c r="BG25" i="2"/>
  <c r="BG24" i="2"/>
  <c r="BM11" i="2"/>
  <c r="BM25" i="2"/>
  <c r="BM26" i="2"/>
  <c r="BM10" i="2"/>
  <c r="BM27" i="2"/>
  <c r="BM24" i="2"/>
  <c r="BM23" i="2"/>
  <c r="BM28" i="2"/>
  <c r="BI26" i="2"/>
  <c r="BI28" i="2"/>
  <c r="BI11" i="2"/>
  <c r="BI10" i="2"/>
  <c r="BI27" i="2"/>
  <c r="BI24" i="2"/>
  <c r="BI23" i="2"/>
  <c r="BI25" i="2"/>
  <c r="BN26" i="2"/>
  <c r="BN11" i="2"/>
  <c r="BN23" i="2"/>
  <c r="BN27" i="2"/>
  <c r="BN28" i="2"/>
  <c r="BN25" i="2"/>
  <c r="BN24" i="2"/>
  <c r="BN10" i="2"/>
  <c r="BG14" i="2"/>
  <c r="BG13" i="2"/>
  <c r="BG17" i="2"/>
  <c r="AO7" i="2"/>
  <c r="AO39" i="2" s="1"/>
  <c r="AM7" i="2"/>
  <c r="AM39" i="2" s="1"/>
  <c r="AK7" i="2"/>
  <c r="AK39" i="2" s="1"/>
  <c r="I38" i="2"/>
  <c r="H38" i="2"/>
  <c r="S48" i="2" a="1"/>
  <c r="H48" i="2" a="1"/>
  <c r="V48" i="2" a="1"/>
  <c r="I48" i="2" a="1"/>
  <c r="BN20" i="2" a="1"/>
  <c r="AB48" i="2" a="1"/>
  <c r="BO20" i="2" a="1"/>
  <c r="BL20" i="2" a="1"/>
  <c r="AA48" i="2" a="1"/>
  <c r="BL35" i="2" a="1"/>
  <c r="BJ20" i="2" a="1"/>
  <c r="BM35" i="2" a="1"/>
  <c r="BJ35" i="2" a="1"/>
  <c r="BI20" i="2" a="1"/>
  <c r="BN35" i="2" a="1"/>
  <c r="Z48" i="2" a="1"/>
  <c r="BR20" i="2" a="1"/>
  <c r="AC48" i="2" a="1"/>
  <c r="BP35" i="2" a="1"/>
  <c r="BQ35" i="2" a="1"/>
  <c r="Y48" i="2" a="1"/>
  <c r="BK35" i="2" a="1"/>
  <c r="BS20" i="2" a="1"/>
  <c r="BQ20" i="2" a="1"/>
  <c r="BS35" i="2" a="1"/>
  <c r="U48" i="2" a="1"/>
  <c r="BT35" i="2" a="1"/>
  <c r="BG20" i="2" a="1"/>
  <c r="BR35" i="2" a="1"/>
  <c r="BI35" i="2" a="1"/>
  <c r="BM20" i="2" a="1"/>
  <c r="BO35" i="2" a="1"/>
  <c r="BK20" i="2" a="1"/>
  <c r="BT20" i="2" a="1"/>
  <c r="W48" i="2" a="1"/>
  <c r="T48" i="2" a="1"/>
  <c r="BG35" i="2" a="1"/>
  <c r="X48" i="2" a="1"/>
  <c r="BP20" i="2" a="1"/>
  <c r="P7" i="10" l="1" a="1"/>
  <c r="P7" i="10" s="1"/>
  <c r="P3" i="10" s="1"/>
  <c r="O3" i="10"/>
  <c r="D21" i="7" a="1"/>
  <c r="D21" i="7" s="1"/>
  <c r="Z48" i="2"/>
  <c r="BX32" i="2"/>
  <c r="BX31" i="2"/>
  <c r="BX34" i="2"/>
  <c r="BX30" i="2"/>
  <c r="CF30" i="2"/>
  <c r="CF31" i="2"/>
  <c r="CF32" i="2"/>
  <c r="CF34" i="2"/>
  <c r="CC34" i="2"/>
  <c r="CC32" i="2"/>
  <c r="CC30" i="2"/>
  <c r="CC31" i="2"/>
  <c r="BU30" i="2"/>
  <c r="CH30" i="2"/>
  <c r="CH34" i="2"/>
  <c r="CH32" i="2"/>
  <c r="CH31" i="2"/>
  <c r="BU34" i="2"/>
  <c r="BW32" i="2"/>
  <c r="BW31" i="2"/>
  <c r="BW34" i="2"/>
  <c r="BW30" i="2"/>
  <c r="BZ32" i="2"/>
  <c r="BZ31" i="2"/>
  <c r="BZ30" i="2"/>
  <c r="BZ34" i="2"/>
  <c r="CE30" i="2"/>
  <c r="CE31" i="2"/>
  <c r="CE32" i="2"/>
  <c r="CE34" i="2"/>
  <c r="CG30" i="2"/>
  <c r="CG34" i="2"/>
  <c r="CG32" i="2"/>
  <c r="CG31" i="2"/>
  <c r="BU31" i="2"/>
  <c r="CB34" i="2"/>
  <c r="CB31" i="2"/>
  <c r="CB30" i="2"/>
  <c r="CB32" i="2"/>
  <c r="CA34" i="2"/>
  <c r="CA30" i="2"/>
  <c r="CA31" i="2"/>
  <c r="CA32" i="2"/>
  <c r="BU32" i="2"/>
  <c r="CD34" i="2"/>
  <c r="CD32" i="2"/>
  <c r="CD30" i="2"/>
  <c r="CD31" i="2"/>
  <c r="BY32" i="2"/>
  <c r="BY31" i="2"/>
  <c r="BY30" i="2"/>
  <c r="BY34" i="2"/>
  <c r="AE39" i="2"/>
  <c r="W48" i="2"/>
  <c r="Y48" i="2"/>
  <c r="H48" i="2"/>
  <c r="AC48" i="2"/>
  <c r="X48" i="2"/>
  <c r="I48" i="2"/>
  <c r="S48" i="2"/>
  <c r="V48" i="2"/>
  <c r="AA48" i="2"/>
  <c r="T48" i="2"/>
  <c r="AB48" i="2"/>
  <c r="U48" i="2"/>
  <c r="AL38" i="2"/>
  <c r="AL39" i="2"/>
  <c r="AS39" i="2" s="1"/>
  <c r="AY7" i="2"/>
  <c r="CC29" i="2"/>
  <c r="CE29" i="2"/>
  <c r="CG29" i="2"/>
  <c r="CB29" i="2"/>
  <c r="CD29" i="2"/>
  <c r="CF29" i="2"/>
  <c r="CH29" i="2"/>
  <c r="BW29" i="2"/>
  <c r="BY29" i="2"/>
  <c r="CA29" i="2"/>
  <c r="BX29" i="2"/>
  <c r="BZ29" i="2"/>
  <c r="G9" i="7"/>
  <c r="AV7" i="2"/>
  <c r="BC7" i="2"/>
  <c r="AR38" i="2"/>
  <c r="AH38" i="2"/>
  <c r="BU25" i="2"/>
  <c r="BU11" i="2"/>
  <c r="AI38" i="2"/>
  <c r="AN38" i="2"/>
  <c r="AQ38" i="2"/>
  <c r="AZ7" i="2"/>
  <c r="AZ39" i="2" s="1"/>
  <c r="AJ38" i="2"/>
  <c r="AE38" i="2"/>
  <c r="BA7" i="2"/>
  <c r="AU7" i="2"/>
  <c r="AU39" i="2" s="1"/>
  <c r="AP38" i="2"/>
  <c r="BI20" i="2"/>
  <c r="BM20" i="2"/>
  <c r="BP35" i="2"/>
  <c r="BG35" i="2"/>
  <c r="BT35" i="2"/>
  <c r="BG20" i="2"/>
  <c r="BL35" i="2"/>
  <c r="BO35" i="2"/>
  <c r="BN20" i="2"/>
  <c r="BN35" i="2"/>
  <c r="BI35" i="2"/>
  <c r="BM35" i="2"/>
  <c r="BR35" i="2"/>
  <c r="BS35" i="2"/>
  <c r="BJ20" i="2"/>
  <c r="BJ35" i="2"/>
  <c r="BQ35" i="2"/>
  <c r="BK20" i="2"/>
  <c r="BQ20" i="2"/>
  <c r="BK35" i="2"/>
  <c r="BR20" i="2"/>
  <c r="BP20" i="2"/>
  <c r="BS20" i="2"/>
  <c r="BT20" i="2"/>
  <c r="BL20" i="2"/>
  <c r="BO20" i="2"/>
  <c r="BU10" i="2"/>
  <c r="BY27" i="2"/>
  <c r="BY10" i="2"/>
  <c r="BY25" i="2"/>
  <c r="BY11" i="2"/>
  <c r="BY28" i="2"/>
  <c r="BY26" i="2"/>
  <c r="BY24" i="2"/>
  <c r="BY23" i="2"/>
  <c r="CA23" i="2"/>
  <c r="CA26" i="2"/>
  <c r="CA28" i="2"/>
  <c r="CA27" i="2"/>
  <c r="CA25" i="2"/>
  <c r="CA11" i="2"/>
  <c r="CA24" i="2"/>
  <c r="CA10" i="2"/>
  <c r="CT37" i="2"/>
  <c r="CY5" i="2"/>
  <c r="CQ37" i="2"/>
  <c r="CR22" i="2"/>
  <c r="CO37" i="2"/>
  <c r="CN37" i="2"/>
  <c r="CK22" i="2"/>
  <c r="CM9" i="2"/>
  <c r="CT22" i="2"/>
  <c r="CV22" i="2"/>
  <c r="CP22" i="2"/>
  <c r="CN9" i="2"/>
  <c r="CL37" i="2"/>
  <c r="CK37" i="2"/>
  <c r="CW22" i="2"/>
  <c r="CT9" i="2"/>
  <c r="CO9" i="2"/>
  <c r="CM37" i="2"/>
  <c r="CK9" i="2"/>
  <c r="CU22" i="2"/>
  <c r="CR9" i="2"/>
  <c r="CS9" i="2"/>
  <c r="CW37" i="2"/>
  <c r="CV37" i="2"/>
  <c r="CS22" i="2"/>
  <c r="CP9" i="2"/>
  <c r="CU9" i="2"/>
  <c r="CU37" i="2"/>
  <c r="CQ9" i="2"/>
  <c r="CP37" i="2"/>
  <c r="CQ22" i="2"/>
  <c r="CM22" i="2"/>
  <c r="CS37" i="2"/>
  <c r="CR37" i="2"/>
  <c r="CO22" i="2"/>
  <c r="CL9" i="2"/>
  <c r="CN22" i="2"/>
  <c r="CL22" i="2"/>
  <c r="CV9" i="2"/>
  <c r="BX26" i="2"/>
  <c r="BX23" i="2"/>
  <c r="BX27" i="2"/>
  <c r="BX11" i="2"/>
  <c r="BX25" i="2"/>
  <c r="BX10" i="2"/>
  <c r="BX28" i="2"/>
  <c r="BX24" i="2"/>
  <c r="BZ19" i="2"/>
  <c r="BZ18" i="2"/>
  <c r="BZ15" i="2"/>
  <c r="BZ14" i="2"/>
  <c r="BZ24" i="2"/>
  <c r="BZ23" i="2"/>
  <c r="BZ10" i="2"/>
  <c r="BZ12" i="2"/>
  <c r="BZ25" i="2"/>
  <c r="BZ11" i="2"/>
  <c r="BZ16" i="2"/>
  <c r="BZ13" i="2"/>
  <c r="BZ28" i="2"/>
  <c r="BZ27" i="2"/>
  <c r="BZ26" i="2"/>
  <c r="BZ17" i="2"/>
  <c r="BU12" i="2"/>
  <c r="BF7" i="2"/>
  <c r="BF39" i="2" s="1"/>
  <c r="AW7" i="2"/>
  <c r="AW39" i="2" s="1"/>
  <c r="BU23" i="2"/>
  <c r="CD25" i="2"/>
  <c r="CD28" i="2"/>
  <c r="CD23" i="2"/>
  <c r="CD19" i="2"/>
  <c r="CD15" i="2"/>
  <c r="CD10" i="2"/>
  <c r="CD24" i="2"/>
  <c r="CD11" i="2"/>
  <c r="CD18" i="2"/>
  <c r="CD14" i="2"/>
  <c r="CD17" i="2"/>
  <c r="CD13" i="2"/>
  <c r="CD27" i="2"/>
  <c r="CD26" i="2"/>
  <c r="CD16" i="2"/>
  <c r="CD12" i="2"/>
  <c r="CF26" i="2"/>
  <c r="CF11" i="2"/>
  <c r="CF23" i="2"/>
  <c r="CF27" i="2"/>
  <c r="CF28" i="2"/>
  <c r="CF12" i="2"/>
  <c r="CF16" i="2"/>
  <c r="CF24" i="2"/>
  <c r="CF13" i="2"/>
  <c r="CF17" i="2"/>
  <c r="CF14" i="2"/>
  <c r="CF18" i="2"/>
  <c r="CF25" i="2"/>
  <c r="CF15" i="2"/>
  <c r="CF19" i="2"/>
  <c r="CF10" i="2"/>
  <c r="CH25" i="2"/>
  <c r="CH23" i="2"/>
  <c r="CH28" i="2"/>
  <c r="CH11" i="2"/>
  <c r="CH24" i="2"/>
  <c r="CH26" i="2"/>
  <c r="CH27" i="2"/>
  <c r="CH10" i="2"/>
  <c r="BU19" i="2"/>
  <c r="BU18" i="2"/>
  <c r="BU17" i="2"/>
  <c r="BB7" i="2"/>
  <c r="BB39" i="2" s="1"/>
  <c r="AM38" i="2"/>
  <c r="BU24" i="2"/>
  <c r="BU28" i="2"/>
  <c r="CC27" i="2"/>
  <c r="CC10" i="2"/>
  <c r="CC24" i="2"/>
  <c r="CC23" i="2"/>
  <c r="CC25" i="2"/>
  <c r="CC11" i="2"/>
  <c r="CC28" i="2"/>
  <c r="CC26" i="2"/>
  <c r="CE28" i="2"/>
  <c r="CE24" i="2"/>
  <c r="CE27" i="2"/>
  <c r="CE10" i="2"/>
  <c r="CE23" i="2"/>
  <c r="CE25" i="2"/>
  <c r="CE11" i="2"/>
  <c r="CE26" i="2"/>
  <c r="CG25" i="2"/>
  <c r="CG23" i="2"/>
  <c r="CG27" i="2"/>
  <c r="CG11" i="2"/>
  <c r="CG28" i="2"/>
  <c r="CG10" i="2"/>
  <c r="CG26" i="2"/>
  <c r="CG24" i="2"/>
  <c r="CB26" i="2"/>
  <c r="CB27" i="2"/>
  <c r="CB11" i="2"/>
  <c r="CB23" i="2"/>
  <c r="CB24" i="2"/>
  <c r="CB25" i="2"/>
  <c r="CB10" i="2"/>
  <c r="CB28" i="2"/>
  <c r="BU16" i="2"/>
  <c r="BU15" i="2"/>
  <c r="BU14" i="2"/>
  <c r="BU13" i="2"/>
  <c r="AX7" i="2"/>
  <c r="AX39" i="2" s="1"/>
  <c r="AK38" i="2"/>
  <c r="AO38" i="2"/>
  <c r="BU27" i="2"/>
  <c r="BU26" i="2"/>
  <c r="AG38" i="2"/>
  <c r="BW27" i="2"/>
  <c r="BW10" i="2"/>
  <c r="BW23" i="2"/>
  <c r="BW25" i="2"/>
  <c r="BW11" i="2"/>
  <c r="BW24" i="2"/>
  <c r="BW26" i="2"/>
  <c r="BW28" i="2"/>
  <c r="BU29" i="2"/>
  <c r="AS7" i="2"/>
  <c r="BE7" i="2"/>
  <c r="BE39" i="2" s="1"/>
  <c r="BD7" i="2"/>
  <c r="BD39" i="2" s="1"/>
  <c r="O38" i="2"/>
  <c r="AH48" i="2" a="1"/>
  <c r="AN48" i="2" a="1"/>
  <c r="CB35" i="2" a="1"/>
  <c r="BZ35" i="2" a="1"/>
  <c r="BW20" i="2" a="1"/>
  <c r="BX35" i="2" a="1"/>
  <c r="AJ48" i="2" a="1"/>
  <c r="AO48" i="2" a="1"/>
  <c r="BY20" i="2" a="1"/>
  <c r="CF35" i="2" a="1"/>
  <c r="BU20" i="2" a="1"/>
  <c r="AI48" i="2" a="1"/>
  <c r="CE35" i="2" a="1"/>
  <c r="BU35" i="2" a="1"/>
  <c r="CE20" i="2" a="1"/>
  <c r="CD35" i="2" a="1"/>
  <c r="AQ48" i="2" a="1"/>
  <c r="CF20" i="2" a="1"/>
  <c r="AP48" i="2" a="1"/>
  <c r="AM48" i="2" a="1"/>
  <c r="BZ20" i="2" a="1"/>
  <c r="AR48" i="2" a="1"/>
  <c r="CD20" i="2" a="1"/>
  <c r="AG48" i="2" a="1"/>
  <c r="AE48" i="2" a="1"/>
  <c r="CA20" i="2" a="1"/>
  <c r="AK48" i="2" a="1"/>
  <c r="CB20" i="2" a="1"/>
  <c r="CA35" i="2" a="1"/>
  <c r="BY35" i="2" a="1"/>
  <c r="CC20" i="2" a="1"/>
  <c r="O48" i="2" a="1"/>
  <c r="CH35" i="2" a="1"/>
  <c r="CG20" i="2" a="1"/>
  <c r="CC35" i="2" a="1"/>
  <c r="CG35" i="2" a="1"/>
  <c r="AL48" i="2" a="1"/>
  <c r="BX20" i="2" a="1"/>
  <c r="CH20" i="2" a="1"/>
  <c r="BW35" i="2" a="1"/>
  <c r="G21" i="7" l="1" a="1"/>
  <c r="G21" i="7" s="1"/>
  <c r="J21" i="7" a="1"/>
  <c r="J21" i="7" s="1"/>
  <c r="CR34" i="2"/>
  <c r="CR32" i="2"/>
  <c r="CR30" i="2"/>
  <c r="CR31" i="2"/>
  <c r="CK32" i="2"/>
  <c r="CK30" i="2"/>
  <c r="CK34" i="2"/>
  <c r="CK31" i="2"/>
  <c r="CO34" i="2"/>
  <c r="CO30" i="2"/>
  <c r="CO32" i="2"/>
  <c r="CO31" i="2"/>
  <c r="CT30" i="2"/>
  <c r="CT32" i="2"/>
  <c r="CT34" i="2"/>
  <c r="CT31" i="2"/>
  <c r="CL32" i="2"/>
  <c r="CL30" i="2"/>
  <c r="CL34" i="2"/>
  <c r="CL31" i="2"/>
  <c r="CQ34" i="2"/>
  <c r="CQ32" i="2"/>
  <c r="CQ30" i="2"/>
  <c r="CQ31" i="2"/>
  <c r="CI30" i="2"/>
  <c r="CM32" i="2"/>
  <c r="CM31" i="2"/>
  <c r="CM30" i="2"/>
  <c r="CM34" i="2"/>
  <c r="CI32" i="2"/>
  <c r="CP34" i="2"/>
  <c r="CP30" i="2"/>
  <c r="CP32" i="2"/>
  <c r="CP31" i="2"/>
  <c r="CV30" i="2"/>
  <c r="CV34" i="2"/>
  <c r="CV32" i="2"/>
  <c r="CV31" i="2"/>
  <c r="CN32" i="2"/>
  <c r="CN31" i="2"/>
  <c r="CN30" i="2"/>
  <c r="CN34" i="2"/>
  <c r="CU30" i="2"/>
  <c r="CU34" i="2"/>
  <c r="CU32" i="2"/>
  <c r="CU31" i="2"/>
  <c r="CI34" i="2"/>
  <c r="CI31" i="2"/>
  <c r="CS30" i="2"/>
  <c r="CS32" i="2"/>
  <c r="CS31" i="2"/>
  <c r="CS34" i="2"/>
  <c r="AK48" i="2"/>
  <c r="AM48" i="2"/>
  <c r="AR48" i="2"/>
  <c r="O48" i="2"/>
  <c r="AQ48" i="2"/>
  <c r="AG48" i="2"/>
  <c r="AE48" i="2"/>
  <c r="AN48" i="2"/>
  <c r="AO48" i="2"/>
  <c r="AP48" i="2"/>
  <c r="AJ48" i="2"/>
  <c r="AI48" i="2"/>
  <c r="AH48" i="2"/>
  <c r="AL48" i="2"/>
  <c r="AY38" i="2"/>
  <c r="AY39" i="2"/>
  <c r="BA38" i="2"/>
  <c r="BA39" i="2"/>
  <c r="BC38" i="2"/>
  <c r="BC39" i="2"/>
  <c r="AV38" i="2"/>
  <c r="AV39" i="2"/>
  <c r="CQ29" i="2"/>
  <c r="CR29" i="2"/>
  <c r="CO29" i="2"/>
  <c r="CL29" i="2"/>
  <c r="CT29" i="2"/>
  <c r="CN29" i="2"/>
  <c r="CM29" i="2"/>
  <c r="CV29" i="2"/>
  <c r="CU29" i="2"/>
  <c r="CK29" i="2"/>
  <c r="CP29" i="2"/>
  <c r="CS29" i="2"/>
  <c r="AU38" i="2"/>
  <c r="G10" i="7"/>
  <c r="CI28" i="2"/>
  <c r="CI24" i="2"/>
  <c r="CI11" i="2"/>
  <c r="CI27" i="2"/>
  <c r="BL7" i="2"/>
  <c r="BL39" i="2" s="1"/>
  <c r="BP7" i="2"/>
  <c r="BP39" i="2" s="1"/>
  <c r="CI25" i="2"/>
  <c r="CI26" i="2"/>
  <c r="AZ38" i="2"/>
  <c r="BO7" i="2"/>
  <c r="BO39" i="2" s="1"/>
  <c r="BS7" i="2"/>
  <c r="BQ7" i="2"/>
  <c r="BI7" i="2"/>
  <c r="BI39" i="2" s="1"/>
  <c r="BJ7" i="2"/>
  <c r="BJ39" i="2" s="1"/>
  <c r="CG20" i="2"/>
  <c r="CG35" i="2"/>
  <c r="CC20" i="2"/>
  <c r="CH20" i="2"/>
  <c r="CF20" i="2"/>
  <c r="BU35" i="2"/>
  <c r="BZ35" i="2"/>
  <c r="BX20" i="2"/>
  <c r="BX35" i="2"/>
  <c r="CA35" i="2"/>
  <c r="CE35" i="2"/>
  <c r="CF35" i="2"/>
  <c r="CD35" i="2"/>
  <c r="CA20" i="2"/>
  <c r="BY35" i="2"/>
  <c r="BU20" i="2"/>
  <c r="BW35" i="2"/>
  <c r="CB35" i="2"/>
  <c r="CE20" i="2"/>
  <c r="CC35" i="2"/>
  <c r="CH35" i="2"/>
  <c r="CD20" i="2"/>
  <c r="BW20" i="2"/>
  <c r="CB20" i="2"/>
  <c r="BZ20" i="2"/>
  <c r="BY20" i="2"/>
  <c r="BE38" i="2"/>
  <c r="BF38" i="2"/>
  <c r="CI18" i="2"/>
  <c r="CQ24" i="2"/>
  <c r="CQ27" i="2"/>
  <c r="CQ23" i="2"/>
  <c r="CQ28" i="2"/>
  <c r="CQ25" i="2"/>
  <c r="CQ26" i="2"/>
  <c r="CQ10" i="2"/>
  <c r="CQ11" i="2"/>
  <c r="CR27" i="2"/>
  <c r="CR26" i="2"/>
  <c r="CR25" i="2"/>
  <c r="CR24" i="2"/>
  <c r="CR15" i="2"/>
  <c r="CR28" i="2"/>
  <c r="CR17" i="2"/>
  <c r="CR10" i="2"/>
  <c r="CR23" i="2"/>
  <c r="CR18" i="2"/>
  <c r="CR13" i="2"/>
  <c r="CR16" i="2"/>
  <c r="CR19" i="2"/>
  <c r="CR12" i="2"/>
  <c r="CR11" i="2"/>
  <c r="CR14" i="2"/>
  <c r="CO10" i="2"/>
  <c r="CO23" i="2"/>
  <c r="CO27" i="2"/>
  <c r="CO11" i="2"/>
  <c r="CO24" i="2"/>
  <c r="CO25" i="2"/>
  <c r="CO28" i="2"/>
  <c r="CO26" i="2"/>
  <c r="BT7" i="2"/>
  <c r="BT39" i="2" s="1"/>
  <c r="BR7" i="2"/>
  <c r="BR39" i="2" s="1"/>
  <c r="AS38" i="2"/>
  <c r="AW38" i="2"/>
  <c r="CI19" i="2"/>
  <c r="CL28" i="2"/>
  <c r="CL27" i="2"/>
  <c r="CL26" i="2"/>
  <c r="CL24" i="2"/>
  <c r="CL11" i="2"/>
  <c r="CL23" i="2"/>
  <c r="CL25" i="2"/>
  <c r="CL10" i="2"/>
  <c r="CT19" i="2"/>
  <c r="CT15" i="2"/>
  <c r="CT27" i="2"/>
  <c r="CT28" i="2"/>
  <c r="CT25" i="2"/>
  <c r="CT14" i="2"/>
  <c r="CT23" i="2"/>
  <c r="CT18" i="2"/>
  <c r="CT13" i="2"/>
  <c r="CT24" i="2"/>
  <c r="CT17" i="2"/>
  <c r="CT12" i="2"/>
  <c r="CT26" i="2"/>
  <c r="CT11" i="2"/>
  <c r="CT16" i="2"/>
  <c r="CT10" i="2"/>
  <c r="CN27" i="2"/>
  <c r="CN17" i="2"/>
  <c r="CN16" i="2"/>
  <c r="CN14" i="2"/>
  <c r="CN24" i="2"/>
  <c r="CN13" i="2"/>
  <c r="CN26" i="2"/>
  <c r="CN23" i="2"/>
  <c r="CN10" i="2"/>
  <c r="CN18" i="2"/>
  <c r="CN19" i="2"/>
  <c r="CN11" i="2"/>
  <c r="CN15" i="2"/>
  <c r="CN25" i="2"/>
  <c r="CN12" i="2"/>
  <c r="CN28" i="2"/>
  <c r="CM24" i="2"/>
  <c r="CM25" i="2"/>
  <c r="CM23" i="2"/>
  <c r="CM26" i="2"/>
  <c r="CM11" i="2"/>
  <c r="CM27" i="2"/>
  <c r="CM28" i="2"/>
  <c r="CM10" i="2"/>
  <c r="BG7" i="2"/>
  <c r="BM7" i="2"/>
  <c r="BM39" i="2" s="1"/>
  <c r="CI23" i="2"/>
  <c r="BB38" i="2"/>
  <c r="CI17" i="2"/>
  <c r="CI13" i="2"/>
  <c r="CI16" i="2"/>
  <c r="CI12" i="2"/>
  <c r="CI14" i="2"/>
  <c r="CV23" i="2"/>
  <c r="CV28" i="2"/>
  <c r="CV24" i="2"/>
  <c r="CV27" i="2"/>
  <c r="CV25" i="2"/>
  <c r="CV11" i="2"/>
  <c r="CV10" i="2"/>
  <c r="CV26" i="2"/>
  <c r="CU24" i="2"/>
  <c r="CU11" i="2"/>
  <c r="CU25" i="2"/>
  <c r="CU23" i="2"/>
  <c r="CU10" i="2"/>
  <c r="CU26" i="2"/>
  <c r="CU28" i="2"/>
  <c r="CU27" i="2"/>
  <c r="CK10" i="2"/>
  <c r="CK27" i="2"/>
  <c r="CK11" i="2"/>
  <c r="CK26" i="2"/>
  <c r="CK25" i="2"/>
  <c r="CK24" i="2"/>
  <c r="CK23" i="2"/>
  <c r="CK28" i="2"/>
  <c r="BK7" i="2"/>
  <c r="BK39" i="2" s="1"/>
  <c r="BN7" i="2"/>
  <c r="BN39" i="2" s="1"/>
  <c r="BD38" i="2"/>
  <c r="CI10" i="2"/>
  <c r="AX38" i="2"/>
  <c r="CI29" i="2"/>
  <c r="CI15" i="2"/>
  <c r="CP24" i="2"/>
  <c r="CP26" i="2"/>
  <c r="CP28" i="2"/>
  <c r="CP25" i="2"/>
  <c r="CP11" i="2"/>
  <c r="CP27" i="2"/>
  <c r="CP23" i="2"/>
  <c r="CP10" i="2"/>
  <c r="CS10" i="2"/>
  <c r="CS11" i="2"/>
  <c r="CS25" i="2"/>
  <c r="CS24" i="2"/>
  <c r="CS23" i="2"/>
  <c r="CS28" i="2"/>
  <c r="CS26" i="2"/>
  <c r="CS27" i="2"/>
  <c r="DK37" i="2"/>
  <c r="DD37" i="2"/>
  <c r="DI22" i="2"/>
  <c r="DH9" i="2"/>
  <c r="CZ9" i="2"/>
  <c r="CZ37" i="2"/>
  <c r="DE22" i="2"/>
  <c r="DF9" i="2"/>
  <c r="DM5" i="2"/>
  <c r="DA22" i="2"/>
  <c r="DD9" i="2"/>
  <c r="DH37" i="2"/>
  <c r="DJ9" i="2"/>
  <c r="DB9" i="2"/>
  <c r="DG9" i="2"/>
  <c r="DI37" i="2"/>
  <c r="CY22" i="2"/>
  <c r="DF37" i="2"/>
  <c r="DB22" i="2"/>
  <c r="DJ22" i="2"/>
  <c r="DE37" i="2"/>
  <c r="DG22" i="2"/>
  <c r="DB37" i="2"/>
  <c r="DI9" i="2"/>
  <c r="CZ22" i="2"/>
  <c r="DC37" i="2"/>
  <c r="CY9" i="2"/>
  <c r="DK22" i="2"/>
  <c r="DJ37" i="2"/>
  <c r="DD22" i="2"/>
  <c r="DG37" i="2"/>
  <c r="DC9" i="2"/>
  <c r="DA9" i="2"/>
  <c r="DH22" i="2"/>
  <c r="DF22" i="2"/>
  <c r="DA37" i="2"/>
  <c r="DC22" i="2"/>
  <c r="DE9" i="2"/>
  <c r="CY37" i="2"/>
  <c r="K38" i="2"/>
  <c r="CT35" i="2" a="1"/>
  <c r="BC48" i="2" a="1"/>
  <c r="AU48" i="2" a="1"/>
  <c r="BF48" i="2" a="1"/>
  <c r="AV48" i="2" a="1"/>
  <c r="CI20" i="2" a="1"/>
  <c r="CQ20" i="2" a="1"/>
  <c r="CN20" i="2" a="1"/>
  <c r="CU20" i="2" a="1"/>
  <c r="CL35" i="2" a="1"/>
  <c r="CM20" i="2" a="1"/>
  <c r="CO35" i="2" a="1"/>
  <c r="CU35" i="2" a="1"/>
  <c r="CO20" i="2" a="1"/>
  <c r="AS48" i="2" a="1"/>
  <c r="CP35" i="2" a="1"/>
  <c r="AX48" i="2" a="1"/>
  <c r="CR35" i="2" a="1"/>
  <c r="CR20" i="2" a="1"/>
  <c r="CN35" i="2" a="1"/>
  <c r="CV35" i="2" a="1"/>
  <c r="CS20" i="2" a="1"/>
  <c r="BB48" i="2" a="1"/>
  <c r="CQ35" i="2" a="1"/>
  <c r="CP20" i="2" a="1"/>
  <c r="AY48" i="2" a="1"/>
  <c r="BD48" i="2" a="1"/>
  <c r="CM35" i="2" a="1"/>
  <c r="CI35" i="2" a="1"/>
  <c r="CK35" i="2" a="1"/>
  <c r="BE48" i="2" a="1"/>
  <c r="CS35" i="2" a="1"/>
  <c r="BA48" i="2" a="1"/>
  <c r="AW48" i="2" a="1"/>
  <c r="CT20" i="2" a="1"/>
  <c r="K48" i="2" a="1"/>
  <c r="CL20" i="2" a="1"/>
  <c r="CV20" i="2" a="1"/>
  <c r="CK20" i="2" a="1"/>
  <c r="AZ48" i="2" a="1"/>
  <c r="DC34" i="2" l="1"/>
  <c r="DC31" i="2"/>
  <c r="DC32" i="2"/>
  <c r="DC30" i="2"/>
  <c r="CY32" i="2"/>
  <c r="CY30" i="2"/>
  <c r="CY31" i="2"/>
  <c r="CY34" i="2"/>
  <c r="DD34" i="2"/>
  <c r="DD32" i="2"/>
  <c r="DD31" i="2"/>
  <c r="DD30" i="2"/>
  <c r="DI30" i="2"/>
  <c r="DI34" i="2"/>
  <c r="DI32" i="2"/>
  <c r="DI31" i="2"/>
  <c r="DF34" i="2"/>
  <c r="DF32" i="2"/>
  <c r="DF30" i="2"/>
  <c r="DF31" i="2"/>
  <c r="CW34" i="2"/>
  <c r="DE34" i="2"/>
  <c r="DE32" i="2"/>
  <c r="DE30" i="2"/>
  <c r="DE31" i="2"/>
  <c r="CW30" i="2"/>
  <c r="CZ32" i="2"/>
  <c r="CZ30" i="2"/>
  <c r="CZ31" i="2"/>
  <c r="CZ34" i="2"/>
  <c r="DG30" i="2"/>
  <c r="DG32" i="2"/>
  <c r="DG34" i="2"/>
  <c r="DG31" i="2"/>
  <c r="DJ30" i="2"/>
  <c r="DJ34" i="2"/>
  <c r="DJ31" i="2"/>
  <c r="DJ32" i="2"/>
  <c r="CW31" i="2"/>
  <c r="CW32" i="2"/>
  <c r="DH30" i="2"/>
  <c r="DH32" i="2"/>
  <c r="DH34" i="2"/>
  <c r="DH31" i="2"/>
  <c r="DB32" i="2"/>
  <c r="DB31" i="2"/>
  <c r="DB30" i="2"/>
  <c r="DB34" i="2"/>
  <c r="DA32" i="2"/>
  <c r="DA31" i="2"/>
  <c r="DA30" i="2"/>
  <c r="DA34" i="2"/>
  <c r="BG39" i="2"/>
  <c r="K48" i="2"/>
  <c r="BD48" i="2"/>
  <c r="BB48" i="2"/>
  <c r="AW48" i="2"/>
  <c r="AU48" i="2"/>
  <c r="BC48" i="2"/>
  <c r="AY48" i="2"/>
  <c r="BF48" i="2"/>
  <c r="AX48" i="2"/>
  <c r="BE48" i="2"/>
  <c r="AZ48" i="2"/>
  <c r="AV48" i="2"/>
  <c r="BA48" i="2"/>
  <c r="AS48" i="2"/>
  <c r="BS38" i="2"/>
  <c r="BS39" i="2"/>
  <c r="BQ38" i="2"/>
  <c r="BQ39" i="2"/>
  <c r="DE29" i="2"/>
  <c r="DB29" i="2"/>
  <c r="DA29" i="2"/>
  <c r="DJ29" i="2"/>
  <c r="CZ29" i="2"/>
  <c r="DC29" i="2"/>
  <c r="DI29" i="2"/>
  <c r="DI10" i="2"/>
  <c r="DF29" i="2"/>
  <c r="DH29" i="2"/>
  <c r="CY29" i="2"/>
  <c r="DG29" i="2"/>
  <c r="DD29" i="2"/>
  <c r="BI38" i="2"/>
  <c r="G11" i="7"/>
  <c r="BP38" i="2"/>
  <c r="CW18" i="2"/>
  <c r="CW12" i="2"/>
  <c r="BL38" i="2"/>
  <c r="CW15" i="2"/>
  <c r="CW29" i="2"/>
  <c r="CW19" i="2"/>
  <c r="CW14" i="2"/>
  <c r="CW16" i="2"/>
  <c r="CW17" i="2"/>
  <c r="BO38" i="2"/>
  <c r="BY7" i="2"/>
  <c r="BY39" i="2" s="1"/>
  <c r="BJ38" i="2"/>
  <c r="BZ7" i="2"/>
  <c r="BW7" i="2"/>
  <c r="BW39" i="2" s="1"/>
  <c r="CE7" i="2"/>
  <c r="BU7" i="2"/>
  <c r="CC7" i="2"/>
  <c r="CH7" i="2"/>
  <c r="CH39" i="2" s="1"/>
  <c r="CP35" i="2"/>
  <c r="CI20" i="2"/>
  <c r="CK20" i="2"/>
  <c r="CU20" i="2"/>
  <c r="CV35" i="2"/>
  <c r="CI35" i="2"/>
  <c r="CR20" i="2"/>
  <c r="CU35" i="2"/>
  <c r="CM20" i="2"/>
  <c r="CT20" i="2"/>
  <c r="CL20" i="2"/>
  <c r="CQ20" i="2"/>
  <c r="CQ35" i="2"/>
  <c r="CS35" i="2"/>
  <c r="CS20" i="2"/>
  <c r="CK35" i="2"/>
  <c r="CV20" i="2"/>
  <c r="CM35" i="2"/>
  <c r="CN20" i="2"/>
  <c r="CT35" i="2"/>
  <c r="CO35" i="2"/>
  <c r="CP20" i="2"/>
  <c r="CN35" i="2"/>
  <c r="CL35" i="2"/>
  <c r="CO20" i="2"/>
  <c r="CR35" i="2"/>
  <c r="CW25" i="2"/>
  <c r="CW10" i="2"/>
  <c r="CY11" i="2"/>
  <c r="CY28" i="2"/>
  <c r="CY26" i="2"/>
  <c r="CY27" i="2"/>
  <c r="CY25" i="2"/>
  <c r="CY23" i="2"/>
  <c r="CY24" i="2"/>
  <c r="CY10" i="2"/>
  <c r="DG23" i="2"/>
  <c r="DG25" i="2"/>
  <c r="DG10" i="2"/>
  <c r="DG27" i="2"/>
  <c r="DG28" i="2"/>
  <c r="DG11" i="2"/>
  <c r="DG24" i="2"/>
  <c r="DG26" i="2"/>
  <c r="DD26" i="2"/>
  <c r="DD11" i="2"/>
  <c r="DD23" i="2"/>
  <c r="DD27" i="2"/>
  <c r="DD28" i="2"/>
  <c r="DD24" i="2"/>
  <c r="DD25" i="2"/>
  <c r="DD10" i="2"/>
  <c r="BN38" i="2"/>
  <c r="CW28" i="2"/>
  <c r="CW26" i="2"/>
  <c r="BM38" i="2"/>
  <c r="BG38" i="2"/>
  <c r="CF7" i="2"/>
  <c r="CF39" i="2" s="1"/>
  <c r="DE28" i="2"/>
  <c r="DE11" i="2"/>
  <c r="DE24" i="2"/>
  <c r="DE26" i="2"/>
  <c r="DE27" i="2"/>
  <c r="DE23" i="2"/>
  <c r="DE25" i="2"/>
  <c r="DE10" i="2"/>
  <c r="DB19" i="2"/>
  <c r="DB13" i="2"/>
  <c r="DB28" i="2"/>
  <c r="DB23" i="2"/>
  <c r="DB10" i="2"/>
  <c r="DB12" i="2"/>
  <c r="DB17" i="2"/>
  <c r="DB14" i="2"/>
  <c r="DB15" i="2"/>
  <c r="DB24" i="2"/>
  <c r="DB11" i="2"/>
  <c r="DB16" i="2"/>
  <c r="DB26" i="2"/>
  <c r="DB18" i="2"/>
  <c r="DB25" i="2"/>
  <c r="DB27" i="2"/>
  <c r="DA24" i="2"/>
  <c r="DA26" i="2"/>
  <c r="DA28" i="2"/>
  <c r="DA10" i="2"/>
  <c r="DA27" i="2"/>
  <c r="DA23" i="2"/>
  <c r="DA25" i="2"/>
  <c r="DA11" i="2"/>
  <c r="DJ25" i="2"/>
  <c r="DJ23" i="2"/>
  <c r="DJ28" i="2"/>
  <c r="DJ11" i="2"/>
  <c r="DJ10" i="2"/>
  <c r="DJ24" i="2"/>
  <c r="DJ27" i="2"/>
  <c r="DJ26" i="2"/>
  <c r="DY37" i="2"/>
  <c r="DR37" i="2"/>
  <c r="DW22" i="2"/>
  <c r="DO22" i="2"/>
  <c r="DT9" i="2"/>
  <c r="DN9" i="2"/>
  <c r="DN37" i="2"/>
  <c r="DT22" i="2"/>
  <c r="DX9" i="2"/>
  <c r="DR9" i="2"/>
  <c r="DM9" i="2"/>
  <c r="EA5" i="2"/>
  <c r="DS22" i="2"/>
  <c r="DV9" i="2"/>
  <c r="DQ9" i="2"/>
  <c r="DV37" i="2"/>
  <c r="DX22" i="2"/>
  <c r="DP22" i="2"/>
  <c r="DU9" i="2"/>
  <c r="DP9" i="2"/>
  <c r="DS37" i="2"/>
  <c r="DM22" i="2"/>
  <c r="DT37" i="2"/>
  <c r="DO9" i="2"/>
  <c r="DV22" i="2"/>
  <c r="DW37" i="2"/>
  <c r="DQ22" i="2"/>
  <c r="DX37" i="2"/>
  <c r="DS9" i="2"/>
  <c r="DM37" i="2"/>
  <c r="DU22" i="2"/>
  <c r="DW9" i="2"/>
  <c r="DN22" i="2"/>
  <c r="DO37" i="2"/>
  <c r="DY22" i="2"/>
  <c r="DP37" i="2"/>
  <c r="DR22" i="2"/>
  <c r="DU37" i="2"/>
  <c r="DQ37" i="2"/>
  <c r="CZ26" i="2"/>
  <c r="CZ27" i="2"/>
  <c r="CZ11" i="2"/>
  <c r="CZ23" i="2"/>
  <c r="CZ24" i="2"/>
  <c r="CZ25" i="2"/>
  <c r="CZ10" i="2"/>
  <c r="CZ28" i="2"/>
  <c r="BK38" i="2"/>
  <c r="CW23" i="2"/>
  <c r="CW11" i="2"/>
  <c r="CW13" i="2"/>
  <c r="BR38" i="2"/>
  <c r="CD7" i="2"/>
  <c r="CD39" i="2" s="1"/>
  <c r="BX7" i="2"/>
  <c r="BX39" i="2" s="1"/>
  <c r="DC11" i="2"/>
  <c r="DC28" i="2"/>
  <c r="DC10" i="2"/>
  <c r="DC27" i="2"/>
  <c r="DC25" i="2"/>
  <c r="DC23" i="2"/>
  <c r="DC24" i="2"/>
  <c r="DC26" i="2"/>
  <c r="DI24" i="2"/>
  <c r="DI25" i="2"/>
  <c r="DI11" i="2"/>
  <c r="DI23" i="2"/>
  <c r="DI28" i="2"/>
  <c r="DI26" i="2"/>
  <c r="DI27" i="2"/>
  <c r="DF28" i="2"/>
  <c r="DF27" i="2"/>
  <c r="DF19" i="2"/>
  <c r="DF15" i="2"/>
  <c r="DF10" i="2"/>
  <c r="DF24" i="2"/>
  <c r="DF23" i="2"/>
  <c r="DF18" i="2"/>
  <c r="DF14" i="2"/>
  <c r="DF26" i="2"/>
  <c r="DF12" i="2"/>
  <c r="DF17" i="2"/>
  <c r="DF16" i="2"/>
  <c r="DF25" i="2"/>
  <c r="DF11" i="2"/>
  <c r="DF13" i="2"/>
  <c r="DH26" i="2"/>
  <c r="DH23" i="2"/>
  <c r="DH27" i="2"/>
  <c r="DH11" i="2"/>
  <c r="DH16" i="2"/>
  <c r="DH28" i="2"/>
  <c r="DH13" i="2"/>
  <c r="DH18" i="2"/>
  <c r="DH24" i="2"/>
  <c r="DH15" i="2"/>
  <c r="DH19" i="2"/>
  <c r="DH17" i="2"/>
  <c r="DH12" i="2"/>
  <c r="DH25" i="2"/>
  <c r="DH14" i="2"/>
  <c r="DH10" i="2"/>
  <c r="CW24" i="2"/>
  <c r="CW27" i="2"/>
  <c r="BT38" i="2"/>
  <c r="CB7" i="2"/>
  <c r="CB39" i="2" s="1"/>
  <c r="CA7" i="2"/>
  <c r="CA39" i="2" s="1"/>
  <c r="CG7" i="2"/>
  <c r="CG39" i="2" s="1"/>
  <c r="G38" i="2"/>
  <c r="CY35" i="2" a="1"/>
  <c r="BS48" i="2" a="1"/>
  <c r="BG48" i="2" a="1"/>
  <c r="CW35" i="2" a="1"/>
  <c r="DH35" i="2" a="1"/>
  <c r="BI48" i="2" a="1"/>
  <c r="DC20" i="2" a="1"/>
  <c r="CY20" i="2" a="1"/>
  <c r="BJ48" i="2" a="1"/>
  <c r="BP48" i="2" a="1"/>
  <c r="DB20" i="2" a="1"/>
  <c r="DJ35" i="2" a="1"/>
  <c r="BL48" i="2" a="1"/>
  <c r="CZ35" i="2" a="1"/>
  <c r="DG35" i="2" a="1"/>
  <c r="DA20" i="2" a="1"/>
  <c r="DE20" i="2" a="1"/>
  <c r="DI20" i="2" a="1"/>
  <c r="BT48" i="2" a="1"/>
  <c r="BN48" i="2" a="1"/>
  <c r="DE35" i="2" a="1"/>
  <c r="G48" i="2" a="1"/>
  <c r="DI35" i="2" a="1"/>
  <c r="DJ20" i="2" a="1"/>
  <c r="DF20" i="2" a="1"/>
  <c r="BO48" i="2" a="1"/>
  <c r="BR48" i="2" a="1"/>
  <c r="DF35" i="2" a="1"/>
  <c r="DA35" i="2" a="1"/>
  <c r="DG20" i="2" a="1"/>
  <c r="DB35" i="2" a="1"/>
  <c r="BK48" i="2" a="1"/>
  <c r="DD35" i="2" a="1"/>
  <c r="DD20" i="2" a="1"/>
  <c r="BQ48" i="2" a="1"/>
  <c r="DC35" i="2" a="1"/>
  <c r="DH20" i="2" a="1"/>
  <c r="CW20" i="2" a="1"/>
  <c r="BM48" i="2" a="1"/>
  <c r="CZ20" i="2" a="1"/>
  <c r="DW30" i="2" l="1"/>
  <c r="DW34" i="2"/>
  <c r="DW31" i="2"/>
  <c r="DW32" i="2"/>
  <c r="DQ34" i="2"/>
  <c r="DQ31" i="2"/>
  <c r="DQ32" i="2"/>
  <c r="DQ30" i="2"/>
  <c r="DV30" i="2"/>
  <c r="DV31" i="2"/>
  <c r="DV32" i="2"/>
  <c r="DV34" i="2"/>
  <c r="DK32" i="2"/>
  <c r="DX30" i="2"/>
  <c r="DX34" i="2"/>
  <c r="DX31" i="2"/>
  <c r="DX32" i="2"/>
  <c r="DT34" i="2"/>
  <c r="DT32" i="2"/>
  <c r="DT31" i="2"/>
  <c r="DT30" i="2"/>
  <c r="DP32" i="2"/>
  <c r="DP31" i="2"/>
  <c r="DP34" i="2"/>
  <c r="DP30" i="2"/>
  <c r="DK30" i="2"/>
  <c r="DO32" i="2"/>
  <c r="DO31" i="2"/>
  <c r="DO34" i="2"/>
  <c r="DO30" i="2"/>
  <c r="DK31" i="2"/>
  <c r="DM32" i="2"/>
  <c r="DM30" i="2"/>
  <c r="DM31" i="2"/>
  <c r="DM34" i="2"/>
  <c r="DU30" i="2"/>
  <c r="DU32" i="2"/>
  <c r="DU31" i="2"/>
  <c r="DU34" i="2"/>
  <c r="DS34" i="2"/>
  <c r="DS32" i="2"/>
  <c r="DS31" i="2"/>
  <c r="DS30" i="2"/>
  <c r="DK34" i="2"/>
  <c r="DR34" i="2"/>
  <c r="DR31" i="2"/>
  <c r="DR32" i="2"/>
  <c r="DR30" i="2"/>
  <c r="DN32" i="2"/>
  <c r="DN31" i="2"/>
  <c r="DN34" i="2"/>
  <c r="DN30" i="2"/>
  <c r="BU39" i="2"/>
  <c r="BT48" i="2"/>
  <c r="BR48" i="2"/>
  <c r="BK48" i="2"/>
  <c r="BM48" i="2"/>
  <c r="BO48" i="2"/>
  <c r="BL48" i="2"/>
  <c r="G48" i="2"/>
  <c r="BP48" i="2"/>
  <c r="BS48" i="2"/>
  <c r="BQ48" i="2"/>
  <c r="BJ48" i="2"/>
  <c r="BG48" i="2"/>
  <c r="BN48" i="2"/>
  <c r="BI48" i="2"/>
  <c r="CC38" i="2"/>
  <c r="CC39" i="2"/>
  <c r="BZ38" i="2"/>
  <c r="BZ39" i="2"/>
  <c r="CE38" i="2"/>
  <c r="CE39" i="2"/>
  <c r="DW29" i="2"/>
  <c r="DO29" i="2"/>
  <c r="DP29" i="2"/>
  <c r="DU29" i="2"/>
  <c r="DQ29" i="2"/>
  <c r="DM29" i="2"/>
  <c r="DS29" i="2"/>
  <c r="DX29" i="2"/>
  <c r="DT29" i="2"/>
  <c r="DV29" i="2"/>
  <c r="DV10" i="2"/>
  <c r="DR29" i="2"/>
  <c r="DN29" i="2"/>
  <c r="G12" i="7"/>
  <c r="CH38" i="2"/>
  <c r="BW38" i="2"/>
  <c r="CV7" i="2"/>
  <c r="CV39" i="2" s="1"/>
  <c r="CP7" i="2"/>
  <c r="CP39" i="2" s="1"/>
  <c r="BY38" i="2"/>
  <c r="CL7" i="2"/>
  <c r="CL39" i="2" s="1"/>
  <c r="CQ7" i="2"/>
  <c r="CR7" i="2"/>
  <c r="CU7" i="2"/>
  <c r="CS7" i="2"/>
  <c r="CK7" i="2"/>
  <c r="CK39" i="2" s="1"/>
  <c r="DI35" i="2"/>
  <c r="DD35" i="2"/>
  <c r="CZ35" i="2"/>
  <c r="DG20" i="2"/>
  <c r="DH20" i="2"/>
  <c r="CW35" i="2"/>
  <c r="CZ20" i="2"/>
  <c r="DJ35" i="2"/>
  <c r="DA35" i="2"/>
  <c r="DB20" i="2"/>
  <c r="DE35" i="2"/>
  <c r="CY35" i="2"/>
  <c r="CW20" i="2"/>
  <c r="DF35" i="2"/>
  <c r="DC20" i="2"/>
  <c r="DJ20" i="2"/>
  <c r="DB35" i="2"/>
  <c r="DG35" i="2"/>
  <c r="DF20" i="2"/>
  <c r="DH35" i="2"/>
  <c r="DI20" i="2"/>
  <c r="DC35" i="2"/>
  <c r="DA20" i="2"/>
  <c r="DE20" i="2"/>
  <c r="DD20" i="2"/>
  <c r="CY20" i="2"/>
  <c r="CD38" i="2"/>
  <c r="DU28" i="2"/>
  <c r="DU23" i="2"/>
  <c r="DU11" i="2"/>
  <c r="DU25" i="2"/>
  <c r="DU24" i="2"/>
  <c r="DU26" i="2"/>
  <c r="DU27" i="2"/>
  <c r="DU10" i="2"/>
  <c r="DQ28" i="2"/>
  <c r="DQ24" i="2"/>
  <c r="DQ26" i="2"/>
  <c r="DQ25" i="2"/>
  <c r="DQ27" i="2"/>
  <c r="DQ10" i="2"/>
  <c r="DQ23" i="2"/>
  <c r="DQ11" i="2"/>
  <c r="DM28" i="2"/>
  <c r="DM11" i="2"/>
  <c r="DM25" i="2"/>
  <c r="DM24" i="2"/>
  <c r="DM10" i="2"/>
  <c r="DM27" i="2"/>
  <c r="DM26" i="2"/>
  <c r="DM23" i="2"/>
  <c r="DK12" i="2"/>
  <c r="DK24" i="2"/>
  <c r="DK26" i="2"/>
  <c r="CM7" i="2"/>
  <c r="CM39" i="2" s="1"/>
  <c r="CG38" i="2"/>
  <c r="DV26" i="2"/>
  <c r="DV23" i="2"/>
  <c r="DV24" i="2"/>
  <c r="DV11" i="2"/>
  <c r="DV27" i="2"/>
  <c r="DV28" i="2"/>
  <c r="DV15" i="2"/>
  <c r="DV16" i="2"/>
  <c r="DV12" i="2"/>
  <c r="DV17" i="2"/>
  <c r="DV25" i="2"/>
  <c r="DV13" i="2"/>
  <c r="DV14" i="2"/>
  <c r="DV18" i="2"/>
  <c r="DV19" i="2"/>
  <c r="DR26" i="2"/>
  <c r="DR28" i="2"/>
  <c r="DR23" i="2"/>
  <c r="DR24" i="2"/>
  <c r="DR11" i="2"/>
  <c r="DR27" i="2"/>
  <c r="DR10" i="2"/>
  <c r="DR25" i="2"/>
  <c r="DN26" i="2"/>
  <c r="DN27" i="2"/>
  <c r="DN28" i="2"/>
  <c r="DN23" i="2"/>
  <c r="DN24" i="2"/>
  <c r="DN11" i="2"/>
  <c r="DN25" i="2"/>
  <c r="DN10" i="2"/>
  <c r="DK15" i="2"/>
  <c r="DK13" i="2"/>
  <c r="CF38" i="2"/>
  <c r="DK23" i="2"/>
  <c r="DK28" i="2"/>
  <c r="CA38" i="2"/>
  <c r="DS27" i="2"/>
  <c r="DS23" i="2"/>
  <c r="DS28" i="2"/>
  <c r="DS10" i="2"/>
  <c r="DS25" i="2"/>
  <c r="DS11" i="2"/>
  <c r="DS24" i="2"/>
  <c r="DS26" i="2"/>
  <c r="DX25" i="2"/>
  <c r="DX24" i="2"/>
  <c r="DX11" i="2"/>
  <c r="DX26" i="2"/>
  <c r="DX27" i="2"/>
  <c r="DX28" i="2"/>
  <c r="DX23" i="2"/>
  <c r="DX10" i="2"/>
  <c r="DT16" i="2"/>
  <c r="DT12" i="2"/>
  <c r="DT18" i="2"/>
  <c r="DT14" i="2"/>
  <c r="DT28" i="2"/>
  <c r="DT10" i="2"/>
  <c r="DT19" i="2"/>
  <c r="DT24" i="2"/>
  <c r="DT27" i="2"/>
  <c r="DT13" i="2"/>
  <c r="DT25" i="2"/>
  <c r="DT11" i="2"/>
  <c r="DT23" i="2"/>
  <c r="DT15" i="2"/>
  <c r="DT26" i="2"/>
  <c r="DT17" i="2"/>
  <c r="DK16" i="2"/>
  <c r="DK14" i="2"/>
  <c r="DK19" i="2"/>
  <c r="DK25" i="2"/>
  <c r="DK11" i="2"/>
  <c r="CO7" i="2"/>
  <c r="CO39" i="2" s="1"/>
  <c r="CI7" i="2"/>
  <c r="BU38" i="2"/>
  <c r="CB38" i="2"/>
  <c r="BX38" i="2"/>
  <c r="DW24" i="2"/>
  <c r="DW26" i="2"/>
  <c r="DW23" i="2"/>
  <c r="DW28" i="2"/>
  <c r="DW25" i="2"/>
  <c r="DW10" i="2"/>
  <c r="DW27" i="2"/>
  <c r="DW11" i="2"/>
  <c r="DO25" i="2"/>
  <c r="DO23" i="2"/>
  <c r="DO28" i="2"/>
  <c r="DO26" i="2"/>
  <c r="DO24" i="2"/>
  <c r="DO11" i="2"/>
  <c r="DO27" i="2"/>
  <c r="DO10" i="2"/>
  <c r="DP25" i="2"/>
  <c r="DP19" i="2"/>
  <c r="DP15" i="2"/>
  <c r="DP17" i="2"/>
  <c r="DP13" i="2"/>
  <c r="DP28" i="2"/>
  <c r="DP27" i="2"/>
  <c r="DP12" i="2"/>
  <c r="DP24" i="2"/>
  <c r="DP23" i="2"/>
  <c r="DP14" i="2"/>
  <c r="DP11" i="2"/>
  <c r="DP16" i="2"/>
  <c r="DP26" i="2"/>
  <c r="DP10" i="2"/>
  <c r="DP18" i="2"/>
  <c r="EM37" i="2"/>
  <c r="ED22" i="2"/>
  <c r="EH9" i="2"/>
  <c r="EB9" i="2"/>
  <c r="EO5" i="2"/>
  <c r="EL9" i="2"/>
  <c r="EF9" i="2"/>
  <c r="EA9" i="2"/>
  <c r="EL22" i="2"/>
  <c r="EJ9" i="2"/>
  <c r="EE9" i="2"/>
  <c r="EH22" i="2"/>
  <c r="EI9" i="2"/>
  <c r="ED9" i="2"/>
  <c r="EG22" i="2"/>
  <c r="EF37" i="2"/>
  <c r="EG37" i="2"/>
  <c r="EA22" i="2"/>
  <c r="EL37" i="2"/>
  <c r="EK9" i="2"/>
  <c r="EF22" i="2"/>
  <c r="EI37" i="2"/>
  <c r="EK22" i="2"/>
  <c r="EJ37" i="2"/>
  <c r="EK37" i="2"/>
  <c r="EE22" i="2"/>
  <c r="EJ22" i="2"/>
  <c r="EI22" i="2"/>
  <c r="ED37" i="2"/>
  <c r="EC9" i="2"/>
  <c r="EA37" i="2"/>
  <c r="EC22" i="2"/>
  <c r="EB37" i="2"/>
  <c r="EC37" i="2"/>
  <c r="EM22" i="2"/>
  <c r="EH37" i="2"/>
  <c r="EG9" i="2"/>
  <c r="EB22" i="2"/>
  <c r="EE37" i="2"/>
  <c r="DK29" i="2"/>
  <c r="DK18" i="2"/>
  <c r="DK17" i="2"/>
  <c r="DK10" i="2"/>
  <c r="DK27" i="2"/>
  <c r="CN7" i="2"/>
  <c r="CN39" i="2" s="1"/>
  <c r="CT7" i="2"/>
  <c r="CT39" i="2" s="1"/>
  <c r="M38" i="2"/>
  <c r="DN20" i="2" a="1"/>
  <c r="BU48" i="2" a="1"/>
  <c r="BY48" i="2" a="1"/>
  <c r="CD48" i="2" a="1"/>
  <c r="DX35" i="2" a="1"/>
  <c r="CB48" i="2" a="1"/>
  <c r="CC48" i="2" a="1"/>
  <c r="DR20" i="2" a="1"/>
  <c r="CF48" i="2" a="1"/>
  <c r="CE48" i="2" a="1"/>
  <c r="DX20" i="2" a="1"/>
  <c r="DP35" i="2" a="1"/>
  <c r="M48" i="2" a="1"/>
  <c r="DW35" i="2" a="1"/>
  <c r="DQ35" i="2" a="1"/>
  <c r="DQ20" i="2" a="1"/>
  <c r="DN35" i="2" a="1"/>
  <c r="CA48" i="2" a="1"/>
  <c r="DM35" i="2" a="1"/>
  <c r="DR35" i="2" a="1"/>
  <c r="DS35" i="2" a="1"/>
  <c r="DS20" i="2" a="1"/>
  <c r="BZ48" i="2" a="1"/>
  <c r="DT35" i="2" a="1"/>
  <c r="DO35" i="2" a="1"/>
  <c r="DU35" i="2" a="1"/>
  <c r="CG48" i="2" a="1"/>
  <c r="CH48" i="2" a="1"/>
  <c r="DK20" i="2" a="1"/>
  <c r="DU20" i="2" a="1"/>
  <c r="DP20" i="2" a="1"/>
  <c r="DK35" i="2" a="1"/>
  <c r="DT20" i="2" a="1"/>
  <c r="BX48" i="2" a="1"/>
  <c r="DV20" i="2" a="1"/>
  <c r="BW48" i="2" a="1"/>
  <c r="DO20" i="2" a="1"/>
  <c r="DV35" i="2" a="1"/>
  <c r="DW20" i="2" a="1"/>
  <c r="DM20" i="2" a="1"/>
  <c r="DY32" i="2" l="1"/>
  <c r="EF34" i="2"/>
  <c r="EF31" i="2"/>
  <c r="EF32" i="2"/>
  <c r="EF30" i="2"/>
  <c r="EG34" i="2"/>
  <c r="EG32" i="2"/>
  <c r="EG30" i="2"/>
  <c r="EG31" i="2"/>
  <c r="EH34" i="2"/>
  <c r="EH32" i="2"/>
  <c r="EH30" i="2"/>
  <c r="EH31" i="2"/>
  <c r="EC32" i="2"/>
  <c r="EC31" i="2"/>
  <c r="EC34" i="2"/>
  <c r="EC30" i="2"/>
  <c r="ED32" i="2"/>
  <c r="ED31" i="2"/>
  <c r="ED34" i="2"/>
  <c r="ED30" i="2"/>
  <c r="EE34" i="2"/>
  <c r="EE31" i="2"/>
  <c r="EE32" i="2"/>
  <c r="EE30" i="2"/>
  <c r="DY34" i="2"/>
  <c r="EL30" i="2"/>
  <c r="EL34" i="2"/>
  <c r="EL31" i="2"/>
  <c r="EL32" i="2"/>
  <c r="DY31" i="2"/>
  <c r="EK30" i="2"/>
  <c r="EK34" i="2"/>
  <c r="EK31" i="2"/>
  <c r="EK32" i="2"/>
  <c r="EB32" i="2"/>
  <c r="EB34" i="2"/>
  <c r="EB31" i="2"/>
  <c r="EB30" i="2"/>
  <c r="EI30" i="2"/>
  <c r="EI32" i="2"/>
  <c r="EI34" i="2"/>
  <c r="EI31" i="2"/>
  <c r="EJ30" i="2"/>
  <c r="EJ34" i="2"/>
  <c r="EJ32" i="2"/>
  <c r="EJ31" i="2"/>
  <c r="EA32" i="2"/>
  <c r="EA30" i="2"/>
  <c r="EA31" i="2"/>
  <c r="EA34" i="2"/>
  <c r="DY30" i="2"/>
  <c r="CI39" i="2"/>
  <c r="M48" i="2"/>
  <c r="CG48" i="2"/>
  <c r="BU48" i="2"/>
  <c r="BY48" i="2"/>
  <c r="CH48" i="2"/>
  <c r="CE48" i="2"/>
  <c r="CC48" i="2"/>
  <c r="BX48" i="2"/>
  <c r="CD48" i="2"/>
  <c r="BZ48" i="2"/>
  <c r="CF48" i="2"/>
  <c r="CB48" i="2"/>
  <c r="CA48" i="2"/>
  <c r="BW48" i="2"/>
  <c r="CR38" i="2"/>
  <c r="CR39" i="2"/>
  <c r="CU38" i="2"/>
  <c r="CU39" i="2"/>
  <c r="CQ38" i="2"/>
  <c r="CQ39" i="2"/>
  <c r="CS38" i="2"/>
  <c r="CS39" i="2"/>
  <c r="CW7" i="2"/>
  <c r="EC29" i="2"/>
  <c r="ED29" i="2"/>
  <c r="EJ29" i="2"/>
  <c r="EL29" i="2"/>
  <c r="EG29" i="2"/>
  <c r="EI11" i="2"/>
  <c r="EI10" i="2"/>
  <c r="EI29" i="2"/>
  <c r="EK29" i="2"/>
  <c r="EA29" i="2"/>
  <c r="EB29" i="2"/>
  <c r="EE29" i="2"/>
  <c r="EF29" i="2"/>
  <c r="EH29" i="2"/>
  <c r="CK38" i="2"/>
  <c r="G13" i="7"/>
  <c r="CZ7" i="2"/>
  <c r="CZ39" i="2" s="1"/>
  <c r="DY17" i="2"/>
  <c r="DY18" i="2"/>
  <c r="DY15" i="2"/>
  <c r="DY14" i="2"/>
  <c r="DY16" i="2"/>
  <c r="DY19" i="2"/>
  <c r="DA7" i="2"/>
  <c r="DA39" i="2" s="1"/>
  <c r="CV38" i="2"/>
  <c r="CP38" i="2"/>
  <c r="DY13" i="2"/>
  <c r="CL38" i="2"/>
  <c r="DD7" i="2"/>
  <c r="DE7" i="2"/>
  <c r="DE39" i="2" s="1"/>
  <c r="DI7" i="2"/>
  <c r="DI39" i="2" s="1"/>
  <c r="DJ7" i="2"/>
  <c r="DJ39" i="2" s="1"/>
  <c r="DB7" i="2"/>
  <c r="CI38" i="2"/>
  <c r="DS35" i="2"/>
  <c r="DV35" i="2"/>
  <c r="DQ20" i="2"/>
  <c r="DU35" i="2"/>
  <c r="DP20" i="2"/>
  <c r="DO20" i="2"/>
  <c r="DV20" i="2"/>
  <c r="DM20" i="2"/>
  <c r="DW35" i="2"/>
  <c r="DT20" i="2"/>
  <c r="DX20" i="2"/>
  <c r="DS20" i="2"/>
  <c r="DN20" i="2"/>
  <c r="DN35" i="2"/>
  <c r="DM35" i="2"/>
  <c r="DU20" i="2"/>
  <c r="DK20" i="2"/>
  <c r="DP35" i="2"/>
  <c r="DO35" i="2"/>
  <c r="DW20" i="2"/>
  <c r="DT35" i="2"/>
  <c r="DX35" i="2"/>
  <c r="DK35" i="2"/>
  <c r="DR20" i="2"/>
  <c r="DR35" i="2"/>
  <c r="DQ35" i="2"/>
  <c r="EG28" i="2"/>
  <c r="EG11" i="2"/>
  <c r="EG25" i="2"/>
  <c r="EG26" i="2"/>
  <c r="EG23" i="2"/>
  <c r="EG24" i="2"/>
  <c r="EG10" i="2"/>
  <c r="EG27" i="2"/>
  <c r="CM38" i="2"/>
  <c r="DY27" i="2"/>
  <c r="DY11" i="2"/>
  <c r="EK27" i="2"/>
  <c r="EK10" i="2"/>
  <c r="EK25" i="2"/>
  <c r="EK11" i="2"/>
  <c r="EK23" i="2"/>
  <c r="EK28" i="2"/>
  <c r="EK26" i="2"/>
  <c r="EK24" i="2"/>
  <c r="EA27" i="2"/>
  <c r="EA10" i="2"/>
  <c r="EA25" i="2"/>
  <c r="EA11" i="2"/>
  <c r="EA24" i="2"/>
  <c r="EA28" i="2"/>
  <c r="EA26" i="2"/>
  <c r="EA23" i="2"/>
  <c r="EB26" i="2"/>
  <c r="EB11" i="2"/>
  <c r="EB24" i="2"/>
  <c r="EB10" i="2"/>
  <c r="EB23" i="2"/>
  <c r="EB28" i="2"/>
  <c r="EB27" i="2"/>
  <c r="EB25" i="2"/>
  <c r="DY29" i="2"/>
  <c r="DY12" i="2"/>
  <c r="DY10" i="2"/>
  <c r="DY28" i="2"/>
  <c r="DH7" i="2"/>
  <c r="DH39" i="2" s="1"/>
  <c r="DY23" i="2"/>
  <c r="DY24" i="2"/>
  <c r="DF7" i="2"/>
  <c r="DF39" i="2" s="1"/>
  <c r="DC7" i="2"/>
  <c r="DC39" i="2" s="1"/>
  <c r="DG7" i="2"/>
  <c r="DG39" i="2" s="1"/>
  <c r="CN38" i="2"/>
  <c r="EI27" i="2"/>
  <c r="EI28" i="2"/>
  <c r="EI26" i="2"/>
  <c r="EI23" i="2"/>
  <c r="EI25" i="2"/>
  <c r="EI24" i="2"/>
  <c r="ET37" i="2"/>
  <c r="ET22" i="2"/>
  <c r="EO9" i="2"/>
  <c r="EZ9" i="2"/>
  <c r="EP37" i="2"/>
  <c r="EU9" i="2"/>
  <c r="EW37" i="2"/>
  <c r="EV37" i="2"/>
  <c r="ES22" i="2"/>
  <c r="EP9" i="2"/>
  <c r="EQ37" i="2"/>
  <c r="EV9" i="2"/>
  <c r="ES9" i="2"/>
  <c r="EY22" i="2"/>
  <c r="ES37" i="2"/>
  <c r="ER37" i="2"/>
  <c r="EO22" i="2"/>
  <c r="EV22" i="2"/>
  <c r="EZ22" i="2"/>
  <c r="EU22" i="2"/>
  <c r="EP22" i="2"/>
  <c r="EX37" i="2"/>
  <c r="EY9" i="2"/>
  <c r="EO37" i="2"/>
  <c r="FA22" i="2"/>
  <c r="EX9" i="2"/>
  <c r="EY37" i="2"/>
  <c r="ER22" i="2"/>
  <c r="ER9" i="2"/>
  <c r="EX22" i="2"/>
  <c r="FA37" i="2"/>
  <c r="EZ37" i="2"/>
  <c r="EW22" i="2"/>
  <c r="ET9" i="2"/>
  <c r="EU37" i="2"/>
  <c r="EQ9" i="2"/>
  <c r="EW9" i="2"/>
  <c r="EQ22" i="2"/>
  <c r="EE27" i="2"/>
  <c r="EE10" i="2"/>
  <c r="EE25" i="2"/>
  <c r="EE11" i="2"/>
  <c r="EE24" i="2"/>
  <c r="EE28" i="2"/>
  <c r="EE26" i="2"/>
  <c r="EE23" i="2"/>
  <c r="EF26" i="2"/>
  <c r="EF27" i="2"/>
  <c r="EF25" i="2"/>
  <c r="EF11" i="2"/>
  <c r="EF24" i="2"/>
  <c r="EF10" i="2"/>
  <c r="EF23" i="2"/>
  <c r="EF28" i="2"/>
  <c r="EH15" i="2"/>
  <c r="EH19" i="2"/>
  <c r="EH26" i="2"/>
  <c r="EH25" i="2"/>
  <c r="EH12" i="2"/>
  <c r="EH16" i="2"/>
  <c r="EH23" i="2"/>
  <c r="EH28" i="2"/>
  <c r="EH13" i="2"/>
  <c r="EH17" i="2"/>
  <c r="EH27" i="2"/>
  <c r="EH24" i="2"/>
  <c r="EH10" i="2"/>
  <c r="EH14" i="2"/>
  <c r="EH18" i="2"/>
  <c r="EH11" i="2"/>
  <c r="CT38" i="2"/>
  <c r="EC27" i="2"/>
  <c r="EC10" i="2"/>
  <c r="EC24" i="2"/>
  <c r="EC28" i="2"/>
  <c r="EC23" i="2"/>
  <c r="EC26" i="2"/>
  <c r="EC25" i="2"/>
  <c r="EC11" i="2"/>
  <c r="ED13" i="2"/>
  <c r="ED17" i="2"/>
  <c r="ED25" i="2"/>
  <c r="ED23" i="2"/>
  <c r="ED28" i="2"/>
  <c r="ED14" i="2"/>
  <c r="ED18" i="2"/>
  <c r="ED27" i="2"/>
  <c r="ED24" i="2"/>
  <c r="ED15" i="2"/>
  <c r="ED19" i="2"/>
  <c r="ED10" i="2"/>
  <c r="ED11" i="2"/>
  <c r="ED12" i="2"/>
  <c r="ED16" i="2"/>
  <c r="ED26" i="2"/>
  <c r="EJ26" i="2"/>
  <c r="EJ23" i="2"/>
  <c r="EJ28" i="2"/>
  <c r="EJ16" i="2"/>
  <c r="EJ27" i="2"/>
  <c r="EJ12" i="2"/>
  <c r="EJ17" i="2"/>
  <c r="EJ25" i="2"/>
  <c r="EJ15" i="2"/>
  <c r="EJ11" i="2"/>
  <c r="EJ13" i="2"/>
  <c r="EJ18" i="2"/>
  <c r="EJ24" i="2"/>
  <c r="EJ14" i="2"/>
  <c r="EJ19" i="2"/>
  <c r="EJ10" i="2"/>
  <c r="EL28" i="2"/>
  <c r="EL10" i="2"/>
  <c r="EL11" i="2"/>
  <c r="EL26" i="2"/>
  <c r="EL25" i="2"/>
  <c r="EL23" i="2"/>
  <c r="EL27" i="2"/>
  <c r="EL24" i="2"/>
  <c r="CO38" i="2"/>
  <c r="DY26" i="2"/>
  <c r="DY25" i="2"/>
  <c r="CY7" i="2"/>
  <c r="CY39" i="2" s="1"/>
  <c r="L38" i="2"/>
  <c r="CP48" i="2" a="1"/>
  <c r="CR48" i="2" a="1"/>
  <c r="EI35" i="2" a="1"/>
  <c r="CS48" i="2" a="1"/>
  <c r="EC20" i="2" a="1"/>
  <c r="EG20" i="2" a="1"/>
  <c r="EB35" i="2" a="1"/>
  <c r="DY35" i="2" a="1"/>
  <c r="EJ35" i="2" a="1"/>
  <c r="EK35" i="2" a="1"/>
  <c r="EF20" i="2" a="1"/>
  <c r="CN48" i="2" a="1"/>
  <c r="L48" i="2" a="1"/>
  <c r="CU48" i="2" a="1"/>
  <c r="ED35" i="2" a="1"/>
  <c r="CI48" i="2" a="1"/>
  <c r="EH20" i="2" a="1"/>
  <c r="CO48" i="2" a="1"/>
  <c r="DY20" i="2" a="1"/>
  <c r="EE20" i="2" a="1"/>
  <c r="EE35" i="2" a="1"/>
  <c r="EC35" i="2" a="1"/>
  <c r="CV48" i="2" a="1"/>
  <c r="EA35" i="2" a="1"/>
  <c r="EG35" i="2" a="1"/>
  <c r="EL20" i="2" a="1"/>
  <c r="CM48" i="2" a="1"/>
  <c r="ED20" i="2" a="1"/>
  <c r="CT48" i="2" a="1"/>
  <c r="EJ20" i="2" a="1"/>
  <c r="CK48" i="2" a="1"/>
  <c r="EB20" i="2" a="1"/>
  <c r="EI20" i="2" a="1"/>
  <c r="EA20" i="2" a="1"/>
  <c r="CQ48" i="2" a="1"/>
  <c r="EH35" i="2" a="1"/>
  <c r="EK20" i="2" a="1"/>
  <c r="EL35" i="2" a="1"/>
  <c r="CL48" i="2" a="1"/>
  <c r="EF35" i="2" a="1"/>
  <c r="EM30" i="2" l="1"/>
  <c r="EM32" i="2"/>
  <c r="EW26" i="2"/>
  <c r="EW30" i="2"/>
  <c r="EW25" i="2"/>
  <c r="EW29" i="2"/>
  <c r="EW24" i="2"/>
  <c r="EW28" i="2"/>
  <c r="EW32" i="2"/>
  <c r="EW27" i="2"/>
  <c r="EW34" i="2"/>
  <c r="EW31" i="2"/>
  <c r="EQ24" i="2"/>
  <c r="EQ28" i="2"/>
  <c r="EQ32" i="2"/>
  <c r="EQ27" i="2"/>
  <c r="EQ31" i="2"/>
  <c r="EQ30" i="2"/>
  <c r="EQ25" i="2"/>
  <c r="EQ26" i="2"/>
  <c r="EQ29" i="2"/>
  <c r="EQ34" i="2"/>
  <c r="EZ26" i="2"/>
  <c r="EZ30" i="2"/>
  <c r="EZ25" i="2"/>
  <c r="EZ29" i="2"/>
  <c r="EZ34" i="2"/>
  <c r="EZ24" i="2"/>
  <c r="EZ32" i="2"/>
  <c r="EZ31" i="2"/>
  <c r="EZ27" i="2"/>
  <c r="EZ28" i="2"/>
  <c r="EV25" i="2"/>
  <c r="EV29" i="2"/>
  <c r="EV34" i="2"/>
  <c r="EV24" i="2"/>
  <c r="EV28" i="2"/>
  <c r="EV32" i="2"/>
  <c r="EV27" i="2"/>
  <c r="EV30" i="2"/>
  <c r="EV26" i="2"/>
  <c r="EV31" i="2"/>
  <c r="ER24" i="2"/>
  <c r="ER28" i="2"/>
  <c r="ER32" i="2"/>
  <c r="ER27" i="2"/>
  <c r="ER31" i="2"/>
  <c r="ER30" i="2"/>
  <c r="ER25" i="2"/>
  <c r="ER34" i="2"/>
  <c r="ER29" i="2"/>
  <c r="ER26" i="2"/>
  <c r="ES25" i="2"/>
  <c r="ES29" i="2"/>
  <c r="ES34" i="2"/>
  <c r="ES24" i="2"/>
  <c r="ES28" i="2"/>
  <c r="ES27" i="2"/>
  <c r="ES31" i="2"/>
  <c r="ES30" i="2"/>
  <c r="ES32" i="2"/>
  <c r="ES26" i="2"/>
  <c r="EY26" i="2"/>
  <c r="EY30" i="2"/>
  <c r="EY25" i="2"/>
  <c r="EY29" i="2"/>
  <c r="EY34" i="2"/>
  <c r="EY24" i="2"/>
  <c r="EY32" i="2"/>
  <c r="EY27" i="2"/>
  <c r="EY31" i="2"/>
  <c r="EY28" i="2"/>
  <c r="EM34" i="2"/>
  <c r="EO24" i="2"/>
  <c r="EO28" i="2"/>
  <c r="EO32" i="2"/>
  <c r="EO27" i="2"/>
  <c r="EO26" i="2"/>
  <c r="EO30" i="2"/>
  <c r="EO25" i="2"/>
  <c r="EO34" i="2"/>
  <c r="EO29" i="2"/>
  <c r="EO31" i="2"/>
  <c r="ET25" i="2"/>
  <c r="ET29" i="2"/>
  <c r="ET34" i="2"/>
  <c r="ET32" i="2"/>
  <c r="ET30" i="2"/>
  <c r="ET26" i="2"/>
  <c r="ET27" i="2"/>
  <c r="ET28" i="2"/>
  <c r="ET31" i="2"/>
  <c r="ET24" i="2"/>
  <c r="EX26" i="2"/>
  <c r="EX30" i="2"/>
  <c r="EX32" i="2"/>
  <c r="EX27" i="2"/>
  <c r="EX25" i="2"/>
  <c r="EX29" i="2"/>
  <c r="EX34" i="2"/>
  <c r="EX28" i="2"/>
  <c r="EX24" i="2"/>
  <c r="EX31" i="2"/>
  <c r="EP24" i="2"/>
  <c r="EP28" i="2"/>
  <c r="EP32" i="2"/>
  <c r="EP25" i="2"/>
  <c r="EP29" i="2"/>
  <c r="EP34" i="2"/>
  <c r="EP26" i="2"/>
  <c r="EP30" i="2"/>
  <c r="EP27" i="2"/>
  <c r="EP31" i="2"/>
  <c r="EU25" i="2"/>
  <c r="EU29" i="2"/>
  <c r="EU34" i="2"/>
  <c r="EU24" i="2"/>
  <c r="EU28" i="2"/>
  <c r="EU32" i="2"/>
  <c r="EU27" i="2"/>
  <c r="EU30" i="2"/>
  <c r="EU26" i="2"/>
  <c r="EU31" i="2"/>
  <c r="EM31" i="2"/>
  <c r="CW39" i="2"/>
  <c r="CT48" i="2"/>
  <c r="CM48" i="2"/>
  <c r="CP48" i="2"/>
  <c r="CK48" i="2"/>
  <c r="CQ48" i="2"/>
  <c r="L48" i="2"/>
  <c r="CO48" i="2"/>
  <c r="CL48" i="2"/>
  <c r="CV48" i="2"/>
  <c r="CR48" i="2"/>
  <c r="CS48" i="2"/>
  <c r="CU48" i="2"/>
  <c r="CN48" i="2"/>
  <c r="CI48" i="2"/>
  <c r="DB38" i="2"/>
  <c r="DB39" i="2"/>
  <c r="DD38" i="2"/>
  <c r="DD39" i="2"/>
  <c r="EW10" i="2"/>
  <c r="G14" i="7"/>
  <c r="CZ38" i="2"/>
  <c r="DA38" i="2"/>
  <c r="DJ38" i="2"/>
  <c r="DI38" i="2"/>
  <c r="EM29" i="2"/>
  <c r="DE38" i="2"/>
  <c r="DU7" i="2"/>
  <c r="DR7" i="2"/>
  <c r="DR39" i="2" s="1"/>
  <c r="DW7" i="2"/>
  <c r="DW39" i="2" s="1"/>
  <c r="DS7" i="2"/>
  <c r="DM7" i="2"/>
  <c r="DM39" i="2" s="1"/>
  <c r="DP7" i="2"/>
  <c r="DV7" i="2"/>
  <c r="DV39" i="2" s="1"/>
  <c r="EL20" i="2"/>
  <c r="EJ35" i="2"/>
  <c r="EC20" i="2"/>
  <c r="EE35" i="2"/>
  <c r="EI20" i="2"/>
  <c r="DY35" i="2"/>
  <c r="EB35" i="2"/>
  <c r="EK35" i="2"/>
  <c r="ED35" i="2"/>
  <c r="EC35" i="2"/>
  <c r="EF35" i="2"/>
  <c r="EI35" i="2"/>
  <c r="DY20" i="2"/>
  <c r="EB20" i="2"/>
  <c r="EA35" i="2"/>
  <c r="EG35" i="2"/>
  <c r="EL35" i="2"/>
  <c r="EJ20" i="2"/>
  <c r="ED20" i="2"/>
  <c r="EF20" i="2"/>
  <c r="EE20" i="2"/>
  <c r="EH20" i="2"/>
  <c r="EH35" i="2"/>
  <c r="EA20" i="2"/>
  <c r="EK20" i="2"/>
  <c r="EG20" i="2"/>
  <c r="EM12" i="2"/>
  <c r="EM15" i="2"/>
  <c r="EM13" i="2"/>
  <c r="ET23" i="2"/>
  <c r="ET11" i="2"/>
  <c r="ET10" i="2"/>
  <c r="EX11" i="2"/>
  <c r="EX23" i="2"/>
  <c r="EX10" i="2"/>
  <c r="EP11" i="2"/>
  <c r="EP23" i="2"/>
  <c r="EP10" i="2"/>
  <c r="EU10" i="2"/>
  <c r="EU23" i="2"/>
  <c r="EU11" i="2"/>
  <c r="DG38" i="2"/>
  <c r="EM24" i="2"/>
  <c r="EM27" i="2"/>
  <c r="EW11" i="2"/>
  <c r="EW23" i="2"/>
  <c r="ER11" i="2"/>
  <c r="ER23" i="2"/>
  <c r="ER10" i="2"/>
  <c r="ES10" i="2"/>
  <c r="ES23" i="2"/>
  <c r="ES11" i="2"/>
  <c r="DC38" i="2"/>
  <c r="DH38" i="2"/>
  <c r="EM23" i="2"/>
  <c r="EM11" i="2"/>
  <c r="DX7" i="2"/>
  <c r="DX39" i="2" s="1"/>
  <c r="CY38" i="2"/>
  <c r="EM18" i="2"/>
  <c r="EQ10" i="2"/>
  <c r="EQ11" i="2"/>
  <c r="EQ23" i="2"/>
  <c r="EV11" i="2"/>
  <c r="EV10" i="2"/>
  <c r="EV23" i="2"/>
  <c r="EZ11" i="2"/>
  <c r="EZ10" i="2"/>
  <c r="EZ23" i="2"/>
  <c r="DF38" i="2"/>
  <c r="CW38" i="2"/>
  <c r="EM26" i="2"/>
  <c r="EM25" i="2"/>
  <c r="DT7" i="2"/>
  <c r="DT39" i="2" s="1"/>
  <c r="DQ7" i="2"/>
  <c r="DQ39" i="2" s="1"/>
  <c r="EM16" i="2"/>
  <c r="EM19" i="2"/>
  <c r="EM14" i="2"/>
  <c r="EM17" i="2"/>
  <c r="EY23" i="2"/>
  <c r="EY10" i="2"/>
  <c r="EY11" i="2"/>
  <c r="EO10" i="2"/>
  <c r="EO23" i="2"/>
  <c r="EO11" i="2"/>
  <c r="EM28" i="2"/>
  <c r="EM10" i="2"/>
  <c r="DK7" i="2"/>
  <c r="DN7" i="2"/>
  <c r="DN39" i="2" s="1"/>
  <c r="DO7" i="2"/>
  <c r="DO39" i="2" s="1"/>
  <c r="N38" i="2"/>
  <c r="DF48" i="2" a="1"/>
  <c r="EQ20" i="2" a="1"/>
  <c r="EP35" i="2" a="1"/>
  <c r="EU20" i="2" a="1"/>
  <c r="DI48" i="2" a="1"/>
  <c r="EW35" i="2" a="1"/>
  <c r="CZ48" i="2" a="1"/>
  <c r="EZ20" i="2" a="1"/>
  <c r="ET20" i="2" a="1"/>
  <c r="ES35" i="2" a="1"/>
  <c r="DE48" i="2" a="1"/>
  <c r="EU35" i="2" a="1"/>
  <c r="EX20" i="2" a="1"/>
  <c r="DJ48" i="2" a="1"/>
  <c r="DB48" i="2" a="1"/>
  <c r="DG48" i="2" a="1"/>
  <c r="DA48" i="2" a="1"/>
  <c r="DD48" i="2" a="1"/>
  <c r="EY20" i="2" a="1"/>
  <c r="DC48" i="2" a="1"/>
  <c r="ES20" i="2" a="1"/>
  <c r="EM35" i="2" a="1"/>
  <c r="ER35" i="2" a="1"/>
  <c r="EX35" i="2" a="1"/>
  <c r="N48" i="2" a="1"/>
  <c r="CY48" i="2" a="1"/>
  <c r="EY35" i="2" a="1"/>
  <c r="DH48" i="2" a="1"/>
  <c r="EV35" i="2" a="1"/>
  <c r="EZ35" i="2" a="1"/>
  <c r="EV20" i="2" a="1"/>
  <c r="EQ35" i="2" a="1"/>
  <c r="EW20" i="2" a="1"/>
  <c r="CW48" i="2" a="1"/>
  <c r="EO20" i="2" a="1"/>
  <c r="EP20" i="2" a="1"/>
  <c r="EM20" i="2" a="1"/>
  <c r="ET35" i="2" a="1"/>
  <c r="EO35" i="2" a="1"/>
  <c r="ER20" i="2" a="1"/>
  <c r="FA24" i="2" l="1"/>
  <c r="FA29" i="2"/>
  <c r="FA34" i="2"/>
  <c r="FA32" i="2"/>
  <c r="FA30" i="2"/>
  <c r="FA26" i="2"/>
  <c r="FA27" i="2"/>
  <c r="FA28" i="2"/>
  <c r="FA25" i="2"/>
  <c r="FA31" i="2"/>
  <c r="DK39" i="2"/>
  <c r="DF48" i="2"/>
  <c r="DB48" i="2"/>
  <c r="N48" i="2"/>
  <c r="DI48" i="2"/>
  <c r="DA48" i="2"/>
  <c r="CY48" i="2"/>
  <c r="DH48" i="2"/>
  <c r="DG48" i="2"/>
  <c r="CZ48" i="2"/>
  <c r="DD48" i="2"/>
  <c r="CW48" i="2"/>
  <c r="DC48" i="2"/>
  <c r="DE48" i="2"/>
  <c r="DJ48" i="2"/>
  <c r="DP38" i="2"/>
  <c r="DP39" i="2"/>
  <c r="DU38" i="2"/>
  <c r="DU39" i="2"/>
  <c r="DS38" i="2"/>
  <c r="DS39" i="2"/>
  <c r="DM38" i="2"/>
  <c r="G15" i="7"/>
  <c r="EG7" i="2"/>
  <c r="EG39" i="2" s="1"/>
  <c r="DR38" i="2"/>
  <c r="EA7" i="2"/>
  <c r="EA39" i="2" s="1"/>
  <c r="EF7" i="2"/>
  <c r="EF39" i="2" s="1"/>
  <c r="DV38" i="2"/>
  <c r="ED7" i="2"/>
  <c r="ED39" i="2" s="1"/>
  <c r="EJ7" i="2"/>
  <c r="DW38" i="2"/>
  <c r="EK7" i="2"/>
  <c r="EK39" i="2" s="1"/>
  <c r="EE7" i="2"/>
  <c r="EC7" i="2"/>
  <c r="EH7" i="2"/>
  <c r="EM35" i="2"/>
  <c r="ES20" i="2"/>
  <c r="ER20" i="2"/>
  <c r="EW20" i="2"/>
  <c r="EP35" i="2"/>
  <c r="EX20" i="2"/>
  <c r="ET20" i="2"/>
  <c r="EY35" i="2"/>
  <c r="EZ20" i="2"/>
  <c r="EV35" i="2"/>
  <c r="ER35" i="2"/>
  <c r="EW35" i="2"/>
  <c r="EU35" i="2"/>
  <c r="EM20" i="2"/>
  <c r="EO20" i="2"/>
  <c r="EY20" i="2"/>
  <c r="EV20" i="2"/>
  <c r="EP20" i="2"/>
  <c r="EO35" i="2"/>
  <c r="EZ35" i="2"/>
  <c r="EQ35" i="2"/>
  <c r="EQ20" i="2"/>
  <c r="ES35" i="2"/>
  <c r="EU20" i="2"/>
  <c r="EX35" i="2"/>
  <c r="ET35" i="2"/>
  <c r="DX38" i="2"/>
  <c r="DN38" i="2"/>
  <c r="DQ38" i="2"/>
  <c r="DT38" i="2"/>
  <c r="DK38" i="2"/>
  <c r="FA19" i="2"/>
  <c r="FA13" i="2"/>
  <c r="FA11" i="2"/>
  <c r="FA10" i="2"/>
  <c r="FA16" i="2"/>
  <c r="FA18" i="2"/>
  <c r="FA17" i="2"/>
  <c r="FA15" i="2"/>
  <c r="EB7" i="2"/>
  <c r="EB39" i="2" s="1"/>
  <c r="EI7" i="2"/>
  <c r="EI39" i="2" s="1"/>
  <c r="EL7" i="2"/>
  <c r="EL39" i="2" s="1"/>
  <c r="DO38" i="2"/>
  <c r="FA23" i="2"/>
  <c r="FA14" i="2"/>
  <c r="FA12" i="2"/>
  <c r="DY7" i="2"/>
  <c r="J38" i="2"/>
  <c r="DX48" i="2" a="1"/>
  <c r="DP48" i="2" a="1"/>
  <c r="DM48" i="2" a="1"/>
  <c r="DQ48" i="2" a="1"/>
  <c r="DR48" i="2" a="1"/>
  <c r="DK48" i="2" a="1"/>
  <c r="DU48" i="2" a="1"/>
  <c r="DN48" i="2" a="1"/>
  <c r="DO48" i="2" a="1"/>
  <c r="DT48" i="2" a="1"/>
  <c r="DV48" i="2" a="1"/>
  <c r="FA20" i="2" a="1"/>
  <c r="FA35" i="2" a="1"/>
  <c r="DS48" i="2" a="1"/>
  <c r="J48" i="2" a="1"/>
  <c r="DW48" i="2" a="1"/>
  <c r="DY39" i="2" l="1"/>
  <c r="J48" i="2"/>
  <c r="DN48" i="2"/>
  <c r="DS48" i="2"/>
  <c r="DP48" i="2"/>
  <c r="DK48" i="2"/>
  <c r="DT48" i="2"/>
  <c r="DW48" i="2"/>
  <c r="DR48" i="2"/>
  <c r="DM48" i="2"/>
  <c r="DU48" i="2"/>
  <c r="DO48" i="2"/>
  <c r="DQ48" i="2"/>
  <c r="DX48" i="2"/>
  <c r="DV48" i="2"/>
  <c r="EE38" i="2"/>
  <c r="EE39" i="2"/>
  <c r="EH38" i="2"/>
  <c r="EH39" i="2"/>
  <c r="EC38" i="2"/>
  <c r="EC39" i="2"/>
  <c r="EJ38" i="2"/>
  <c r="EJ39" i="2"/>
  <c r="Q38" i="2"/>
  <c r="G16" i="7"/>
  <c r="EG38" i="2"/>
  <c r="EA38" i="2"/>
  <c r="ED38" i="2"/>
  <c r="EV7" i="2"/>
  <c r="EV39" i="2" s="1"/>
  <c r="EF38" i="2"/>
  <c r="EK38" i="2"/>
  <c r="EQ7" i="2"/>
  <c r="ER7" i="2"/>
  <c r="EM7" i="2"/>
  <c r="EX7" i="2"/>
  <c r="EW7" i="2"/>
  <c r="EW39" i="2" s="1"/>
  <c r="FA20" i="2"/>
  <c r="FA35" i="2"/>
  <c r="EI38" i="2"/>
  <c r="EP7" i="2"/>
  <c r="EP39" i="2" s="1"/>
  <c r="EY7" i="2"/>
  <c r="EY39" i="2" s="1"/>
  <c r="ES7" i="2"/>
  <c r="ES39" i="2" s="1"/>
  <c r="EL38" i="2"/>
  <c r="EB38" i="2"/>
  <c r="DY38" i="2"/>
  <c r="EU7" i="2"/>
  <c r="EU39" i="2" s="1"/>
  <c r="EO7" i="2"/>
  <c r="EO39" i="2" s="1"/>
  <c r="EZ7" i="2"/>
  <c r="EZ39" i="2" s="1"/>
  <c r="ET7" i="2"/>
  <c r="ET39" i="2" s="1"/>
  <c r="EB48" i="2" a="1"/>
  <c r="EE48" i="2" a="1"/>
  <c r="EC48" i="2" a="1"/>
  <c r="Q48" i="2" a="1"/>
  <c r="EA48" i="2" a="1"/>
  <c r="EJ48" i="2" a="1"/>
  <c r="EK48" i="2" a="1"/>
  <c r="EI48" i="2" a="1"/>
  <c r="EG48" i="2" a="1"/>
  <c r="ED48" i="2" a="1"/>
  <c r="DY48" i="2" a="1"/>
  <c r="EF48" i="2" a="1"/>
  <c r="EL48" i="2" a="1"/>
  <c r="EH48" i="2" a="1"/>
  <c r="EM39" i="2" l="1"/>
  <c r="EB48" i="2"/>
  <c r="ED48" i="2"/>
  <c r="Q48" i="2"/>
  <c r="EC48" i="2"/>
  <c r="EL48" i="2"/>
  <c r="EI48" i="2"/>
  <c r="EK48" i="2"/>
  <c r="EA48" i="2"/>
  <c r="EE48" i="2"/>
  <c r="EF48" i="2"/>
  <c r="EG48" i="2"/>
  <c r="EJ48" i="2"/>
  <c r="EH48" i="2"/>
  <c r="DY48" i="2"/>
  <c r="EQ38" i="2"/>
  <c r="EQ39" i="2"/>
  <c r="EX38" i="2"/>
  <c r="EX39" i="2"/>
  <c r="ER38" i="2"/>
  <c r="ER39" i="2"/>
  <c r="G17" i="7"/>
  <c r="D16" i="7" s="1"/>
  <c r="EV38" i="2"/>
  <c r="EW38" i="2"/>
  <c r="EY38" i="2"/>
  <c r="EP38" i="2"/>
  <c r="EU38" i="2"/>
  <c r="ET38" i="2"/>
  <c r="EZ38" i="2"/>
  <c r="EM38" i="2"/>
  <c r="EO38" i="2"/>
  <c r="ES38" i="2"/>
  <c r="FA7" i="2"/>
  <c r="EY48" i="2" a="1"/>
  <c r="EV48" i="2" a="1"/>
  <c r="EO48" i="2" a="1"/>
  <c r="EU48" i="2" a="1"/>
  <c r="ES48" i="2" a="1"/>
  <c r="EZ48" i="2" a="1"/>
  <c r="EQ48" i="2" a="1"/>
  <c r="ET48" i="2" a="1"/>
  <c r="EW48" i="2" a="1"/>
  <c r="ER48" i="2" a="1"/>
  <c r="EX48" i="2" a="1"/>
  <c r="EP48" i="2" a="1"/>
  <c r="EM48" i="2" a="1"/>
  <c r="FA39" i="2" l="1"/>
  <c r="EM48" i="2"/>
  <c r="ES48" i="2"/>
  <c r="ET48" i="2"/>
  <c r="EW48" i="2"/>
  <c r="ER48" i="2"/>
  <c r="EQ48" i="2"/>
  <c r="EO48" i="2"/>
  <c r="EU48" i="2"/>
  <c r="EV48" i="2"/>
  <c r="EP48" i="2"/>
  <c r="EX48" i="2"/>
  <c r="EZ48" i="2"/>
  <c r="EY48" i="2"/>
  <c r="D17" i="7"/>
  <c r="D15" i="7"/>
  <c r="C6" i="8" s="1"/>
  <c r="FA38" i="2"/>
  <c r="FA48" i="2" a="1"/>
  <c r="J3" i="10" l="1"/>
  <c r="K3" i="10" s="1"/>
  <c r="C11" i="8" s="1"/>
  <c r="C16" i="8" s="1"/>
  <c r="FA48"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<sst xmlns="http://schemas.openxmlformats.org/spreadsheetml/2006/main" count="290" uniqueCount="110">
  <si>
    <t xml:space="preserve">Ajustes </t>
  </si>
  <si>
    <t>General</t>
  </si>
  <si>
    <t xml:space="preserve">Año de inicio: </t>
  </si>
  <si>
    <t xml:space="preserve">Poner el año de inicio (yyyy) al prinicipi y no cambiarlo de nuevo </t>
  </si>
  <si>
    <t xml:space="preserve">Definir año de inicio en ajustes --&gt; </t>
  </si>
  <si>
    <t>Ingresos</t>
  </si>
  <si>
    <t>Introduzca categoria…</t>
  </si>
  <si>
    <t>Total</t>
  </si>
  <si>
    <t xml:space="preserve">Nómina (neto)  </t>
  </si>
  <si>
    <t>Diviendos</t>
  </si>
  <si>
    <t>Ene</t>
  </si>
  <si>
    <t>Gastos</t>
  </si>
  <si>
    <t xml:space="preserve">Alquiler </t>
  </si>
  <si>
    <t>Restaurantes</t>
  </si>
  <si>
    <t>Noche</t>
  </si>
  <si>
    <t>Varios</t>
  </si>
  <si>
    <t>Ahorros</t>
  </si>
  <si>
    <t xml:space="preserve">Cuenta Ahorro </t>
  </si>
  <si>
    <t xml:space="preserve">Inversión </t>
  </si>
  <si>
    <t>Luz</t>
  </si>
  <si>
    <t>Compra</t>
  </si>
  <si>
    <t>Fecha</t>
  </si>
  <si>
    <t xml:space="preserve">Tipo </t>
  </si>
  <si>
    <t xml:space="preserve">Categoria </t>
  </si>
  <si>
    <t xml:space="preserve">Cantidad </t>
  </si>
  <si>
    <t>Detalles</t>
  </si>
  <si>
    <t>Libro Mayor</t>
  </si>
  <si>
    <t>Libro Diario</t>
  </si>
  <si>
    <t>Diferencia entre Ingresos - Gastos</t>
  </si>
  <si>
    <t>Feb</t>
  </si>
  <si>
    <t>Mar</t>
  </si>
  <si>
    <t>Abr</t>
  </si>
  <si>
    <t>May</t>
  </si>
  <si>
    <t>Jun</t>
  </si>
  <si>
    <t>Jul</t>
  </si>
  <si>
    <t>Ago</t>
  </si>
  <si>
    <t>Sep</t>
  </si>
  <si>
    <t>Oct</t>
  </si>
  <si>
    <t>Nov</t>
  </si>
  <si>
    <t>Dic</t>
  </si>
  <si>
    <t>Cálculos</t>
  </si>
  <si>
    <t xml:space="preserve">Hoy: </t>
  </si>
  <si>
    <t>Última operación</t>
  </si>
  <si>
    <t>Tiempo desde la última operación registrada</t>
  </si>
  <si>
    <t>Registros</t>
  </si>
  <si>
    <t>Dashboard</t>
  </si>
  <si>
    <t>Transporte</t>
  </si>
  <si>
    <t>WIFI</t>
  </si>
  <si>
    <t>Cuenta Ahorro</t>
  </si>
  <si>
    <t>Inversión</t>
  </si>
  <si>
    <t>TOTAL</t>
  </si>
  <si>
    <t>Patrimonio</t>
  </si>
  <si>
    <t>Suma cuenta ahorro</t>
  </si>
  <si>
    <t>Suma balance negativos</t>
  </si>
  <si>
    <t xml:space="preserve">Suma Balances Negativos por año </t>
  </si>
  <si>
    <t xml:space="preserve">Suma de Cantidad </t>
  </si>
  <si>
    <t>Windows</t>
  </si>
  <si>
    <t xml:space="preserve">Windows </t>
  </si>
  <si>
    <t xml:space="preserve">Suma Inversión </t>
  </si>
  <si>
    <t>Cantidad</t>
  </si>
  <si>
    <t>Lista meses</t>
  </si>
  <si>
    <t>AÑO</t>
  </si>
  <si>
    <t>Balance</t>
  </si>
  <si>
    <t>Mes</t>
  </si>
  <si>
    <t>MES</t>
  </si>
  <si>
    <t>Mes Número</t>
  </si>
  <si>
    <t>Año Numero</t>
  </si>
  <si>
    <t>Google</t>
  </si>
  <si>
    <t>Cuenta Gastos</t>
  </si>
  <si>
    <t>HP</t>
  </si>
  <si>
    <t>Etiquetas de fila</t>
  </si>
  <si>
    <t>Total general</t>
  </si>
  <si>
    <t>Etiquetas de columna</t>
  </si>
  <si>
    <t xml:space="preserve"> </t>
  </si>
  <si>
    <t>Tablero de cotizaciones</t>
  </si>
  <si>
    <t>Transacción</t>
  </si>
  <si>
    <t>Precio</t>
  </si>
  <si>
    <t>Dividendo</t>
  </si>
  <si>
    <t>Cantidad Total</t>
  </si>
  <si>
    <t>Participaciones Individuales</t>
  </si>
  <si>
    <t>Nombre</t>
  </si>
  <si>
    <t>Sector</t>
  </si>
  <si>
    <t>Beta</t>
  </si>
  <si>
    <t>Capitalización de mercado (en 1.000.000.000€)</t>
  </si>
  <si>
    <t>Tamaño Capitalización</t>
  </si>
  <si>
    <t>Resultado a 1 dia €</t>
  </si>
  <si>
    <t>Pocentraje Cartera</t>
  </si>
  <si>
    <t>Resultado a 1 dia %</t>
  </si>
  <si>
    <t>Cruz Roja</t>
  </si>
  <si>
    <t>N. Acciones</t>
  </si>
  <si>
    <t>Precio Actual Acción</t>
  </si>
  <si>
    <t>Valor Actual Total</t>
  </si>
  <si>
    <t>Valor de compra</t>
  </si>
  <si>
    <t>Revalorización</t>
  </si>
  <si>
    <t>Valor de mercado total</t>
  </si>
  <si>
    <t>Resultado a 1 dia (€/%)</t>
  </si>
  <si>
    <t>Ganancias/Pérdidas</t>
  </si>
  <si>
    <t>Ganancias y perdidas totales</t>
  </si>
  <si>
    <t>Cartera de inversión</t>
  </si>
  <si>
    <t>Cash</t>
  </si>
  <si>
    <t>Inversión (Ahorro)</t>
  </si>
  <si>
    <t xml:space="preserve">Tamaño Capitalización </t>
  </si>
  <si>
    <t>%</t>
  </si>
  <si>
    <t>Simbolo</t>
  </si>
  <si>
    <t>Suma de Dividendo</t>
  </si>
  <si>
    <t>Dividendos</t>
  </si>
  <si>
    <t>Empresa</t>
  </si>
  <si>
    <t>(Varios elementos)</t>
  </si>
  <si>
    <t>(en blanco)</t>
  </si>
  <si>
    <t>Patrimonio Inicial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</si>
</sst>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0.00\ &quot;€&quot;_-;\-* #,##0.00\ &quot;€&quot;_-;_-* &quot;-&quot;??\ &quot;€&quot;_-;_-@_-"/>
    <numFmt numFmtId="164" formatCode="mmm"/>
    <numFmt numFmtId="165" formatCode="d/m/yy"/>
    <numFmt numFmtId="166" formatCode="#,##0.00\ &quot;€&quot;"/>
    <numFmt numFmtId="167" formatCode="0.0%"/>
  </numFmts>
  <fonts count="25" x14ac:knownFonts="1">
    <font>
      <sz val="12"/>
      <color theme="1"/>
      <name val="Calibri"/>
      <family val="2"/>
      <scheme val="minor"/>
    </font>
    <font>
      <b/>
      <sz val="12"/>
      <color theme="0"/>
      <name val="Calibri"/>
      <family val="2"/>
      <scheme val="minor"/>
    </font>
    <font>
      <b/>
      <sz val="12"/>
      <color theme="1"/>
      <name val="Calibri"/>
      <family val="2"/>
      <scheme val="minor"/>
    </font>
    <font>
      <sz val="12"/>
      <color theme="0"/>
      <name val="Calibri"/>
      <family val="2"/>
      <scheme val="minor"/>
    </font>
    <font>
      <b/>
      <sz val="20"/>
      <color theme="0"/>
      <name val="Calibri"/>
      <family val="2"/>
      <scheme val="minor"/>
    </font>
    <font>
      <sz val="10"/>
      <color theme="1"/>
      <name val="Calibri"/>
      <family val="2"/>
      <scheme val="minor"/>
    </font>
    <font>
      <sz val="10"/>
      <color theme="2" tint="-0.499984740745262"/>
      <name val="Calibri"/>
      <family val="2"/>
      <scheme val="minor"/>
    </font>
    <font>
      <sz val="9"/>
      <color theme="1"/>
      <name val="Calibri"/>
      <family val="2"/>
      <scheme val="minor"/>
    </font>
    <font>
      <i/>
      <sz val="9"/>
      <color theme="2" tint="-0.499984740745262"/>
      <name val="Calibri"/>
      <family val="2"/>
      <scheme val="minor"/>
    </font>
    <font>
      <b/>
      <sz val="14"/>
      <color theme="0"/>
      <name val="Calibri"/>
      <family val="2"/>
      <scheme val="minor"/>
    </font>
    <font>
      <b/>
      <sz val="22"/>
      <color theme="0"/>
      <name val="Calibri"/>
      <family val="2"/>
      <scheme val="minor"/>
    </font>
    <font>
      <i/>
      <sz val="12"/>
      <color theme="2" tint="-0.249977111117893"/>
      <name val="Calibri"/>
      <family val="2"/>
      <scheme val="minor"/>
    </font>
    <font>
      <sz val="10"/>
      <color theme="0" tint="-0.34998626667073579"/>
      <name val="Calibri"/>
      <family val="2"/>
      <scheme val="minor"/>
    </font>
    <font>
      <b/>
      <sz val="10"/>
      <color theme="0"/>
      <name val="Calibri"/>
      <family val="2"/>
      <scheme val="minor"/>
    </font>
    <font>
      <sz val="12"/>
      <color theme="0" tint="-0.34998626667073579"/>
      <name val="Calibri"/>
      <family val="2"/>
      <scheme val="minor"/>
    </font>
    <font>
      <sz val="9"/>
      <color theme="0" tint="-0.34998626667073579"/>
      <name val="Calibri"/>
      <family val="2"/>
      <scheme val="minor"/>
    </font>
    <font>
      <b/>
      <sz val="9"/>
      <color theme="0" tint="-0.34998626667073579"/>
      <name val="Calibri"/>
      <family val="2"/>
      <scheme val="minor"/>
    </font>
    <font>
      <b/>
      <sz val="9"/>
      <color theme="1"/>
      <name val="Calibri"/>
      <family val="2"/>
      <scheme val="minor"/>
    </font>
    <font>
      <sz val="10"/>
      <color theme="1" tint="0.34998626667073579"/>
      <name val="Calibri"/>
      <family val="2"/>
      <scheme val="minor"/>
    </font>
    <font>
      <sz val="8"/>
      <name val="Calibri"/>
      <family val="2"/>
      <scheme val="minor"/>
    </font>
    <font>
      <sz val="16"/>
      <color theme="1"/>
      <name val="Calibri"/>
      <family val="2"/>
      <scheme val="minor"/>
    </font>
    <font>
      <sz val="12"/>
      <color rgb="FFFF0000"/>
      <name val="Calibri"/>
      <family val="2"/>
      <scheme val="minor"/>
    </font>
    <font>
      <sz val="12"/>
      <color rgb="FF000000"/>
      <name val="Calibri"/>
      <family val="2"/>
    </font>
    <font>
      <sz val="12"/>
      <color theme="1"/>
      <name val="Calibri"/>
      <family val="2"/>
      <scheme val="minor"/>
    </font>
    <font>
      <sz val="12"/>
      <name val="Calibri"/>
      <family val="2"/>
      <scheme val="minor"/>
    </font>
  </fonts>
  <fills count="8">
    <fill>
      <patternFill patternType="none"/>
    </fill>
    <fill>
      <patternFill patternType="gray125"/>
    </fill>
    <fill>
      <patternFill patternType="solid">
        <fgColor rgb="FF002060"/>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FF8A83"/>
        <bgColor indexed="64"/>
      </patternFill>
    </fill>
    <fill>
      <patternFill patternType="solid">
        <fgColor theme="4" tint="-0.24994659260841701"/>
        <bgColor indexed="64"/>
      </patternFill>
    </fill>
    <fill>
      <patternFill patternType="solid">
        <fgColor theme="4" tint="-0.249977111117893"/>
        <bgColor indexed="64"/>
      </patternFill>
    </fill>
  </fills>
  <borders count="22">
    <border>
      <left/>
      <right/>
      <top/>
      <bottom/>
      <diagonal/>
    </border>
    <border>
      <left style="thin">
        <color theme="2" tint="-0.24994659260841701"/>
      </left>
      <right/>
      <top/>
      <bottom/>
      <diagonal/>
    </border>
    <border>
      <left/>
      <right style="thin">
        <color theme="2" tint="-0.24994659260841701"/>
      </right>
      <top/>
      <bottom/>
      <diagonal/>
    </border>
    <border>
      <left style="thin">
        <color theme="2" tint="-0.24994659260841701"/>
      </left>
      <right/>
      <top/>
      <bottom style="thin">
        <color theme="2" tint="-0.24994659260841701"/>
      </bottom>
      <diagonal/>
    </border>
    <border>
      <left/>
      <right/>
      <top/>
      <bottom style="thin">
        <color theme="2" tint="-0.24994659260841701"/>
      </bottom>
      <diagonal/>
    </border>
    <border>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23" fillId="0" borderId="0" applyFont="0" applyFill="0" applyBorder="0" applyAlignment="0" applyProtection="0"/>
    <xf numFmtId="9" fontId="23" fillId="0" borderId="0" applyFont="0" applyFill="0" applyBorder="0" applyAlignment="0" applyProtection="0"/>
  </cellStyleXfs>
  <cellXfs count="110">
    <xf numFmtId="0" fontId="0" fillId="0" borderId="0" xfId="0"/>
    <xf numFmtId="0" fontId="0" fillId="2" borderId="0" xfId="0" applyFill="1"/>
    <xf numFmtId="0" fontId="3" fillId="2" borderId="0" xfId="0" applyFont="1" applyFill="1"/>
    <xf numFmtId="0" fontId="4" fillId="2" borderId="0" xfId="0" applyFont="1"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2" fillId="0" borderId="0" xfId="0" applyFont="1"/>
    <xf numFmtId="0" fontId="6" fillId="3" borderId="0" xfId="0" applyFont="1" applyFill="1" applyAlignment="1">
      <alignment horizontal="center" vertical="center"/>
    </xf>
    <xf numFmtId="0" fontId="8" fillId="0" borderId="0" xfId="0" applyFont="1"/>
    <xf numFmtId="0" fontId="9" fillId="2" borderId="0" xfId="0" applyFont="1" applyFill="1"/>
    <xf numFmtId="0" fontId="10" fillId="2" borderId="0" xfId="0" applyFont="1" applyFill="1"/>
    <xf numFmtId="0" fontId="11" fillId="0" borderId="0" xfId="0" applyFont="1"/>
    <xf numFmtId="0" fontId="0" fillId="0" borderId="0" xfId="0" applyAlignment="1">
      <alignment horizontal="left" indent="1"/>
    </xf>
    <xf numFmtId="0" fontId="12" fillId="0" borderId="9" xfId="0" applyFont="1" applyBorder="1" applyAlignment="1">
      <alignment horizontal="left" indent="1"/>
    </xf>
    <xf numFmtId="0" fontId="12" fillId="0" borderId="10" xfId="0" applyFont="1" applyBorder="1" applyAlignment="1">
      <alignment horizontal="left" indent="1"/>
    </xf>
    <xf numFmtId="14" fontId="0" fillId="2" borderId="0" xfId="0" applyNumberFormat="1" applyFill="1"/>
    <xf numFmtId="0" fontId="2" fillId="4" borderId="8" xfId="0" applyFont="1" applyFill="1" applyBorder="1" applyAlignment="1">
      <alignment horizontal="left" indent="1"/>
    </xf>
    <xf numFmtId="0" fontId="13" fillId="4" borderId="0" xfId="0" applyFont="1" applyFill="1" applyAlignment="1">
      <alignment horizontal="center" vertical="center"/>
    </xf>
    <xf numFmtId="164" fontId="13" fillId="4" borderId="0" xfId="0" applyNumberFormat="1" applyFont="1" applyFill="1" applyAlignment="1">
      <alignment horizontal="center" vertical="center"/>
    </xf>
    <xf numFmtId="0" fontId="12" fillId="0" borderId="0" xfId="0" applyFont="1" applyAlignment="1">
      <alignment horizontal="left" indent="1"/>
    </xf>
    <xf numFmtId="0" fontId="14" fillId="0" borderId="0" xfId="0" applyFont="1"/>
    <xf numFmtId="44" fontId="15" fillId="0" borderId="7" xfId="0" applyNumberFormat="1" applyFont="1" applyBorder="1"/>
    <xf numFmtId="44" fontId="16" fillId="0" borderId="7" xfId="0" applyNumberFormat="1" applyFont="1" applyBorder="1"/>
    <xf numFmtId="44" fontId="17" fillId="0" borderId="7" xfId="0" applyNumberFormat="1" applyFont="1" applyBorder="1"/>
    <xf numFmtId="0" fontId="2" fillId="0" borderId="8" xfId="0" applyFont="1" applyBorder="1" applyAlignment="1">
      <alignment horizontal="left" indent="1"/>
    </xf>
    <xf numFmtId="164" fontId="13" fillId="5" borderId="0" xfId="0" applyNumberFormat="1" applyFont="1" applyFill="1" applyAlignment="1">
      <alignment horizontal="center" vertical="center"/>
    </xf>
    <xf numFmtId="0" fontId="13" fillId="5" borderId="0" xfId="0" applyFont="1" applyFill="1" applyAlignment="1">
      <alignment horizontal="center" vertical="center"/>
    </xf>
    <xf numFmtId="164" fontId="13" fillId="7" borderId="0" xfId="0" applyNumberFormat="1" applyFont="1" applyFill="1" applyAlignment="1">
      <alignment horizontal="center" vertical="center"/>
    </xf>
    <xf numFmtId="0" fontId="13" fillId="7" borderId="0" xfId="0" applyFont="1" applyFill="1" applyAlignment="1">
      <alignment horizontal="center" vertical="center"/>
    </xf>
    <xf numFmtId="0" fontId="1" fillId="4" borderId="7" xfId="0" applyFont="1" applyFill="1" applyBorder="1" applyAlignment="1">
      <alignment horizontal="left" indent="1"/>
    </xf>
    <xf numFmtId="0" fontId="1" fillId="5" borderId="7" xfId="0" applyFont="1" applyFill="1" applyBorder="1" applyAlignment="1">
      <alignment horizontal="left" indent="1"/>
    </xf>
    <xf numFmtId="0" fontId="1" fillId="6" borderId="7" xfId="0" applyFont="1" applyFill="1" applyBorder="1" applyAlignment="1">
      <alignment horizontal="left" indent="1"/>
    </xf>
    <xf numFmtId="44" fontId="7" fillId="0" borderId="6" xfId="0" applyNumberFormat="1" applyFont="1" applyBorder="1"/>
    <xf numFmtId="14" fontId="0" fillId="0" borderId="0" xfId="0" applyNumberFormat="1"/>
    <xf numFmtId="0" fontId="0" fillId="0" borderId="6" xfId="0" applyBorder="1" applyAlignment="1">
      <alignment horizontal="center" vertical="center"/>
    </xf>
    <xf numFmtId="14" fontId="5" fillId="0" borderId="0" xfId="0" applyNumberFormat="1" applyFont="1" applyAlignment="1">
      <alignment horizontal="left" vertical="top"/>
    </xf>
    <xf numFmtId="0" fontId="5" fillId="0" borderId="0" xfId="0" applyFont="1" applyAlignment="1">
      <alignment horizontal="left" vertical="top"/>
    </xf>
    <xf numFmtId="44" fontId="5" fillId="0" borderId="0" xfId="0" applyNumberFormat="1" applyFont="1" applyAlignment="1">
      <alignment horizontal="left" vertical="top"/>
    </xf>
    <xf numFmtId="0" fontId="18" fillId="0" borderId="0" xfId="0" applyFont="1" applyAlignment="1">
      <alignment horizontal="left" vertical="top"/>
    </xf>
    <xf numFmtId="14" fontId="18" fillId="0" borderId="0" xfId="0" applyNumberFormat="1" applyFont="1" applyAlignment="1">
      <alignment horizontal="left" vertical="top"/>
    </xf>
    <xf numFmtId="0" fontId="10" fillId="2" borderId="13" xfId="0" applyFont="1" applyFill="1" applyBorder="1"/>
    <xf numFmtId="44" fontId="0" fillId="0" borderId="0" xfId="0" applyNumberFormat="1"/>
    <xf numFmtId="0" fontId="0" fillId="0" borderId="0" xfId="0" applyAlignment="1">
      <alignment horizontal="left"/>
    </xf>
    <xf numFmtId="0" fontId="21" fillId="0" borderId="0" xfId="0" applyFont="1"/>
    <xf numFmtId="0" fontId="0" fillId="0" borderId="0" xfId="0" pivotButton="1"/>
    <xf numFmtId="44" fontId="12" fillId="0" borderId="9" xfId="0" applyNumberFormat="1" applyFont="1" applyBorder="1" applyAlignment="1">
      <alignment horizontal="left" indent="1"/>
    </xf>
    <xf numFmtId="44" fontId="12" fillId="0" borderId="8" xfId="0" applyNumberFormat="1" applyFont="1" applyBorder="1" applyAlignment="1">
      <alignment horizontal="left" indent="1"/>
    </xf>
    <xf numFmtId="44" fontId="12" fillId="0" borderId="10" xfId="0" applyNumberFormat="1" applyFont="1" applyBorder="1" applyAlignment="1">
      <alignment horizontal="left" indent="1"/>
    </xf>
    <xf numFmtId="164" fontId="2" fillId="0" borderId="8" xfId="0" applyNumberFormat="1" applyFont="1" applyBorder="1" applyAlignment="1">
      <alignment horizontal="left" indent="1"/>
    </xf>
    <xf numFmtId="44" fontId="1" fillId="5" borderId="7" xfId="0" applyNumberFormat="1" applyFont="1" applyFill="1" applyBorder="1" applyAlignment="1">
      <alignment horizontal="left" indent="1"/>
    </xf>
    <xf numFmtId="0" fontId="12" fillId="0" borderId="7" xfId="0" applyFont="1" applyBorder="1" applyAlignment="1">
      <alignment horizontal="left" indent="1"/>
    </xf>
    <xf numFmtId="17" fontId="0" fillId="0" borderId="0" xfId="0" applyNumberFormat="1"/>
    <xf numFmtId="165" fontId="5" fillId="0" borderId="16" xfId="0" applyNumberFormat="1" applyFont="1" applyBorder="1" applyAlignment="1">
      <alignment horizontal="left" vertical="top"/>
    </xf>
    <xf numFmtId="165" fontId="5" fillId="0" borderId="0" xfId="0" applyNumberFormat="1" applyFont="1" applyAlignment="1">
      <alignment horizontal="left" vertical="top"/>
    </xf>
    <xf numFmtId="44" fontId="0" fillId="0" borderId="0" xfId="1" applyFont="1"/>
    <xf numFmtId="0" fontId="2" fillId="0" borderId="0" xfId="0" applyFont="1" applyAlignment="1">
      <alignment horizontal="center" vertical="center" wrapText="1"/>
    </xf>
    <xf numFmtId="0" fontId="0" fillId="0" borderId="0" xfId="0" applyAlignment="1">
      <alignment horizontal="center" vertical="center"/>
    </xf>
    <xf numFmtId="44" fontId="0" fillId="0" borderId="0" xfId="1" applyFont="1" applyAlignment="1">
      <alignment horizontal="center" vertical="center"/>
    </xf>
    <xf numFmtId="0" fontId="0" fillId="0" borderId="0" xfId="1" applyNumberFormat="1" applyFont="1"/>
    <xf numFmtId="44" fontId="2" fillId="0" borderId="0" xfId="1" applyFont="1" applyAlignment="1">
      <alignment horizontal="center" vertical="center" wrapText="1"/>
    </xf>
    <xf numFmtId="10" fontId="0" fillId="0" borderId="0" xfId="2" applyNumberFormat="1" applyFont="1"/>
    <xf numFmtId="10" fontId="2" fillId="0" borderId="0" xfId="2" applyNumberFormat="1" applyFont="1" applyAlignment="1">
      <alignment horizontal="center" vertical="center" wrapText="1"/>
    </xf>
    <xf numFmtId="44" fontId="2" fillId="0" borderId="0" xfId="1" applyFont="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10" fontId="1" fillId="2" borderId="0" xfId="2" applyNumberFormat="1" applyFont="1" applyFill="1" applyAlignment="1">
      <alignment horizontal="center" vertical="center" wrapText="1"/>
    </xf>
    <xf numFmtId="44" fontId="3" fillId="2" borderId="0" xfId="2" applyNumberFormat="1" applyFont="1" applyFill="1" applyAlignment="1">
      <alignment horizontal="center" vertical="center"/>
    </xf>
    <xf numFmtId="166" fontId="3" fillId="2" borderId="0" xfId="2" applyNumberFormat="1" applyFont="1" applyFill="1" applyAlignment="1">
      <alignment horizontal="center" vertical="center"/>
    </xf>
    <xf numFmtId="166" fontId="0" fillId="0" borderId="0" xfId="1" applyNumberFormat="1" applyFont="1"/>
    <xf numFmtId="166" fontId="0" fillId="0" borderId="0" xfId="0" applyNumberFormat="1"/>
    <xf numFmtId="166" fontId="3" fillId="2" borderId="0" xfId="0" applyNumberFormat="1" applyFont="1" applyFill="1" applyAlignment="1">
      <alignment horizontal="center" vertical="center"/>
    </xf>
    <xf numFmtId="10" fontId="3" fillId="2" borderId="0" xfId="1" applyNumberFormat="1" applyFont="1" applyFill="1" applyAlignment="1">
      <alignment horizontal="center" vertical="center"/>
    </xf>
    <xf numFmtId="167" fontId="0" fillId="0" borderId="0" xfId="2" applyNumberFormat="1" applyFont="1"/>
    <xf numFmtId="0" fontId="9" fillId="2" borderId="17" xfId="0" applyFont="1" applyFill="1" applyBorder="1"/>
    <xf numFmtId="0" fontId="9" fillId="2" borderId="18" xfId="0" applyFont="1" applyFill="1" applyBorder="1"/>
    <xf numFmtId="0" fontId="24" fillId="0" borderId="0" xfId="0" applyFont="1"/>
    <xf numFmtId="2" fontId="0" fillId="0" borderId="0" xfId="1" applyNumberFormat="1" applyFont="1" applyAlignment="1">
      <alignment horizontal="right"/>
    </xf>
    <xf numFmtId="10" fontId="0" fillId="0" borderId="0" xfId="2" applyNumberFormat="1" applyFont="1" applyAlignment="1">
      <alignment horizontal="right"/>
    </xf>
    <xf numFmtId="0" fontId="0" fillId="0" borderId="0" xfId="0" applyAlignment="1">
      <alignment horizontal="right"/>
    </xf>
    <xf numFmtId="2" fontId="0" fillId="0" borderId="0" xfId="0" applyNumberFormat="1" applyAlignment="1">
      <alignment horizontal="right"/>
    </xf>
    <xf numFmtId="10" fontId="0" fillId="0" borderId="0" xfId="0" applyNumberFormat="1" applyAlignment="1">
      <alignment horizontal="right"/>
    </xf>
    <xf numFmtId="0" fontId="1" fillId="2" borderId="0" xfId="0" applyFont="1" applyFill="1" applyAlignment="1">
      <alignment horizontal="center" vertical="center"/>
    </xf>
    <xf numFmtId="0" fontId="0" fillId="0" borderId="0" xfId="0"/>
    <xf numFmtId="0" fontId="9" fillId="2" borderId="0" xfId="0" applyFont="1" applyFill="1" applyAlignment="1">
      <alignment horizontal="center"/>
    </xf>
    <xf numFmtId="0" fontId="4" fillId="2" borderId="0" xfId="0" applyFont="1" applyFill="1" applyAlignment="1">
      <alignment horizontal="center" vertical="center"/>
    </xf>
    <xf numFmtId="10" fontId="1" fillId="2" borderId="0" xfId="2" applyNumberFormat="1" applyFont="1" applyFill="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1" xfId="0" applyBorder="1" applyAlignment="1">
      <alignment horizontal="center" vertical="center" wrapText="1"/>
    </xf>
    <xf numFmtId="0" fontId="0" fillId="0" borderId="15" xfId="0" applyBorder="1" applyAlignment="1">
      <alignment horizontal="center" vertical="center" wrapText="1"/>
    </xf>
    <xf numFmtId="44" fontId="20" fillId="0" borderId="13" xfId="0" applyNumberFormat="1" applyFont="1" applyBorder="1" applyAlignment="1">
      <alignment horizontal="center" vertical="center" wrapText="1"/>
    </xf>
    <xf numFmtId="44" fontId="20" fillId="0" borderId="0" xfId="0" applyNumberFormat="1" applyFont="1" applyAlignment="1">
      <alignment horizontal="center" vertical="center" wrapText="1"/>
    </xf>
    <xf numFmtId="44" fontId="20" fillId="0" borderId="14" xfId="0" applyNumberFormat="1" applyFont="1" applyBorder="1" applyAlignment="1">
      <alignment horizontal="center" vertical="center" wrapText="1"/>
    </xf>
    <xf numFmtId="44" fontId="20" fillId="0" borderId="12" xfId="0" applyNumberFormat="1" applyFont="1" applyBorder="1" applyAlignment="1">
      <alignment horizontal="center" vertical="center" wrapText="1"/>
    </xf>
    <xf numFmtId="44" fontId="20" fillId="0" borderId="11" xfId="0" applyNumberFormat="1" applyFont="1" applyBorder="1" applyAlignment="1">
      <alignment horizontal="center" vertical="center" wrapText="1"/>
    </xf>
    <xf numFmtId="44" fontId="20" fillId="0" borderId="15" xfId="0" applyNumberFormat="1" applyFont="1" applyBorder="1" applyAlignment="1">
      <alignment horizontal="center" vertical="center" wrapText="1"/>
    </xf>
    <xf numFmtId="44" fontId="20" fillId="0" borderId="13" xfId="0" applyNumberFormat="1" applyFont="1" applyBorder="1" applyAlignment="1">
      <alignment horizontal="center" vertical="center"/>
    </xf>
    <xf numFmtId="44" fontId="20" fillId="0" borderId="0" xfId="0" applyNumberFormat="1" applyFont="1" applyAlignment="1">
      <alignment horizontal="center" vertical="center"/>
    </xf>
    <xf numFmtId="44" fontId="20" fillId="0" borderId="14" xfId="0" applyNumberFormat="1" applyFont="1" applyBorder="1" applyAlignment="1">
      <alignment horizontal="center" vertical="center"/>
    </xf>
    <xf numFmtId="44" fontId="20" fillId="0" borderId="12" xfId="0" applyNumberFormat="1" applyFont="1" applyBorder="1" applyAlignment="1">
      <alignment horizontal="center" vertical="center"/>
    </xf>
    <xf numFmtId="44" fontId="20" fillId="0" borderId="11" xfId="0" applyNumberFormat="1" applyFont="1" applyBorder="1" applyAlignment="1">
      <alignment horizontal="center" vertical="center"/>
    </xf>
    <xf numFmtId="44" fontId="20" fillId="0" borderId="15" xfId="0" applyNumberFormat="1" applyFont="1" applyBorder="1" applyAlignment="1">
      <alignment horizontal="center" vertical="center"/>
    </xf>
  </cellXfs>
  <cellStyles count="3">
    <cellStyle name="Moneda" xfId="1" builtinId="4"/>
    <cellStyle name="Normal" xfId="0" builtinId="0"/>
    <cellStyle name="Porcentaje" xfId="2" builtinId="5"/>
  </cellStyles>
  <dxfs count="110">
    <dxf>
      <font>
        <color rgb="FF9C0006"/>
      </font>
    </dxf>
    <dxf>
      <font>
        <color rgb="FF9C0006"/>
      </font>
    </dxf>
    <dxf>
      <font>
        <color rgb="FF9C0006"/>
      </font>
    </dxf>
    <dxf>
      <font>
        <color rgb="FF9C0006"/>
      </font>
    </dxf>
    <dxf>
      <numFmt numFmtId="0" formatCode="General"/>
    </dxf>
    <dxf>
      <numFmt numFmtId="19" formatCode="dd/mm/yyyy"/>
    </dxf>
    <dxf>
      <numFmt numFmtId="34" formatCode="_-* #,##0.00\ &quot;€&quot;_-;\-* #,##0.00\ &quot;€&quot;_-;_-* &quot;-&quot;??\ &quot;€&quot;_-;_-@_-"/>
    </dxf>
    <dxf>
      <numFmt numFmtId="34" formatCode="_-* #,##0.00\ &quot;€&quot;_-;\-* #,##0.00\ &quot;€&quot;_-;_-* &quot;-&quot;??\ &quot;€&quot;_-;_-@_-"/>
    </dxf>
    <dxf>
      <numFmt numFmtId="34" formatCode="_-* #,##0.00\ &quot;€&quot;_-;\-* #,##0.00\ &quot;€&quot;_-;_-* &quot;-&quot;??\ &quot;€&quot;_-;_-@_-"/>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border diagonalUp="0" diagonalDown="0" outline="0">
        <left/>
        <right/>
        <top style="thin">
          <color theme="0" tint="-0.24994659260841701"/>
        </top>
        <bottom style="thin">
          <color theme="0" tint="-0.24994659260841701"/>
        </bottom>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border>
        <bottom style="thin">
          <color theme="0" tint="-0.24994659260841701"/>
        </bottom>
      </border>
    </dxf>
    <dxf>
      <font>
        <b/>
        <i val="0"/>
        <strike val="0"/>
        <condense val="0"/>
        <extend val="0"/>
        <outline val="0"/>
        <shadow val="0"/>
        <u val="none"/>
        <vertAlign val="baseline"/>
        <sz val="12"/>
        <color theme="1"/>
        <name val="Calibri"/>
        <family val="2"/>
        <scheme val="minor"/>
      </font>
      <fill>
        <patternFill patternType="none">
          <fgColor indexed="64"/>
          <bgColor auto="1"/>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border diagonalUp="0" diagonalDown="0" outline="0">
        <left/>
        <right/>
        <top style="thin">
          <color theme="0" tint="-0.24994659260841701"/>
        </top>
        <bottom style="thin">
          <color theme="0" tint="-0.24994659260841701"/>
        </bottom>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border>
        <bottom style="thin">
          <color theme="0" tint="-0.24994659260841701"/>
        </bottom>
      </border>
    </dxf>
    <dxf>
      <font>
        <b/>
        <i val="0"/>
        <strike val="0"/>
        <condense val="0"/>
        <extend val="0"/>
        <outline val="0"/>
        <shadow val="0"/>
        <u val="none"/>
        <vertAlign val="baseline"/>
        <sz val="12"/>
        <color theme="1"/>
        <name val="Calibri"/>
        <family val="2"/>
        <scheme val="minor"/>
      </font>
      <fill>
        <patternFill patternType="none">
          <fgColor indexed="64"/>
          <bgColor auto="1"/>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border diagonalUp="0" diagonalDown="0" outline="0">
        <left/>
        <right/>
        <top style="thin">
          <color theme="0" tint="-0.24994659260841701"/>
        </top>
        <bottom style="thin">
          <color theme="0" tint="-0.24994659260841701"/>
        </bottom>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border>
        <bottom style="thin">
          <color theme="0" tint="-0.24994659260841701"/>
        </bottom>
      </border>
    </dxf>
    <dxf>
      <font>
        <b/>
        <i val="0"/>
        <strike val="0"/>
        <condense val="0"/>
        <extend val="0"/>
        <outline val="0"/>
        <shadow val="0"/>
        <u val="none"/>
        <vertAlign val="baseline"/>
        <sz val="12"/>
        <color theme="1"/>
        <name val="Calibri"/>
        <family val="2"/>
        <scheme val="minor"/>
      </font>
      <fill>
        <patternFill patternType="solid">
          <fgColor indexed="64"/>
          <bgColor theme="9" tint="-0.249977111117893"/>
        </patternFill>
      </fill>
      <alignment horizontal="left" vertical="bottom" textRotation="0" wrapText="0" indent="1" justifyLastLine="0" shrinkToFit="0" readingOrder="0"/>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theme="9" tint="0.59996337778862885"/>
        </patternFill>
      </fill>
    </dxf>
    <dxf>
      <font>
        <color rgb="FF00B050"/>
      </font>
      <numFmt numFmtId="34" formatCode="_-* #,##0.00\ &quot;€&quot;_-;\-* #,##0.00\ &quot;€&quot;_-;_-* &quot;-&quot;??\ &quot;€&quot;_-;_-@_-"/>
    </dxf>
    <dxf>
      <font>
        <color rgb="FFFF0000"/>
      </font>
      <numFmt numFmtId="34" formatCode="_-* #,##0.00\ &quot;€&quot;_-;\-* #,##0.00\ &quot;€&quot;_-;_-* &quot;-&quot;??\ &quot;€&quot;_-;_-@_-"/>
    </dxf>
    <dxf>
      <font>
        <color rgb="FF00B050"/>
      </font>
      <numFmt numFmtId="34" formatCode="_-* #,##0.00\ &quot;€&quot;_-;\-* #,##0.00\ &quot;€&quot;_-;_-* &quot;-&quot;??\ &quot;€&quot;_-;_-@_-"/>
    </dxf>
    <dxf>
      <font>
        <color rgb="FFFF0000"/>
      </font>
      <numFmt numFmtId="34" formatCode="_-* #,##0.00\ &quot;€&quot;_-;\-* #,##0.00\ &quot;€&quot;_-;_-* &quot;-&quot;??\ &quot;€&quot;_-;_-@_-"/>
    </dxf>
    <dxf>
      <font>
        <b val="0"/>
        <i val="0"/>
        <color theme="1"/>
      </font>
      <fill>
        <patternFill>
          <fgColor theme="0" tint="-0.24994659260841701"/>
          <bgColor theme="4" tint="0.79998168889431442"/>
        </patternFill>
      </fill>
    </dxf>
    <dxf>
      <font>
        <b val="0"/>
        <i val="0"/>
        <color theme="1"/>
      </font>
      <fill>
        <patternFill>
          <fgColor theme="0" tint="-0.24994659260841701"/>
          <bgColor rgb="FFFFDADB"/>
        </patternFill>
      </fill>
    </dxf>
    <dxf>
      <font>
        <b val="0"/>
        <i val="0"/>
        <color theme="1"/>
      </font>
      <fill>
        <patternFill>
          <fgColor theme="0" tint="-0.24994659260841701"/>
          <bgColor theme="9" tint="0.59996337778862885"/>
        </patternFill>
      </fill>
    </dxf>
    <dxf>
      <font>
        <strike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theme="1" tint="0.34998626667073579"/>
        <name val="Calibri"/>
        <family val="2"/>
        <scheme val="minor"/>
      </font>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34" formatCode="_-* #,##0.00\ &quot;€&quot;_-;\-* #,##0.00\ &quot;€&quot;_-;_-* &quot;-&quot;??\ &quot;€&quot;_-;_-@_-"/>
      <alignment horizontal="left" vertical="top" textRotation="0" wrapText="0" indent="0" justifyLastLine="0" shrinkToFit="0" readingOrder="0"/>
    </dxf>
    <dxf>
      <font>
        <strike val="0"/>
        <outline val="0"/>
        <shadow val="0"/>
        <u val="none"/>
        <vertAlign val="baseline"/>
        <sz val="10"/>
        <color theme="1"/>
        <name val="Calibri"/>
        <family val="2"/>
        <scheme val="minor"/>
      </font>
      <alignment horizontal="left" vertical="top" textRotation="0" wrapText="0" indent="0" justifyLastLine="0" shrinkToFit="0" readingOrder="0"/>
    </dxf>
    <dxf>
      <font>
        <strike val="0"/>
        <outline val="0"/>
        <shadow val="0"/>
        <u val="none"/>
        <vertAlign val="baseline"/>
        <sz val="10"/>
        <color theme="1"/>
        <name val="Calibri"/>
        <family val="2"/>
        <scheme val="minor"/>
      </font>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165" formatCode="d/m/yy"/>
      <alignment horizontal="left" vertical="top" textRotation="0" wrapText="0" indent="0" justifyLastLine="0" shrinkToFit="0" readingOrder="0"/>
    </dxf>
    <dxf>
      <font>
        <strike val="0"/>
        <outline val="0"/>
        <shadow val="0"/>
        <u val="none"/>
        <vertAlign val="baseline"/>
        <sz val="10"/>
        <color theme="1"/>
        <name val="Calibri"/>
        <family val="2"/>
        <scheme val="minor"/>
      </font>
      <alignment horizontal="left" vertical="top" textRotation="0" wrapText="0" indent="0" justifyLastLine="0" shrinkToFit="0" readingOrder="0"/>
    </dxf>
    <dxf>
      <alignment horizontal="left" vertical="bottom" textRotation="0" wrapText="0" relativeIndent="1" justifyLastLine="0" shrinkToFit="0" readingOrder="0"/>
    </dxf>
    <dxf>
      <font>
        <b/>
        <i val="0"/>
        <color rgb="FF00B050"/>
      </font>
      <numFmt numFmtId="166" formatCode="#,##0.00\ &quot;€&quot;"/>
    </dxf>
    <dxf>
      <font>
        <color rgb="FFFF0000"/>
      </font>
      <numFmt numFmtId="166" formatCode="#,##0.00\ &quot;€&quot;"/>
    </dxf>
    <dxf>
      <font>
        <b/>
        <i val="0"/>
        <color theme="4" tint="-0.499984740745262"/>
      </font>
      <numFmt numFmtId="166" formatCode="#,##0.00\ &quot;€&quot;"/>
    </dxf>
    <dxf>
      <font>
        <color rgb="FFFF0000"/>
      </font>
    </dxf>
    <dxf>
      <font>
        <b val="0"/>
        <i val="0"/>
        <strike val="0"/>
        <condense val="0"/>
        <extend val="0"/>
        <outline val="0"/>
        <shadow val="0"/>
        <u val="none"/>
        <vertAlign val="baseline"/>
        <sz val="10"/>
        <color theme="0" tint="-0.34998626667073579"/>
        <name val="Calibri"/>
        <family val="2"/>
        <scheme val="minor"/>
      </font>
      <numFmt numFmtId="34" formatCode="_-* #,##0.00\ &quot;€&quot;_-;\-* #,##0.00\ &quot;€&quot;_-;_-* &quot;-&quot;??\ &quot;€&quot;_-;_-@_-"/>
      <alignment horizontal="left" vertical="bottom" textRotation="0" wrapText="0" indent="1"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0" tint="-0.34998626667073579"/>
        <name val="Calibri"/>
        <family val="2"/>
        <scheme val="minor"/>
      </font>
      <numFmt numFmtId="34" formatCode="_-* #,##0.00\ &quot;€&quot;_-;\-* #,##0.00\ &quot;€&quot;_-;_-* &quot;-&quot;??\ &quot;€&quot;_-;_-@_-"/>
      <alignment horizontal="left" vertical="bottom" textRotation="0" wrapText="0" indent="1"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border diagonalUp="0" diagonalDown="0">
        <left/>
        <right/>
        <top style="thin">
          <color theme="0" tint="-0.24994659260841701"/>
        </top>
        <bottom style="thin">
          <color theme="0" tint="-0.24994659260841701"/>
        </bottom>
      </border>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border diagonalUp="0" diagonalDown="0" outline="0">
        <left/>
        <right/>
        <top style="thin">
          <color theme="0" tint="-0.24994659260841701"/>
        </top>
        <bottom style="thin">
          <color theme="0" tint="-0.24994659260841701"/>
        </bottom>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border>
        <bottom style="thin">
          <color theme="0" tint="-0.24994659260841701"/>
        </bottom>
      </border>
    </dxf>
    <dxf>
      <font>
        <b/>
        <i val="0"/>
        <strike val="0"/>
        <condense val="0"/>
        <extend val="0"/>
        <outline val="0"/>
        <shadow val="0"/>
        <u val="none"/>
        <vertAlign val="baseline"/>
        <sz val="12"/>
        <color theme="1"/>
        <name val="Calibri"/>
        <family val="2"/>
        <scheme val="minor"/>
      </font>
      <fill>
        <patternFill patternType="none">
          <fgColor indexed="64"/>
          <bgColor auto="1"/>
        </patternFill>
      </fill>
      <alignment horizontal="left" vertical="bottom" textRotation="0" wrapText="0" indent="1" justifyLastLine="0" shrinkToFit="0" readingOrder="0"/>
    </dxf>
    <dxf>
      <font>
        <b val="0"/>
        <i val="0"/>
        <color theme="1"/>
      </font>
      <fill>
        <patternFill>
          <fgColor theme="0" tint="-0.24994659260841701"/>
          <bgColor rgb="FFFFDADB"/>
        </patternFill>
      </fill>
    </dxf>
    <dxf>
      <font>
        <color rgb="FFFF0000"/>
      </font>
      <fill>
        <patternFill>
          <fgColor auto="1"/>
          <bgColor rgb="FFFFDADB"/>
        </patternFill>
      </fill>
    </dxf>
    <dxf>
      <font>
        <b val="0"/>
        <i val="0"/>
        <color theme="1"/>
      </font>
      <fill>
        <patternFill>
          <fgColor theme="0" tint="-0.24994659260841701"/>
          <bgColor rgb="FFFFDADB"/>
        </patternFill>
      </fill>
    </dxf>
    <dxf>
      <font>
        <b val="0"/>
        <i val="0"/>
        <color theme="1"/>
      </font>
      <fill>
        <patternFill>
          <fgColor theme="0" tint="-0.24994659260841701"/>
          <bgColor rgb="FFFFDADB"/>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9"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rgb="FFFFDADB"/>
        </patternFill>
      </fill>
    </dxf>
    <dxf>
      <fill>
        <patternFill>
          <bgColor rgb="FFFFB8BA"/>
        </patternFill>
      </fill>
    </dxf>
    <dxf>
      <fill>
        <patternFill>
          <bgColor rgb="FFFF8A83"/>
        </patternFill>
      </fill>
    </dxf>
    <dxf>
      <fill>
        <patternFill>
          <bgColor rgb="FFFF8A83"/>
        </patternFill>
      </fill>
    </dxf>
    <dxf>
      <font>
        <b/>
        <i val="0"/>
        <color theme="0"/>
      </font>
      <fill>
        <patternFill>
          <bgColor rgb="FFFF8A83"/>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rgb="FFFFB8BA"/>
        </patternFill>
      </fill>
    </dxf>
    <dxf>
      <fill>
        <patternFill>
          <bgColor rgb="FFFF8A83"/>
        </patternFill>
      </fill>
    </dxf>
    <dxf>
      <font>
        <color rgb="FFFF0000"/>
      </font>
      <fill>
        <patternFill>
          <bgColor rgb="FFFF8A83"/>
        </patternFill>
      </fill>
    </dxf>
    <dxf>
      <fill>
        <patternFill>
          <bgColor rgb="FFFF8A83"/>
        </patternFill>
      </fill>
    </dxf>
    <dxf>
      <fill>
        <patternFill>
          <bgColor theme="8" tint="0.59996337778862885"/>
        </patternFill>
      </fill>
    </dxf>
    <dxf>
      <font>
        <b/>
        <i val="0"/>
        <color theme="0"/>
      </font>
      <fill>
        <patternFill>
          <bgColor rgb="FF002060"/>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9" defaultTableStyle="TableStyleMedium2" defaultPivotStyle="PivotStyleLight16">
    <tableStyle name="Ahorro" pivot="0" count="4" xr9:uid="{5C4B4ADE-A366-664B-9EF0-821886BE2E31}">
      <tableStyleElement type="wholeTable" dxfId="109"/>
      <tableStyleElement type="headerRow" dxfId="108"/>
      <tableStyleElement type="secondRowStripe" dxfId="107"/>
      <tableStyleElement type="firstHeaderCell" dxfId="106"/>
    </tableStyle>
    <tableStyle name="Estilo de tabla 1" pivot="0" count="0" xr9:uid="{A78B8F36-5FA8-E148-AB7E-4590368994FA}"/>
    <tableStyle name="Estilo de tabla 2" pivot="0" count="1" xr9:uid="{7AE01E1E-F344-3248-BAC9-C829EF892407}">
      <tableStyleElement type="headerRow" dxfId="105"/>
    </tableStyle>
    <tableStyle name="Estilo de tabla dinámica 1" table="0" count="2" xr9:uid="{CD9CBAB6-6798-574A-8692-BF6B79384788}">
      <tableStyleElement type="firstColumnStripe" dxfId="104"/>
      <tableStyleElement type="secondColumnStripe" dxfId="103"/>
    </tableStyle>
    <tableStyle name="Gastos" pivot="0" count="3" xr9:uid="{740FF411-8956-9B49-BEEC-2CF4973B256B}">
      <tableStyleElement type="wholeTable" dxfId="102"/>
      <tableStyleElement type="headerRow" dxfId="101"/>
      <tableStyleElement type="firstHeaderCell" dxfId="100"/>
    </tableStyle>
    <tableStyle name="Gastos grafico" table="0" count="3" xr9:uid="{506CE8CC-9EF3-C149-90CA-D9F94CA82E81}">
      <tableStyleElement type="firstRowStripe" dxfId="99"/>
      <tableStyleElement type="firstColumnStripe" dxfId="98"/>
      <tableStyleElement type="secondColumnStripe" dxfId="97"/>
    </tableStyle>
    <tableStyle name="Ingreos" pivot="0" count="2" xr9:uid="{B9452288-89DB-B44C-9E62-25A587438987}">
      <tableStyleElement type="wholeTable" dxfId="96"/>
      <tableStyleElement type="headerRow" dxfId="95"/>
    </tableStyle>
    <tableStyle name="Ingresos" pivot="0" count="1" xr9:uid="{FD7ADE7C-5025-0F4E-A61A-9BA98FE6D6B2}">
      <tableStyleElement type="wholeTable" dxfId="94"/>
    </tableStyle>
    <tableStyle name="Invisible" pivot="0" table="0" count="0" xr9:uid="{1790E1DB-E79D-4563-9732-646548583BD9}"/>
  </tableStyles>
  <colors>
    <mruColors>
      <color rgb="FFFFDADB"/>
      <color rgb="FFFFB8BA"/>
      <color rgb="FFFF8A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Presupuesto %</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ES"/>
        </a:p>
      </c:txPr>
    </c:title>
    <c:autoTitleDeleted val="0"/>
    <c:plotArea>
      <c:layout/>
      <c:pieChart>
        <c:varyColors val="1"/>
        <c:ser>
          <c:idx val="0"/>
          <c:order val="0"/>
          <c:tx>
            <c:strRef>
              <c:f>'Presupuestos de Gastos'!$C$9</c:f>
              <c:strCache>
                <c:ptCount val="1"/>
                <c:pt idx="0">
                  <c:v>Cantidad</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3A6-5846-90F5-752656624CC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3A6-5846-90F5-752656624CC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3A6-5846-90F5-752656624CC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3A6-5846-90F5-752656624CC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F3A6-5846-90F5-752656624CC8}"/>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F3A6-5846-90F5-752656624CC8}"/>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F3A6-5846-90F5-752656624CC8}"/>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F3A6-5846-90F5-752656624CC8}"/>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F3A6-5846-90F5-752656624CC8}"/>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F3A6-5846-90F5-752656624CC8}"/>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783C-E347-B6F6-321B49B5E6F3}"/>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A3E6-4416-8FED-56552763CD6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'Presupuestos de Gastos'!$B$10:$B$21</c:f>
              <c:strCache>
                <c:ptCount val="12"/>
                <c:pt idx="0">
                  <c:v>Alquiler </c:v>
                </c:pt>
                <c:pt idx="1">
                  <c:v>Luz</c:v>
                </c:pt>
                <c:pt idx="2">
                  <c:v>Compra</c:v>
                </c:pt>
                <c:pt idx="3">
                  <c:v>Restaurantes</c:v>
                </c:pt>
                <c:pt idx="4">
                  <c:v>Noche</c:v>
                </c:pt>
                <c:pt idx="5">
                  <c:v>Transporte</c:v>
                </c:pt>
                <c:pt idx="6">
                  <c:v>Cruz Roja</c:v>
                </c:pt>
                <c:pt idx="7">
                  <c:v>WIFI</c:v>
                </c:pt>
                <c:pt idx="8">
                  <c:v>HP</c:v>
                </c:pt>
                <c:pt idx="9">
                  <c:v>Google</c:v>
                </c:pt>
                <c:pt idx="10">
                  <c:v>Windows </c:v>
                </c:pt>
                <c:pt idx="11">
                  <c:v>Varios</c:v>
                </c:pt>
              </c:strCache>
            </c:strRef>
          </c:cat>
          <c:val>
            <c:numRef>
              <c:f>'Presupuestos de Gastos'!$C$10:$C$21</c:f>
              <c:numCache>
                <c:formatCode>_("€"* #,##0.00_);_("€"* \(#,##0.00\);_("€"* "-"??_);_(@_)</c:formatCode>
                <c:ptCount val="12"/>
                <c:pt idx="0">
                  <c:v>425</c:v>
                </c:pt>
                <c:pt idx="1">
                  <c:v>25</c:v>
                </c:pt>
                <c:pt idx="2">
                  <c:v>200</c:v>
                </c:pt>
                <c:pt idx="3">
                  <c:v>125</c:v>
                </c:pt>
                <c:pt idx="4">
                  <c:v>125</c:v>
                </c:pt>
                <c:pt idx="5">
                  <c:v>8</c:v>
                </c:pt>
                <c:pt idx="6">
                  <c:v>15</c:v>
                </c:pt>
                <c:pt idx="7">
                  <c:v>15.5</c:v>
                </c:pt>
                <c:pt idx="8">
                  <c:v>50.59</c:v>
                </c:pt>
                <c:pt idx="9">
                  <c:v>2</c:v>
                </c:pt>
                <c:pt idx="10">
                  <c:v>7</c:v>
                </c:pt>
                <c:pt idx="11">
                  <c:v>102.5</c:v>
                </c:pt>
              </c:numCache>
            </c:numRef>
          </c:val>
          <c:extLst>
            <c:ext xmlns:c16="http://schemas.microsoft.com/office/drawing/2014/chart" uri="{C3380CC4-5D6E-409C-BE32-E72D297353CC}">
              <c16:uniqueId val="{00000000-D150-3246-BDF1-29F7B0C21B3A}"/>
            </c:ext>
          </c:extLst>
        </c:ser>
        <c:ser>
          <c:idx val="1"/>
          <c:order val="1"/>
          <c:tx>
            <c:strRef>
              <c:f>'Presupuestos de Gastos'!$D$9</c:f>
              <c:strCache>
                <c:ptCount val="1"/>
                <c:pt idx="0">
                  <c:v>Mes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F3A6-5846-90F5-752656624CC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F3A6-5846-90F5-752656624CC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F3A6-5846-90F5-752656624CC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F3A6-5846-90F5-752656624CC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F3A6-5846-90F5-752656624CC8}"/>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F3A6-5846-90F5-752656624CC8}"/>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F3A6-5846-90F5-752656624CC8}"/>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3-F3A6-5846-90F5-752656624CC8}"/>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5-F3A6-5846-90F5-752656624CC8}"/>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7-F3A6-5846-90F5-752656624CC8}"/>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D-783C-E347-B6F6-321B49B5E6F3}"/>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F-A3E6-4416-8FED-56552763CD6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'Presupuestos de Gastos'!$B$10:$B$21</c:f>
              <c:strCache>
                <c:ptCount val="12"/>
                <c:pt idx="0">
                  <c:v>Alquiler </c:v>
                </c:pt>
                <c:pt idx="1">
                  <c:v>Luz</c:v>
                </c:pt>
                <c:pt idx="2">
                  <c:v>Compra</c:v>
                </c:pt>
                <c:pt idx="3">
                  <c:v>Restaurantes</c:v>
                </c:pt>
                <c:pt idx="4">
                  <c:v>Noche</c:v>
                </c:pt>
                <c:pt idx="5">
                  <c:v>Transporte</c:v>
                </c:pt>
                <c:pt idx="6">
                  <c:v>Cruz Roja</c:v>
                </c:pt>
                <c:pt idx="7">
                  <c:v>WIFI</c:v>
                </c:pt>
                <c:pt idx="8">
                  <c:v>HP</c:v>
                </c:pt>
                <c:pt idx="9">
                  <c:v>Google</c:v>
                </c:pt>
                <c:pt idx="10">
                  <c:v>Windows </c:v>
                </c:pt>
                <c:pt idx="11">
                  <c:v>Varios</c:v>
                </c:pt>
              </c:strCache>
            </c:strRef>
          </c:cat>
          <c:val>
            <c:numRef>
              <c:f>'Presupuestos de Gastos'!$D$10:$D$21</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50-3246-BDF1-29F7B0C21B3A}"/>
            </c:ext>
          </c:extLst>
        </c:ser>
        <c:ser>
          <c:idx val="2"/>
          <c:order val="2"/>
          <c:tx>
            <c:strRef>
              <c:f>'Presupuestos de Gastos'!$E$9</c:f>
              <c:strCache>
                <c:ptCount val="1"/>
                <c:pt idx="0">
                  <c:v>Balance</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9-F3A6-5846-90F5-752656624CC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B-F3A6-5846-90F5-752656624CC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D-F3A6-5846-90F5-752656624CC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F-F3A6-5846-90F5-752656624CC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1-F3A6-5846-90F5-752656624CC8}"/>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3-F3A6-5846-90F5-752656624CC8}"/>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5-F3A6-5846-90F5-752656624CC8}"/>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7-F3A6-5846-90F5-752656624CC8}"/>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9-F3A6-5846-90F5-752656624CC8}"/>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B-F3A6-5846-90F5-752656624CC8}"/>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5-783C-E347-B6F6-321B49B5E6F3}"/>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7-A3E6-4416-8FED-56552763CD6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'Presupuestos de Gastos'!$B$10:$B$21</c:f>
              <c:strCache>
                <c:ptCount val="12"/>
                <c:pt idx="0">
                  <c:v>Alquiler </c:v>
                </c:pt>
                <c:pt idx="1">
                  <c:v>Luz</c:v>
                </c:pt>
                <c:pt idx="2">
                  <c:v>Compra</c:v>
                </c:pt>
                <c:pt idx="3">
                  <c:v>Restaurantes</c:v>
                </c:pt>
                <c:pt idx="4">
                  <c:v>Noche</c:v>
                </c:pt>
                <c:pt idx="5">
                  <c:v>Transporte</c:v>
                </c:pt>
                <c:pt idx="6">
                  <c:v>Cruz Roja</c:v>
                </c:pt>
                <c:pt idx="7">
                  <c:v>WIFI</c:v>
                </c:pt>
                <c:pt idx="8">
                  <c:v>HP</c:v>
                </c:pt>
                <c:pt idx="9">
                  <c:v>Google</c:v>
                </c:pt>
                <c:pt idx="10">
                  <c:v>Windows </c:v>
                </c:pt>
                <c:pt idx="11">
                  <c:v>Varios</c:v>
                </c:pt>
              </c:strCache>
            </c:strRef>
          </c:cat>
          <c:val>
            <c:numRef>
              <c:f>'Presupuestos de Gastos'!$E$10:$E$21</c:f>
              <c:numCache>
                <c:formatCode>_("€"* #,##0.00_);_("€"* \(#,##0.00\);_("€"* "-"??_);_(@_)</c:formatCode>
                <c:ptCount val="12"/>
                <c:pt idx="0">
                  <c:v>425</c:v>
                </c:pt>
                <c:pt idx="1">
                  <c:v>25</c:v>
                </c:pt>
                <c:pt idx="2">
                  <c:v>200</c:v>
                </c:pt>
                <c:pt idx="3">
                  <c:v>125</c:v>
                </c:pt>
                <c:pt idx="4">
                  <c:v>125</c:v>
                </c:pt>
                <c:pt idx="5">
                  <c:v>8</c:v>
                </c:pt>
                <c:pt idx="6">
                  <c:v>15</c:v>
                </c:pt>
                <c:pt idx="7">
                  <c:v>15.5</c:v>
                </c:pt>
                <c:pt idx="8">
                  <c:v>50.59</c:v>
                </c:pt>
                <c:pt idx="9">
                  <c:v>2</c:v>
                </c:pt>
                <c:pt idx="10">
                  <c:v>7</c:v>
                </c:pt>
                <c:pt idx="11">
                  <c:v>102.5</c:v>
                </c:pt>
              </c:numCache>
            </c:numRef>
          </c:val>
          <c:extLst>
            <c:ext xmlns:c16="http://schemas.microsoft.com/office/drawing/2014/chart" uri="{C3380CC4-5D6E-409C-BE32-E72D297353CC}">
              <c16:uniqueId val="{00000002-D150-3246-BDF1-29F7B0C21B3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[Plantilla Finanzas Personales (2).xlsm]Dashboard I&amp;G!TablaDinámica2</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GASTOS</a:t>
            </a:r>
          </a:p>
        </c:rich>
      </c:tx>
      <c:layout>
        <c:manualLayout>
          <c:xMode val="edge"/>
          <c:yMode val="edge"/>
          <c:x val="0.41865822515428813"/>
          <c:y val="4.8465266558966075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841000545034965"/>
          <c:y val="0.12133377451259168"/>
          <c:w val="0.46855683580093038"/>
          <c:h val="0.7842082098380676"/>
        </c:manualLayout>
      </c:layout>
      <c:pieChart>
        <c:varyColors val="1"/>
        <c:ser>
          <c:idx val="0"/>
          <c:order val="0"/>
          <c:tx>
            <c:strRef>
              <c:f>'Dashboard I&amp;G'!$D$8</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8-19AF-384C-88A3-7251FC20881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C5D-7443-8E18-754C530F394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C5D-7443-8E18-754C530F394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C5D-7443-8E18-754C530F394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7-19AF-384C-88A3-7251FC20881C}"/>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FBA1-2A4B-9EFC-D4BE576AF89C}"/>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3751-3C4A-AA15-3C86EEC05E5C}"/>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D0A3-CE4B-B735-303A5BFA4662}"/>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7044-4E8E-AE86-26E8DC6FAA97}"/>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7044-4E8E-AE86-26E8DC6FAA97}"/>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7044-4E8E-AE86-26E8DC6FAA9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I&amp;G'!$C$9</c:f>
              <c:strCache>
                <c:ptCount val="1"/>
                <c:pt idx="0">
                  <c:v>Total general</c:v>
                </c:pt>
              </c:strCache>
            </c:strRef>
          </c:cat>
          <c:val>
            <c:numRef>
              <c:f>'Dashboard I&amp;G'!$D$9</c:f>
              <c:numCache>
                <c:formatCode>_("€"* #,##0.00_);_("€"* \(#,##0.00\);_("€"* "-"??_);_(@_)</c:formatCode>
                <c:ptCount val="1"/>
              </c:numCache>
            </c:numRef>
          </c:val>
          <c:extLst>
            <c:ext xmlns:c16="http://schemas.microsoft.com/office/drawing/2014/chart" uri="{C3380CC4-5D6E-409C-BE32-E72D297353CC}">
              <c16:uniqueId val="{00000000-19AF-384C-88A3-7251FC20881C}"/>
            </c:ext>
          </c:extLst>
        </c:ser>
        <c:dLbls>
          <c:dLblPos val="inEnd"/>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[Plantilla Finanzas Personales (2).xlsm]Dashboard I&amp;G!TablaDinámica3</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INGRESOS</a:t>
            </a:r>
          </a:p>
        </c:rich>
      </c:tx>
      <c:layout>
        <c:manualLayout>
          <c:xMode val="edge"/>
          <c:yMode val="edge"/>
          <c:x val="0.31468127490039843"/>
          <c:y val="2.5931928687196109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 I&amp;G'!$L$8</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2285-824F-AF5A-31FC90CFAA6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ED8-6D42-B61F-4D82D178784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I&amp;G'!$K$9</c:f>
              <c:strCache>
                <c:ptCount val="1"/>
                <c:pt idx="0">
                  <c:v>Total general</c:v>
                </c:pt>
              </c:strCache>
            </c:strRef>
          </c:cat>
          <c:val>
            <c:numRef>
              <c:f>'Dashboard I&amp;G'!$L$9</c:f>
              <c:numCache>
                <c:formatCode>_("€"* #,##0.00_);_("€"* \(#,##0.00\);_("€"* "-"??_);_(@_)</c:formatCode>
                <c:ptCount val="1"/>
              </c:numCache>
            </c:numRef>
          </c:val>
          <c:extLst>
            <c:ext xmlns:c16="http://schemas.microsoft.com/office/drawing/2014/chart" uri="{C3380CC4-5D6E-409C-BE32-E72D297353CC}">
              <c16:uniqueId val="{00000000-2285-824F-AF5A-31FC90CFAA6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[Plantilla Finanzas Personales (2).xlsm]Dashboard I&amp;G!TablaDinámica4</c:name>
    <c:fmtId val="0"/>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568887577298154E-2"/>
          <c:y val="5.306799336650083E-2"/>
          <c:w val="0.8052293124557719"/>
          <c:h val="0.88657290972956737"/>
        </c:manualLayout>
      </c:layout>
      <c:lineChart>
        <c:grouping val="standard"/>
        <c:varyColors val="0"/>
        <c:ser>
          <c:idx val="0"/>
          <c:order val="0"/>
          <c:tx>
            <c:strRef>
              <c:f>'Dashboard I&amp;G'!$D$49:$D$50</c:f>
              <c:strCache>
                <c:ptCount val="1"/>
                <c:pt idx="0">
                  <c:v>(en blanco)</c:v>
                </c:pt>
              </c:strCache>
            </c:strRef>
          </c:tx>
          <c:spPr>
            <a:ln w="38100" cap="rnd">
              <a:solidFill>
                <a:schemeClr val="accent1"/>
              </a:solidFill>
              <a:round/>
            </a:ln>
            <a:effectLst/>
          </c:spPr>
          <c:marker>
            <c:symbol val="circle"/>
            <c:size val="8"/>
            <c:spPr>
              <a:solidFill>
                <a:schemeClr val="accent1"/>
              </a:solidFill>
              <a:ln>
                <a:noFill/>
              </a:ln>
              <a:effectLst/>
            </c:spPr>
          </c:marker>
          <c:cat>
            <c:strRef>
              <c:f>'Dashboard I&amp;G'!$C$51</c:f>
              <c:strCache>
                <c:ptCount val="1"/>
                <c:pt idx="0">
                  <c:v>Total</c:v>
                </c:pt>
              </c:strCache>
            </c:strRef>
          </c:cat>
          <c:val>
            <c:numRef>
              <c:f>'Dashboard I&amp;G'!$D$51</c:f>
              <c:numCache>
                <c:formatCode>_("€"* #,##0.00_);_("€"* \(#,##0.00\);_("€"* "-"??_);_(@_)</c:formatCode>
                <c:ptCount val="1"/>
              </c:numCache>
            </c:numRef>
          </c:val>
          <c:smooth val="0"/>
          <c:extLst>
            <c:ext xmlns:c16="http://schemas.microsoft.com/office/drawing/2014/chart" uri="{C3380CC4-5D6E-409C-BE32-E72D297353CC}">
              <c16:uniqueId val="{00000000-CF96-47AA-B954-CD1F8ED0E579}"/>
            </c:ext>
          </c:extLst>
        </c:ser>
        <c:dLbls>
          <c:showLegendKey val="0"/>
          <c:showVal val="0"/>
          <c:showCatName val="0"/>
          <c:showSerName val="0"/>
          <c:showPercent val="0"/>
          <c:showBubbleSize val="0"/>
        </c:dLbls>
        <c:marker val="1"/>
        <c:smooth val="0"/>
        <c:axId val="1511803503"/>
        <c:axId val="1554044639"/>
      </c:lineChart>
      <c:catAx>
        <c:axId val="151180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ES"/>
          </a:p>
        </c:txPr>
        <c:crossAx val="1554044639"/>
        <c:crosses val="autoZero"/>
        <c:auto val="1"/>
        <c:lblAlgn val="ctr"/>
        <c:lblOffset val="100"/>
        <c:noMultiLvlLbl val="0"/>
      </c:catAx>
      <c:valAx>
        <c:axId val="155404463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511803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s-ES"/>
              <a:t>CAPITALIZACIÓN</a:t>
            </a:r>
          </a:p>
        </c:rich>
      </c:tx>
      <c:layout>
        <c:manualLayout>
          <c:xMode val="edge"/>
          <c:yMode val="edge"/>
          <c:x val="0.20130735954075929"/>
          <c:y val="4.1797283176593522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ES"/>
        </a:p>
      </c:txPr>
    </c:title>
    <c:autoTitleDeleted val="0"/>
    <c:plotArea>
      <c:layout/>
      <c:pieChart>
        <c:varyColors val="1"/>
        <c:ser>
          <c:idx val="0"/>
          <c:order val="0"/>
          <c:tx>
            <c:strRef>
              <c:f>Cálculos!$D$20</c:f>
              <c:strCache>
                <c:ptCount val="1"/>
                <c:pt idx="0">
                  <c:v>%</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2D8-4776-9D08-46C52FBEC4E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[0]!CAPITALIZACIÓN_NOMBRES</c:f>
              <c:strCache>
                <c:ptCount val="1"/>
                <c:pt idx="0">
                  <c:v>Grd</c:v>
                </c:pt>
              </c:strCache>
            </c:strRef>
          </c:cat>
          <c:val>
            <c:numRef>
              <c:f>[0]!CAPITALIZACIÓN_PORCENTAJE</c:f>
              <c:numCache>
                <c:formatCode>0.00%</c:formatCode>
                <c:ptCount val="1"/>
                <c:pt idx="0">
                  <c:v>0</c:v>
                </c:pt>
              </c:numCache>
            </c:numRef>
          </c:val>
          <c:extLst>
            <c:ext xmlns:c16="http://schemas.microsoft.com/office/drawing/2014/chart" uri="{C3380CC4-5D6E-409C-BE32-E72D297353CC}">
              <c16:uniqueId val="{00000006-F2D8-4776-9D08-46C52FBEC4E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 por Sector</a:t>
            </a:r>
          </a:p>
        </c:rich>
      </c:tx>
      <c:layout>
        <c:manualLayout>
          <c:xMode val="edge"/>
          <c:yMode val="edge"/>
          <c:x val="0.2351394742123219"/>
          <c:y val="3.1700729141731464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ES"/>
        </a:p>
      </c:txPr>
    </c:title>
    <c:autoTitleDeleted val="0"/>
    <c:plotArea>
      <c:layout/>
      <c:pieChart>
        <c:varyColors val="1"/>
        <c:ser>
          <c:idx val="0"/>
          <c:order val="0"/>
          <c:tx>
            <c:strRef>
              <c:f>Cálculos!$G$20</c:f>
              <c:strCache>
                <c:ptCount val="1"/>
                <c:pt idx="0">
                  <c:v>%</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9A2-4EE8-8281-B429010272D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[0]!SECTOR_NOMBRE</c:f>
              <c:strCache>
                <c:ptCount val="1"/>
                <c:pt idx="0">
                  <c:v>No hay inversiones</c:v>
                </c:pt>
              </c:strCache>
            </c:strRef>
          </c:cat>
          <c:val>
            <c:numRef>
              <c:f>[0]!SECTOR_PORCENTAJE</c:f>
              <c:numCache>
                <c:formatCode>0.00%</c:formatCode>
                <c:ptCount val="1"/>
                <c:pt idx="0">
                  <c:v>0</c:v>
                </c:pt>
              </c:numCache>
            </c:numRef>
          </c:val>
          <c:extLst>
            <c:ext xmlns:c16="http://schemas.microsoft.com/office/drawing/2014/chart" uri="{C3380CC4-5D6E-409C-BE32-E72D297353CC}">
              <c16:uniqueId val="{00000016-C9A2-4EE8-8281-B429010272D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83542354065408"/>
          <c:y val="3.5355099551128845E-2"/>
          <c:w val="0.30584923204520925"/>
          <c:h val="0.94797824253110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 % por Empresa</a:t>
            </a:r>
          </a:p>
        </c:rich>
      </c:tx>
      <c:layout>
        <c:manualLayout>
          <c:xMode val="edge"/>
          <c:yMode val="edge"/>
          <c:x val="0.32813430270098026"/>
          <c:y val="3.167062549485352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ES"/>
        </a:p>
      </c:txPr>
    </c:title>
    <c:autoTitleDeleted val="0"/>
    <c:plotArea>
      <c:layout/>
      <c:pieChart>
        <c:varyColors val="1"/>
        <c:ser>
          <c:idx val="0"/>
          <c:order val="0"/>
          <c:tx>
            <c:strRef>
              <c:f>Cálculos!$J$20</c:f>
              <c:strCache>
                <c:ptCount val="1"/>
                <c:pt idx="0">
                  <c:v>%</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955-47C6-AEA0-5D2ACD347DD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[0]!SIMBOLO_NOMBRE</c:f>
              <c:numCache>
                <c:formatCode>General</c:formatCode>
                <c:ptCount val="1"/>
                <c:pt idx="0">
                  <c:v>0</c:v>
                </c:pt>
              </c:numCache>
            </c:numRef>
          </c:cat>
          <c:val>
            <c:numRef>
              <c:f>[0]!SIMBOLO_PORCENTAJE</c:f>
              <c:numCache>
                <c:formatCode>0.0%</c:formatCode>
                <c:ptCount val="1"/>
                <c:pt idx="0">
                  <c:v>0</c:v>
                </c:pt>
              </c:numCache>
            </c:numRef>
          </c:val>
          <c:extLst>
            <c:ext xmlns:c16="http://schemas.microsoft.com/office/drawing/2014/chart" uri="{C3380CC4-5D6E-409C-BE32-E72D297353CC}">
              <c16:uniqueId val="{0000001A-E955-47C6-AEA0-5D2ACD347DD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[Plantilla Finanzas Personales (2).xlsm]Dashboard Inversión!TablaDinámica8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DIVIDENDOS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Inversión'!$B$35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strRef>
              <c:f>'Dashboard Inversión'!$B$36</c:f>
              <c:strCache>
                <c:ptCount val="1"/>
                <c:pt idx="0">
                  <c:v>Total</c:v>
                </c:pt>
              </c:strCache>
            </c:strRef>
          </c:cat>
          <c:val>
            <c:numRef>
              <c:f>'Dashboard Inversión'!$B$36</c:f>
              <c:numCache>
                <c:formatCode>General</c:formatCode>
                <c:ptCount val="1"/>
              </c:numCache>
            </c:numRef>
          </c:val>
          <c:smooth val="0"/>
          <c:extLst>
            <c:ext xmlns:c16="http://schemas.microsoft.com/office/drawing/2014/chart" uri="{C3380CC4-5D6E-409C-BE32-E72D297353CC}">
              <c16:uniqueId val="{00000000-57EA-4A39-8159-637FC5A334C7}"/>
            </c:ext>
          </c:extLst>
        </c:ser>
        <c:dLbls>
          <c:showLegendKey val="0"/>
          <c:showVal val="0"/>
          <c:showCatName val="0"/>
          <c:showSerName val="0"/>
          <c:showPercent val="0"/>
          <c:showBubbleSize val="0"/>
        </c:dLbls>
        <c:marker val="1"/>
        <c:smooth val="0"/>
        <c:axId val="352538608"/>
        <c:axId val="352536688"/>
      </c:lineChart>
      <c:catAx>
        <c:axId val="35253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52536688"/>
        <c:crosses val="autoZero"/>
        <c:auto val="1"/>
        <c:lblAlgn val="ctr"/>
        <c:lblOffset val="100"/>
        <c:noMultiLvlLbl val="0"/>
      </c:catAx>
      <c:valAx>
        <c:axId val="352536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52538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Dividendos % Empresa Total</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ES"/>
        </a:p>
      </c:txPr>
    </c:title>
    <c:autoTitleDeleted val="0"/>
    <c:plotArea>
      <c:layout/>
      <c:pieChart>
        <c:varyColors val="1"/>
        <c:ser>
          <c:idx val="0"/>
          <c:order val="0"/>
          <c:tx>
            <c:strRef>
              <c:f>Cálculos!$M$20</c:f>
              <c:strCache>
                <c:ptCount val="1"/>
                <c:pt idx="0">
                  <c:v>Dividendos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F19-457F-88AE-97A3C389146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[0]!DIVIDENDOS_NOMBRES</c:f>
              <c:strCache>
                <c:ptCount val="1"/>
                <c:pt idx="0">
                  <c:v>No hay inversiones</c:v>
                </c:pt>
              </c:strCache>
            </c:strRef>
          </c:cat>
          <c:val>
            <c:numRef>
              <c:f>[0]!DIVIDENDOS_EUROS</c:f>
              <c:numCache>
                <c:formatCode>General</c:formatCode>
                <c:ptCount val="1"/>
                <c:pt idx="0">
                  <c:v>0</c:v>
                </c:pt>
              </c:numCache>
            </c:numRef>
          </c:val>
          <c:extLst>
            <c:ext xmlns:c16="http://schemas.microsoft.com/office/drawing/2014/chart" uri="{C3380CC4-5D6E-409C-BE32-E72D297353CC}">
              <c16:uniqueId val="{0000001C-5F19-457F-88AE-97A3C389146D}"/>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5654039002730802"/>
          <c:y val="0.12084052320685043"/>
          <c:w val="0.33283261889364657"/>
          <c:h val="0.785967722621059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5</xdr:col>
      <xdr:colOff>590550</xdr:colOff>
      <xdr:row>2</xdr:row>
      <xdr:rowOff>76200</xdr:rowOff>
    </xdr:from>
    <xdr:to>
      <xdr:col>16</xdr:col>
      <xdr:colOff>647700</xdr:colOff>
      <xdr:row>36</xdr:row>
      <xdr:rowOff>38100</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xdr:colOff>
      <xdr:row>3</xdr:row>
      <xdr:rowOff>177800</xdr:rowOff>
    </xdr:from>
    <xdr:to>
      <xdr:col>2</xdr:col>
      <xdr:colOff>2222500</xdr:colOff>
      <xdr:row>8</xdr:row>
      <xdr:rowOff>50800</xdr:rowOff>
    </xdr:to>
    <xdr:sp macro="" textlink="">
      <xdr:nvSpPr>
        <xdr:cNvPr id="2" name="Rectángulo redondeado 1">
          <a:extLst>
            <a:ext uri="{FF2B5EF4-FFF2-40B4-BE49-F238E27FC236}">
              <a16:creationId xmlns:a16="http://schemas.microsoft.com/office/drawing/2014/main" id="{00000000-0008-0000-0300-000002000000}"/>
            </a:ext>
          </a:extLst>
        </xdr:cNvPr>
        <xdr:cNvSpPr/>
      </xdr:nvSpPr>
      <xdr:spPr>
        <a:xfrm>
          <a:off x="1689100" y="952500"/>
          <a:ext cx="2184400" cy="889000"/>
        </a:xfrm>
        <a:prstGeom prst="roundRect">
          <a:avLst/>
        </a:prstGeom>
        <a:ln w="28575">
          <a:solidFill>
            <a:srgbClr val="002060"/>
          </a:solid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s-ES_tradnl" sz="1200" b="1"/>
            <a:t>  HOY:   </a:t>
          </a:r>
        </a:p>
      </xdr:txBody>
    </xdr:sp>
    <xdr:clientData/>
  </xdr:twoCellAnchor>
  <xdr:oneCellAnchor>
    <xdr:from>
      <xdr:col>2</xdr:col>
      <xdr:colOff>152400</xdr:colOff>
      <xdr:row>5</xdr:row>
      <xdr:rowOff>63500</xdr:rowOff>
    </xdr:from>
    <xdr:ext cx="927305" cy="280205"/>
    <xdr:sp macro="" textlink="Cálculos!D8">
      <xdr:nvSpPr>
        <xdr:cNvPr id="3" name="CuadroTexto 2">
          <a:extLst>
            <a:ext uri="{FF2B5EF4-FFF2-40B4-BE49-F238E27FC236}">
              <a16:creationId xmlns:a16="http://schemas.microsoft.com/office/drawing/2014/main" id="{00000000-0008-0000-0300-000003000000}"/>
            </a:ext>
          </a:extLst>
        </xdr:cNvPr>
        <xdr:cNvSpPr txBox="1"/>
      </xdr:nvSpPr>
      <xdr:spPr>
        <a:xfrm>
          <a:off x="1803400" y="1244600"/>
          <a:ext cx="92730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EE4EF76-285A-BF48-96E3-68E3EEAB1363}" type="TxLink">
            <a:rPr lang="en-US" sz="1200" b="0" i="0" u="none" strike="noStrike">
              <a:solidFill>
                <a:srgbClr val="000000"/>
              </a:solidFill>
              <a:latin typeface="Calibri"/>
              <a:cs typeface="Calibri"/>
            </a:rPr>
            <a:pPr/>
            <a:t>18/06/2024</a:t>
          </a:fld>
          <a:endParaRPr lang="es-ES_tradnl" sz="1100"/>
        </a:p>
      </xdr:txBody>
    </xdr:sp>
    <xdr:clientData/>
  </xdr:oneCellAnchor>
  <xdr:twoCellAnchor>
    <xdr:from>
      <xdr:col>3</xdr:col>
      <xdr:colOff>355600</xdr:colOff>
      <xdr:row>3</xdr:row>
      <xdr:rowOff>177800</xdr:rowOff>
    </xdr:from>
    <xdr:to>
      <xdr:col>4</xdr:col>
      <xdr:colOff>304800</xdr:colOff>
      <xdr:row>8</xdr:row>
      <xdr:rowOff>50800</xdr:rowOff>
    </xdr:to>
    <xdr:sp macro="" textlink="">
      <xdr:nvSpPr>
        <xdr:cNvPr id="7" name="Rectángulo redondeado 6">
          <a:extLst>
            <a:ext uri="{FF2B5EF4-FFF2-40B4-BE49-F238E27FC236}">
              <a16:creationId xmlns:a16="http://schemas.microsoft.com/office/drawing/2014/main" id="{00000000-0008-0000-0300-000007000000}"/>
            </a:ext>
          </a:extLst>
        </xdr:cNvPr>
        <xdr:cNvSpPr/>
      </xdr:nvSpPr>
      <xdr:spPr>
        <a:xfrm>
          <a:off x="4241800" y="952500"/>
          <a:ext cx="2184400" cy="889000"/>
        </a:xfrm>
        <a:prstGeom prst="roundRect">
          <a:avLst/>
        </a:prstGeom>
        <a:ln w="28575">
          <a:solidFill>
            <a:srgbClr val="002060"/>
          </a:solid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s-ES_tradnl" sz="1200" b="1"/>
            <a:t>  Última</a:t>
          </a:r>
          <a:r>
            <a:rPr lang="es-ES_tradnl" sz="1200" b="1" baseline="0"/>
            <a:t> operación</a:t>
          </a:r>
          <a:r>
            <a:rPr lang="es-ES_tradnl" sz="1200" b="1"/>
            <a:t>:   </a:t>
          </a:r>
        </a:p>
      </xdr:txBody>
    </xdr:sp>
    <xdr:clientData/>
  </xdr:twoCellAnchor>
  <xdr:twoCellAnchor>
    <xdr:from>
      <xdr:col>4</xdr:col>
      <xdr:colOff>596900</xdr:colOff>
      <xdr:row>3</xdr:row>
      <xdr:rowOff>177800</xdr:rowOff>
    </xdr:from>
    <xdr:to>
      <xdr:col>5</xdr:col>
      <xdr:colOff>1320800</xdr:colOff>
      <xdr:row>8</xdr:row>
      <xdr:rowOff>50800</xdr:rowOff>
    </xdr:to>
    <xdr:sp macro="" textlink="">
      <xdr:nvSpPr>
        <xdr:cNvPr id="8" name="Rectángulo redondeado 7">
          <a:extLst>
            <a:ext uri="{FF2B5EF4-FFF2-40B4-BE49-F238E27FC236}">
              <a16:creationId xmlns:a16="http://schemas.microsoft.com/office/drawing/2014/main" id="{00000000-0008-0000-0300-000008000000}"/>
            </a:ext>
          </a:extLst>
        </xdr:cNvPr>
        <xdr:cNvSpPr/>
      </xdr:nvSpPr>
      <xdr:spPr>
        <a:xfrm>
          <a:off x="6718300" y="952500"/>
          <a:ext cx="2959100" cy="889000"/>
        </a:xfrm>
        <a:prstGeom prst="roundRect">
          <a:avLst/>
        </a:prstGeom>
        <a:ln w="28575">
          <a:solidFill>
            <a:srgbClr val="002060"/>
          </a:solid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s-ES" sz="1100" b="1" i="0" u="none" strike="noStrike">
              <a:solidFill>
                <a:schemeClr val="dk1"/>
              </a:solidFill>
              <a:effectLst/>
              <a:latin typeface="+mn-lt"/>
              <a:ea typeface="+mn-ea"/>
              <a:cs typeface="+mn-cs"/>
            </a:rPr>
            <a:t>Tiempo desde la última operación registrada</a:t>
          </a:r>
          <a:r>
            <a:rPr lang="es-ES" sz="1200" b="0" i="0" u="none" strike="noStrike">
              <a:solidFill>
                <a:schemeClr val="dk1"/>
              </a:solidFill>
              <a:effectLst/>
              <a:latin typeface="+mn-lt"/>
              <a:ea typeface="+mn-ea"/>
              <a:cs typeface="+mn-cs"/>
            </a:rPr>
            <a:t>:</a:t>
          </a:r>
          <a:endParaRPr lang="es-ES_tradnl" sz="1200" b="1"/>
        </a:p>
      </xdr:txBody>
    </xdr:sp>
    <xdr:clientData/>
  </xdr:twoCellAnchor>
  <xdr:twoCellAnchor>
    <xdr:from>
      <xdr:col>5</xdr:col>
      <xdr:colOff>1562100</xdr:colOff>
      <xdr:row>3</xdr:row>
      <xdr:rowOff>173990</xdr:rowOff>
    </xdr:from>
    <xdr:to>
      <xdr:col>6</xdr:col>
      <xdr:colOff>1507490</xdr:colOff>
      <xdr:row>8</xdr:row>
      <xdr:rowOff>54610</xdr:rowOff>
    </xdr:to>
    <xdr:sp macro="" textlink="">
      <xdr:nvSpPr>
        <xdr:cNvPr id="9" name="Rectángulo redondeado 8">
          <a:extLst>
            <a:ext uri="{FF2B5EF4-FFF2-40B4-BE49-F238E27FC236}">
              <a16:creationId xmlns:a16="http://schemas.microsoft.com/office/drawing/2014/main" id="{00000000-0008-0000-0300-000009000000}"/>
            </a:ext>
          </a:extLst>
        </xdr:cNvPr>
        <xdr:cNvSpPr/>
      </xdr:nvSpPr>
      <xdr:spPr>
        <a:xfrm>
          <a:off x="9958595" y="929778"/>
          <a:ext cx="2171341" cy="864180"/>
        </a:xfrm>
        <a:prstGeom prst="roundRect">
          <a:avLst/>
        </a:prstGeom>
        <a:ln w="28575">
          <a:solidFill>
            <a:srgbClr val="002060"/>
          </a:solid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s-ES" sz="1200" b="1" i="0" u="none" strike="noStrike">
              <a:solidFill>
                <a:schemeClr val="dk1"/>
              </a:solidFill>
              <a:effectLst/>
              <a:latin typeface="+mn-lt"/>
              <a:ea typeface="+mn-ea"/>
              <a:cs typeface="+mn-cs"/>
            </a:rPr>
            <a:t> Registros:</a:t>
          </a:r>
          <a:r>
            <a:rPr lang="es-ES" sz="1200"/>
            <a:t> </a:t>
          </a:r>
          <a:endParaRPr lang="es-ES_tradnl" sz="1200" b="1"/>
        </a:p>
      </xdr:txBody>
    </xdr:sp>
    <xdr:clientData/>
  </xdr:twoCellAnchor>
  <xdr:oneCellAnchor>
    <xdr:from>
      <xdr:col>3</xdr:col>
      <xdr:colOff>495300</xdr:colOff>
      <xdr:row>5</xdr:row>
      <xdr:rowOff>63500</xdr:rowOff>
    </xdr:from>
    <xdr:ext cx="927305" cy="280205"/>
    <xdr:sp macro="" textlink="Cálculos!D9">
      <xdr:nvSpPr>
        <xdr:cNvPr id="10" name="CuadroTexto 9">
          <a:extLst>
            <a:ext uri="{FF2B5EF4-FFF2-40B4-BE49-F238E27FC236}">
              <a16:creationId xmlns:a16="http://schemas.microsoft.com/office/drawing/2014/main" id="{00000000-0008-0000-0300-00000A000000}"/>
            </a:ext>
          </a:extLst>
        </xdr:cNvPr>
        <xdr:cNvSpPr txBox="1"/>
      </xdr:nvSpPr>
      <xdr:spPr>
        <a:xfrm>
          <a:off x="4381500" y="1244600"/>
          <a:ext cx="92730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769FBF9-8574-AD44-9770-A52209A930F1}" type="TxLink">
            <a:rPr lang="en-US" sz="1200" b="0" i="0" u="none" strike="noStrike">
              <a:solidFill>
                <a:srgbClr val="000000"/>
              </a:solidFill>
              <a:latin typeface="Calibri"/>
              <a:cs typeface="Calibri"/>
            </a:rPr>
            <a:pPr/>
            <a:t>00/01/1900</a:t>
          </a:fld>
          <a:endParaRPr lang="es-ES_tradnl" sz="1100"/>
        </a:p>
      </xdr:txBody>
    </xdr:sp>
    <xdr:clientData/>
  </xdr:oneCellAnchor>
  <xdr:oneCellAnchor>
    <xdr:from>
      <xdr:col>4</xdr:col>
      <xdr:colOff>669290</xdr:colOff>
      <xdr:row>5</xdr:row>
      <xdr:rowOff>92711</xdr:rowOff>
    </xdr:from>
    <xdr:ext cx="2336800" cy="280141"/>
    <xdr:sp macro="" textlink="Cálculos!D10">
      <xdr:nvSpPr>
        <xdr:cNvPr id="11" name="CuadroTexto 10">
          <a:extLst>
            <a:ext uri="{FF2B5EF4-FFF2-40B4-BE49-F238E27FC236}">
              <a16:creationId xmlns:a16="http://schemas.microsoft.com/office/drawing/2014/main" id="{00000000-0008-0000-0300-00000B000000}"/>
            </a:ext>
          </a:extLst>
        </xdr:cNvPr>
        <xdr:cNvSpPr txBox="1"/>
      </xdr:nvSpPr>
      <xdr:spPr>
        <a:xfrm>
          <a:off x="6839833" y="1241923"/>
          <a:ext cx="2336800" cy="280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5ADBB33-750A-5641-B1E4-2E5F3844CC24}" type="TxLink">
            <a:rPr lang="en-US" sz="1200" b="0" i="0" u="none" strike="noStrike">
              <a:solidFill>
                <a:srgbClr val="000000"/>
              </a:solidFill>
              <a:latin typeface="Calibri"/>
              <a:cs typeface="Calibri"/>
            </a:rPr>
            <a:pPr/>
            <a:t> </a:t>
          </a:fld>
          <a:endParaRPr lang="es-ES_tradnl" sz="1100"/>
        </a:p>
      </xdr:txBody>
    </xdr:sp>
    <xdr:clientData/>
  </xdr:oneCellAnchor>
  <xdr:oneCellAnchor>
    <xdr:from>
      <xdr:col>5</xdr:col>
      <xdr:colOff>1697990</xdr:colOff>
      <xdr:row>5</xdr:row>
      <xdr:rowOff>76200</xdr:rowOff>
    </xdr:from>
    <xdr:ext cx="262636" cy="280205"/>
    <xdr:sp macro="" textlink="Cálculos!D11">
      <xdr:nvSpPr>
        <xdr:cNvPr id="12" name="CuadroTexto 11">
          <a:extLst>
            <a:ext uri="{FF2B5EF4-FFF2-40B4-BE49-F238E27FC236}">
              <a16:creationId xmlns:a16="http://schemas.microsoft.com/office/drawing/2014/main" id="{00000000-0008-0000-0300-00000C000000}"/>
            </a:ext>
          </a:extLst>
        </xdr:cNvPr>
        <xdr:cNvSpPr txBox="1"/>
      </xdr:nvSpPr>
      <xdr:spPr>
        <a:xfrm>
          <a:off x="10094485" y="1225412"/>
          <a:ext cx="26263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3F7708FE-C407-CB46-BE07-F8E35A5705E5}" type="TxLink">
            <a:rPr lang="en-US" sz="1200" b="0" i="0" u="none" strike="noStrike">
              <a:solidFill>
                <a:srgbClr val="000000"/>
              </a:solidFill>
              <a:latin typeface="Calibri"/>
              <a:cs typeface="Calibri"/>
            </a:rPr>
            <a:pPr/>
            <a:t>0</a:t>
          </a:fld>
          <a:endParaRPr lang="es-ES_tradnl"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xdr:col>
      <xdr:colOff>12700</xdr:colOff>
      <xdr:row>20</xdr:row>
      <xdr:rowOff>107950</xdr:rowOff>
    </xdr:from>
    <xdr:to>
      <xdr:col>9</xdr:col>
      <xdr:colOff>12700</xdr:colOff>
      <xdr:row>39</xdr:row>
      <xdr:rowOff>177800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266700</xdr:colOff>
      <xdr:row>20</xdr:row>
      <xdr:rowOff>120650</xdr:rowOff>
    </xdr:from>
    <xdr:to>
      <xdr:col>14</xdr:col>
      <xdr:colOff>1282700</xdr:colOff>
      <xdr:row>39</xdr:row>
      <xdr:rowOff>177800</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114300</xdr:colOff>
      <xdr:row>40</xdr:row>
      <xdr:rowOff>146050</xdr:rowOff>
    </xdr:from>
    <xdr:to>
      <xdr:col>14</xdr:col>
      <xdr:colOff>609600</xdr:colOff>
      <xdr:row>59</xdr:row>
      <xdr:rowOff>114300</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16</xdr:col>
          <xdr:colOff>22860</xdr:colOff>
          <xdr:row>5</xdr:row>
          <xdr:rowOff>22860</xdr:rowOff>
        </xdr:from>
        <xdr:to>
          <xdr:col>17</xdr:col>
          <xdr:colOff>632460</xdr:colOff>
          <xdr:row>7</xdr:row>
          <xdr:rowOff>22860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245746</xdr:colOff>
      <xdr:row>1</xdr:row>
      <xdr:rowOff>91440</xdr:rowOff>
    </xdr:from>
    <xdr:to>
      <xdr:col>23</xdr:col>
      <xdr:colOff>638175</xdr:colOff>
      <xdr:row>21</xdr:row>
      <xdr:rowOff>57150</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668655</xdr:colOff>
      <xdr:row>1</xdr:row>
      <xdr:rowOff>99058</xdr:rowOff>
    </xdr:from>
    <xdr:to>
      <xdr:col>15</xdr:col>
      <xdr:colOff>139065</xdr:colOff>
      <xdr:row>21</xdr:row>
      <xdr:rowOff>102870</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842009</xdr:colOff>
      <xdr:row>1</xdr:row>
      <xdr:rowOff>95250</xdr:rowOff>
    </xdr:from>
    <xdr:to>
      <xdr:col>7</xdr:col>
      <xdr:colOff>502919</xdr:colOff>
      <xdr:row>21</xdr:row>
      <xdr:rowOff>102870</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98106</xdr:colOff>
      <xdr:row>22</xdr:row>
      <xdr:rowOff>140969</xdr:rowOff>
    </xdr:from>
    <xdr:to>
      <xdr:col>15</xdr:col>
      <xdr:colOff>131444</xdr:colOff>
      <xdr:row>48</xdr:row>
      <xdr:rowOff>62865</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323849</xdr:colOff>
      <xdr:row>22</xdr:row>
      <xdr:rowOff>133350</xdr:rowOff>
    </xdr:from>
    <xdr:to>
      <xdr:col>23</xdr:col>
      <xdr:colOff>630555</xdr:colOff>
      <xdr:row>48</xdr:row>
      <xdr:rowOff>66675</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 RIERA GUARDIA" refreshedDate="45363.738785879628" createdVersion="8" refreshedVersion="8" minRefreshableVersion="3" recordCount="1" xr:uid="{A5663A4F-154B-4EAB-8B93-D0108D40A745}">
  <cacheSource type="worksheet">
    <worksheetSource name="Cotizaciones"/>
  </cacheSource>
  <cacheFields count="7">
    <cacheField name="Tablero de cotizaciones" numFmtId="0">
      <sharedItems/>
    </cacheField>
    <cacheField name="Transacción" numFmtId="0">
      <sharedItems containsNonDate="0" containsString="0" containsBlank="1"/>
    </cacheField>
    <cacheField name="Fecha" numFmtId="14">
      <sharedItems containsNonDate="0" containsString="0" containsBlank="1"/>
    </cacheField>
    <cacheField name="Cantidad" numFmtId="0">
      <sharedItems containsNonDate="0" containsString="0" containsBlank="1"/>
    </cacheField>
    <cacheField name="Precio" numFmtId="44">
      <sharedItems containsNonDate="0" containsString="0" containsBlank="1"/>
    </cacheField>
    <cacheField name="Dividendo" numFmtId="44">
      <sharedItems containsNonDate="0" containsString="0" containsBlank="1"/>
    </cacheField>
    <cacheField name="Cantidad Total" numFmtId="44">
      <sharedItems containsSemiMixedTypes="0" containsString="0" containsNumber="1" containsInteger="1" minValue="0" maxValue="0"/>
    </cacheField>
  </cacheFields>
  <extLst>
    <ext xmlns:x14="http://schemas.microsoft.com/office/spreadsheetml/2009/9/main" uri="{725AE2AE-9491-48be-B2B4-4EB974FC3084}">
      <x14:pivotCacheDefinition pivotCacheId="175403794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 RIERA GUARDIA" refreshedDate="45363.747872337961" createdVersion="8" refreshedVersion="8" minRefreshableVersion="3" recordCount="1" xr:uid="{764FD862-6584-694D-AFF2-35072C505AA4}">
  <cacheSource type="worksheet">
    <worksheetSource name="Libro_Diario"/>
  </cacheSource>
  <cacheFields count="7">
    <cacheField name="Fecha" numFmtId="14">
      <sharedItems containsNonDate="0" containsString="0" containsBlank="1" count="1">
        <m/>
      </sharedItems>
    </cacheField>
    <cacheField name="Tipo " numFmtId="14">
      <sharedItems containsNonDate="0" containsBlank="1" count="3">
        <m/>
        <s v="Gastos" u="1"/>
        <s v="Ingresos" u="1"/>
      </sharedItems>
    </cacheField>
    <cacheField name="Categoria " numFmtId="14">
      <sharedItems containsNonDate="0" containsBlank="1" count="14">
        <m/>
        <s v="Transporte" u="1"/>
        <s v="Varios" u="1"/>
        <s v="Restaurantes" u="1"/>
        <s v="Compra" u="1"/>
        <s v="Noche" u="1"/>
        <s v="Luz" u="1"/>
        <s v="Alquiler " u="1"/>
        <s v="WIFI" u="1"/>
        <s v="Nómina (neto)  " u="1"/>
        <s v="Google" u="1"/>
        <s v="HP" u="1"/>
        <s v="Windows" u="1"/>
        <s v="Cruz Roja" u="1"/>
      </sharedItems>
    </cacheField>
    <cacheField name="Cantidad " numFmtId="14">
      <sharedItems containsNonDate="0" containsString="0" containsBlank="1"/>
    </cacheField>
    <cacheField name="Detalles" numFmtId="14">
      <sharedItems containsNonDate="0" containsString="0" containsBlank="1"/>
    </cacheField>
    <cacheField name="Mes Número" numFmtId="0">
      <sharedItems containsSemiMixedTypes="0" containsString="0" containsNumber="1" containsInteger="1" minValue="1" maxValue="1"/>
    </cacheField>
    <cacheField name="Año Numero" numFmtId="0">
      <sharedItems containsSemiMixedTypes="0" containsString="0" containsNumber="1" containsInteger="1" minValue="1900" maxValue="1900"/>
    </cacheField>
  </cacheFields>
  <extLst>
    <ext xmlns:x14="http://schemas.microsoft.com/office/spreadsheetml/2009/9/main" uri="{725AE2AE-9491-48be-B2B4-4EB974FC3084}">
      <x14:pivotCacheDefinition pivotCacheId="1139303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WALMART INC. (XNYS:WMT)"/>
    <m/>
    <m/>
    <m/>
    <m/>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m/>
    <m/>
    <n v="1"/>
    <n v="19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794311-7B1E-384C-A681-A4AEA47A5632}" name="TablaDinámica3"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2">
  <location ref="K8:L9" firstHeaderRow="1" firstDataRow="1" firstDataCol="1" rowPageCount="1" colPageCount="1"/>
  <pivotFields count="7">
    <pivotField numFmtId="14" showAll="0"/>
    <pivotField axis="axisPage" multipleItemSelectionAllowed="1" showAll="0">
      <items count="4">
        <item h="1" m="1" x="1"/>
        <item m="1" x="2"/>
        <item h="1" x="0"/>
        <item t="default"/>
      </items>
    </pivotField>
    <pivotField axis="axisRow" showAll="0">
      <items count="15">
        <item m="1" x="4"/>
        <item m="1" x="5"/>
        <item m="1" x="9"/>
        <item m="1" x="3"/>
        <item m="1" x="1"/>
        <item m="1" x="2"/>
        <item m="1" x="7"/>
        <item m="1" x="6"/>
        <item m="1" x="8"/>
        <item m="1" x="10"/>
        <item m="1" x="11"/>
        <item m="1" x="12"/>
        <item m="1" x="13"/>
        <item x="0"/>
        <item t="default"/>
      </items>
    </pivotField>
    <pivotField dataField="1" showAll="0"/>
    <pivotField showAll="0"/>
    <pivotField showAll="0"/>
    <pivotField showAll="0"/>
  </pivotFields>
  <rowFields count="1">
    <field x="2"/>
  </rowFields>
  <rowItems count="1">
    <i t="grand">
      <x/>
    </i>
  </rowItems>
  <colItems count="1">
    <i/>
  </colItems>
  <pageFields count="1">
    <pageField fld="1" hier="-1"/>
  </pageFields>
  <dataFields count="1">
    <dataField name="Suma de Cantidad " fld="3" baseField="0" baseItem="0" numFmtId="44"/>
  </dataFields>
  <formats count="1">
    <format dxfId="6">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1" format="1">
      <pivotArea type="data" outline="0" fieldPosition="0">
        <references count="1">
          <reference field="4294967294" count="1" selected="0">
            <x v="0"/>
          </reference>
        </references>
      </pivotArea>
    </chartFormat>
  </chartFormats>
  <pivotTableStyleInfo name="PivotStyleDark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A86332-B561-4846-B626-3C8723B522B6}" name="TablaDinámica2"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 rowHeaderCaption=" ">
  <location ref="C8:D9" firstHeaderRow="1" firstDataRow="1" firstDataCol="1" rowPageCount="1" colPageCount="1"/>
  <pivotFields count="7">
    <pivotField numFmtId="14" showAll="0"/>
    <pivotField axis="axisPage" multipleItemSelectionAllowed="1" showAll="0">
      <items count="4">
        <item m="1" x="1"/>
        <item h="1" m="1" x="2"/>
        <item h="1" x="0"/>
        <item t="default"/>
      </items>
    </pivotField>
    <pivotField axis="axisRow" showAll="0">
      <items count="15">
        <item m="1" x="4"/>
        <item m="1" x="5"/>
        <item m="1" x="3"/>
        <item m="1" x="1"/>
        <item m="1" x="2"/>
        <item m="1" x="9"/>
        <item m="1" x="7"/>
        <item m="1" x="6"/>
        <item m="1" x="8"/>
        <item m="1" x="10"/>
        <item m="1" x="11"/>
        <item m="1" x="12"/>
        <item m="1" x="13"/>
        <item x="0"/>
        <item t="default"/>
      </items>
    </pivotField>
    <pivotField dataField="1" showAll="0"/>
    <pivotField showAll="0"/>
    <pivotField showAll="0"/>
    <pivotField showAll="0"/>
  </pivotFields>
  <rowFields count="1">
    <field x="2"/>
  </rowFields>
  <rowItems count="1">
    <i t="grand">
      <x/>
    </i>
  </rowItems>
  <colItems count="1">
    <i/>
  </colItems>
  <pageFields count="1">
    <pageField fld="1" hier="-1"/>
  </pageFields>
  <dataFields count="1">
    <dataField name="Suma de Cantidad " fld="3" baseField="0" baseItem="0" numFmtId="44"/>
  </dataFields>
  <formats count="1">
    <format dxfId="7">
      <pivotArea outline="0" collapsedLevelsAreSubtotals="1" fieldPosition="0"/>
    </format>
  </formats>
  <chartFormats count="20">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2" count="1" selected="0">
            <x v="5"/>
          </reference>
        </references>
      </pivotArea>
    </chartFormat>
    <chartFormat chart="0" format="11">
      <pivotArea type="data" outline="0" fieldPosition="0">
        <references count="2">
          <reference field="4294967294" count="1" selected="0">
            <x v="0"/>
          </reference>
          <reference field="2" count="1" selected="0">
            <x v="0"/>
          </reference>
        </references>
      </pivotArea>
    </chartFormat>
    <chartFormat chart="0" format="12">
      <pivotArea type="data" outline="0" fieldPosition="0">
        <references count="2">
          <reference field="4294967294" count="1" selected="0">
            <x v="0"/>
          </reference>
          <reference field="2" count="1" selected="0">
            <x v="1"/>
          </reference>
        </references>
      </pivotArea>
    </chartFormat>
    <chartFormat chart="0" format="13">
      <pivotArea type="data" outline="0" fieldPosition="0">
        <references count="2">
          <reference field="4294967294" count="1" selected="0">
            <x v="0"/>
          </reference>
          <reference field="2" count="1" selected="0">
            <x v="2"/>
          </reference>
        </references>
      </pivotArea>
    </chartFormat>
    <chartFormat chart="0" format="14">
      <pivotArea type="data" outline="0" fieldPosition="0">
        <references count="2">
          <reference field="4294967294" count="1" selected="0">
            <x v="0"/>
          </reference>
          <reference field="2" count="1" selected="0">
            <x v="3"/>
          </reference>
        </references>
      </pivotArea>
    </chartFormat>
    <chartFormat chart="0" format="15">
      <pivotArea type="data" outline="0" fieldPosition="0">
        <references count="2">
          <reference field="4294967294" count="1" selected="0">
            <x v="0"/>
          </reference>
          <reference field="2" count="1" selected="0">
            <x v="4"/>
          </reference>
        </references>
      </pivotArea>
    </chartFormat>
    <chartFormat chart="0" format="16">
      <pivotArea type="data" outline="0" fieldPosition="0">
        <references count="2">
          <reference field="4294967294" count="1" selected="0">
            <x v="0"/>
          </reference>
          <reference field="2" count="1" selected="0">
            <x v="7"/>
          </reference>
        </references>
      </pivotArea>
    </chartFormat>
    <chartFormat chart="0" format="17">
      <pivotArea type="data" outline="0" fieldPosition="0">
        <references count="2">
          <reference field="4294967294" count="1" selected="0">
            <x v="0"/>
          </reference>
          <reference field="2" count="1" selected="0">
            <x v="6"/>
          </reference>
        </references>
      </pivotArea>
    </chartFormat>
    <chartFormat chart="0" format="18">
      <pivotArea type="data" outline="0" fieldPosition="0">
        <references count="2">
          <reference field="4294967294" count="1" selected="0">
            <x v="0"/>
          </reference>
          <reference field="2" count="1" selected="0">
            <x v="8"/>
          </reference>
        </references>
      </pivotArea>
    </chartFormat>
    <chartFormat chart="0" format="19">
      <pivotArea type="data" outline="0" fieldPosition="0">
        <references count="2">
          <reference field="4294967294" count="1" selected="0">
            <x v="0"/>
          </reference>
          <reference field="2" count="1" selected="0">
            <x v="9"/>
          </reference>
        </references>
      </pivotArea>
    </chartFormat>
    <chartFormat chart="0" format="20">
      <pivotArea type="data" outline="0" fieldPosition="0">
        <references count="2">
          <reference field="4294967294" count="1" selected="0">
            <x v="0"/>
          </reference>
          <reference field="2" count="1" selected="0">
            <x v="10"/>
          </reference>
        </references>
      </pivotArea>
    </chartFormat>
    <chartFormat chart="0" format="21">
      <pivotArea type="data" outline="0" fieldPosition="0">
        <references count="2">
          <reference field="4294967294" count="1" selected="0">
            <x v="0"/>
          </reference>
          <reference field="2" count="1" selected="0">
            <x v="11"/>
          </reference>
        </references>
      </pivotArea>
    </chartFormat>
    <chartFormat chart="0" format="22">
      <pivotArea type="data" outline="0" fieldPosition="0">
        <references count="2">
          <reference field="4294967294" count="1" selected="0">
            <x v="0"/>
          </reference>
          <reference field="2" count="1" selected="0">
            <x v="12"/>
          </reference>
        </references>
      </pivotArea>
    </chartFormat>
    <chartFormat chart="0" format="23">
      <pivotArea type="data" outline="0" fieldPosition="0">
        <references count="1">
          <reference field="4294967294" count="1" selected="0">
            <x v="0"/>
          </reference>
        </references>
      </pivotArea>
    </chartFormat>
  </chartFormats>
  <pivotTableStyleInfo name="PivotStyleDark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FE2BD4-39D6-1F4B-AA1A-E90AABBACF10}" name="TablaDinámica4" cacheId="1"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chartFormat="2">
  <location ref="C49:D51" firstHeaderRow="1" firstDataRow="2" firstDataCol="1"/>
  <pivotFields count="7">
    <pivotField numFmtId="17" showAll="0"/>
    <pivotField axis="axisCol" showAll="0" defaultSubtotal="0">
      <items count="3">
        <item m="1" x="1"/>
        <item m="1" x="2"/>
        <item x="0"/>
      </items>
    </pivotField>
    <pivotField showAll="0" defaultSubtotal="0"/>
    <pivotField dataField="1" showAll="0" defaultSubtotal="0"/>
    <pivotField showAll="0" defaultSubtotal="0"/>
    <pivotField subtotalTop="0" showAll="0" defaultSubtotal="0"/>
    <pivotField subtotalTop="0" showAll="0" defaultSubtotal="0"/>
  </pivotFields>
  <rowItems count="1">
    <i/>
  </rowItems>
  <colFields count="1">
    <field x="1"/>
  </colFields>
  <colItems count="1">
    <i>
      <x v="2"/>
    </i>
  </colItems>
  <dataFields count="1">
    <dataField name="Suma de Cantidad " fld="3" baseField="0" baseItem="0"/>
  </dataFields>
  <formats count="1">
    <format dxfId="8">
      <pivotArea outline="0" collapsedLevelsAreSubtotals="1" fieldPosition="0"/>
    </format>
  </formats>
  <chartFormats count="4">
    <chartFormat chart="0" format="3" series="1">
      <pivotArea type="data" outline="0" fieldPosition="0"/>
    </chartFormat>
    <chartFormat chart="0" format="13" series="1">
      <pivotArea type="data" outline="0" fieldPosition="0">
        <references count="2">
          <reference field="4294967294" count="1" selected="0">
            <x v="0"/>
          </reference>
          <reference field="1" count="1" selected="0">
            <x v="0"/>
          </reference>
        </references>
      </pivotArea>
    </chartFormat>
    <chartFormat chart="0" format="14" series="1">
      <pivotArea type="data" outline="0" fieldPosition="0">
        <references count="1">
          <reference field="4294967294" count="1" selected="0">
            <x v="0"/>
          </reference>
        </references>
      </pivotArea>
    </chartFormat>
    <chartFormat chart="0" format="22" series="1">
      <pivotArea type="data" outline="0" fieldPosition="0">
        <references count="2">
          <reference field="4294967294" count="1" selected="0">
            <x v="0"/>
          </reference>
          <reference field="1" count="1" selected="0">
            <x v="1"/>
          </reference>
        </references>
      </pivotArea>
    </chartFormat>
  </chartFormats>
  <pivotTableStyleInfo name="PivotStyleDark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90B8FE-A886-49DD-BFD3-83BE459018D0}" name="TablaDinámica8"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B35:B36" firstHeaderRow="1" firstDataRow="1" firstDataCol="0"/>
  <pivotFields count="7">
    <pivotField showAll="0"/>
    <pivotField showAll="0"/>
    <pivotField numFmtId="14" showAll="0"/>
    <pivotField showAll="0"/>
    <pivotField showAll="0"/>
    <pivotField dataField="1" showAll="0"/>
    <pivotField numFmtId="44" showAll="0"/>
  </pivotFields>
  <rowItems count="1">
    <i/>
  </rowItems>
  <colItems count="1">
    <i/>
  </colItems>
  <dataFields count="1">
    <dataField name="Suma de Dividendo" fld="5" baseField="0" baseItem="0"/>
  </dataFields>
  <chartFormats count="1">
    <chartFormat chart="5" format="0" series="1">
      <pivotArea type="data" outline="0" fieldPosition="0">
        <references count="1">
          <reference field="4294967294" count="1" selected="0">
            <x v="0"/>
          </reference>
        </references>
      </pivotArea>
    </chartFormat>
  </chart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12</v>
    <v>Símbolo bursátil</v>
    <v>0</v>
  </rv>
  <rv s="1">
    <v>https://www.bing.com/financeapi/forcetrigger?t=a25ya2&amp;q=XNYS%3aWMT&amp;form=skydnc</v>
    <v>Learn more on Bing</v>
  </rv>
  <rv s="2">
    <v>es-ES</v>
    <v>a25ya2</v>
    <v>268435456</v>
    <v>1</v>
    <v>Con tecnología de Refinitiv</v>
    <v>0</v>
    <v>1</v>
    <v>WALMART INC. (XNYS:WMT)</v>
    <v>3</v>
    <v>4</v>
    <v>Finance</v>
    <v>5</v>
    <v>XNYS</v>
    <v>8052792000</v>
    <v>1969</v>
    <v>60.95</v>
    <v>0.49719999999999998</v>
    <v>0.59</v>
    <v>9.7260000000000003E-3</v>
    <v>493233510000</v>
    <v>60.66</v>
    <v>Walmart Inc., antes WAL-MART STORES, INC., participa en operaciones de venta por menor, venta por mayor y otras unidades en varios formatos en todo el mundo. La Empresa ofrece una variedad de productos y servicios a precios bajos. La Empresa opera a través de tres segmentos: Walmart Estados Unidos, Walmart Internacional y Sam's Club. El segmento de Walmart Estados Unidos incluye su concepto de comercio masivo en los Estados Unidos, operando bajo las marcas Walmart o Wal-Mart, así como comercio minorista digital. El segmento de Walmart Internacional se compone de las operaciones de la Empresa fuera de los Estados Unidos, incluyendo varios sitios web de comercio minorista. El segmento de Sam's Club incluye el clubes de precios en los Estados Unidos y samsclub.com. La Empresa opera aproximadamente 11,600 tiendas bajo 59 banners en 28 países y sitios web de comercio electrónico en 11 países.</v>
    <v>2100000</v>
    <v>XNYS</v>
    <v>45363.70865606406</v>
    <v>New York Stock Exchange</v>
    <v>1</v>
    <v>61.37</v>
    <v>61.37</v>
    <v>60.645000000000003</v>
    <v>45.526600000000002</v>
    <v>USD</v>
    <v>WALMART INC.</v>
    <v>WALMART INC.</v>
    <v>31.705500000000001</v>
    <v>61.25</v>
    <v>Food &amp; Drug Retailing</v>
    <v>702 SW 8th St, BENTONVILLE, AR, 72716-6209 US</v>
    <v>WMT</v>
    <v>Acciones</v>
    <v>WALMART INC. (XNYS:WMT)</v>
    <v>6572978</v>
    <v>23628771</v>
  </rv>
  <rv s="3">
    <v>2</v>
  </rv>
</rvData>
</file>

<file path=xl/richData/rdrichvaluestructure.xml><?xml version="1.0" encoding="utf-8"?>
<rvStructures xmlns="http://schemas.microsoft.com/office/spreadsheetml/2017/richdata" count="4">
  <s t="_error">
    <k n="errorType" t="i"/>
    <k n="field" t="s"/>
    <k n="subType" t="i"/>
  </s>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eviatura de intercambio" t="s"/>
    <k n="Acciones en circulación"/>
    <k n="Año de constitución"/>
    <k n="Apertura"/>
    <k n="Beta"/>
    <k n="Cambio"/>
    <k n="Cambio (%)"/>
    <k n="Capitalización de mercado"/>
    <k n="Cierre anterior"/>
    <k n="Descripción" t="s"/>
    <k n="Empleados"/>
    <k n="ExchangeID" t="s"/>
    <k n="Hora de la última operación"/>
    <k n="Intercambio" t="s"/>
    <k n="LearnMoreOnLink" t="r"/>
    <k n="Máximo"/>
    <k n="Máximo en 52 semanas"/>
    <k n="Mínimo"/>
    <k n="Mínimo en 52 semanas"/>
    <k n="Moneda" t="s"/>
    <k n="Nombre" t="s"/>
    <k n="Nombre oficial" t="s"/>
    <k n="P/I"/>
    <k n="Precio"/>
    <k n="Sector" t="s"/>
    <k n="Sede central" t="s"/>
    <k n="Símbolo bursátil" t="s"/>
    <k n="Tipo de instrumento" t="s"/>
    <k n="UniqueName" t="s"/>
    <k n="Volumen"/>
    <k n="Volumen promedio"/>
  </s>
  <s t="_linkedentity">
    <k n="%cvi" t="r"/>
  </s>
</rvStructures>
</file>

<file path=xl/richData/rdsupportingpropertybag.xml><?xml version="1.0" encoding="utf-8"?>
<supportingPropertyBags xmlns="http://schemas.microsoft.com/office/spreadsheetml/2017/richdata2">
  <spbArrays count="1">
    <a count="43">
      <v t="s">%EntityServiceId</v>
      <v t="s">_Format</v>
      <v t="s">%IsRefreshable</v>
      <v t="s">_CanonicalPropertyNames</v>
      <v t="s">%EntityCulture</v>
      <v t="s">%EntityId</v>
      <v t="s">_Icon</v>
      <v t="s">_Display</v>
      <v t="s">Nombre</v>
      <v t="s">_SubLabel</v>
      <v t="s">Precio</v>
      <v t="s">Intercambio</v>
      <v t="s">Nombre oficial</v>
      <v t="s">Hora de la última operación</v>
      <v t="s">Símbolo bursátil</v>
      <v t="s">Abreviatura de intercambio</v>
      <v t="s">Cambio</v>
      <v t="s">Cambio (%)</v>
      <v t="s">Moneda</v>
      <v t="s">Cierre anterior</v>
      <v t="s">Apertura</v>
      <v t="s">Máximo</v>
      <v t="s">Mínimo</v>
      <v t="s">Máximo en 52 semanas</v>
      <v t="s">Mínimo en 52 semanas</v>
      <v t="s">Volumen</v>
      <v t="s">Volumen promedio</v>
      <v t="s">Capitalización de mercado</v>
      <v t="s">Beta</v>
      <v t="s">P/I</v>
      <v t="s">Acciones en circulación</v>
      <v t="s">Descripción</v>
      <v t="s">Empleados</v>
      <v t="s">Sede central</v>
      <v t="s">Sector</v>
      <v t="s">Tipo de instrumento</v>
      <v t="s">Año de constitución</v>
      <v t="s">_Flags</v>
      <v t="s">UniqueName</v>
      <v t="s">_DisplayString</v>
      <v t="s">LearnMoreOnLink</v>
      <v t="s">ExchangeID</v>
      <v t="s">%ProviderInfo</v>
    </a>
  </spbArrays>
  <spbData count="6">
    <spb s="0">
      <v>P/E</v>
      <v>Beta</v>
      <v>Change</v>
      <v>Currency</v>
      <v>High</v>
      <v>Low</v>
      <v>Name</v>
      <v>Price</v>
      <v>Industry</v>
      <v>Volume</v>
      <v>Open</v>
      <v>Employees</v>
      <v>Change (%)</v>
      <v>ExchangeID</v>
      <v>UniqueName</v>
      <v>Description</v>
      <v>Exchange</v>
      <v>Headquarters</v>
      <v>%ProviderInfo</v>
      <v>Official name</v>
      <v>Previous close</v>
      <v>LearnMoreOnLink</v>
      <v>Ticker symbol</v>
      <v>Volume average</v>
      <v>Year incorporated</v>
      <v>Instrument type</v>
      <v>52 week high</v>
      <v>52 week low</v>
      <v>Shares outstanding</v>
      <v>Market cap</v>
      <v>Exchange abbreviation</v>
      <v>Last trade time</v>
    </spb>
    <spb s="1">
      <v>0</v>
      <v>Name</v>
      <v>LearnMoreOnLink</v>
    </spb>
    <spb s="2">
      <v>0</v>
      <v>0</v>
      <v>0</v>
    </spb>
    <spb s="3">
      <v>2</v>
      <v>2</v>
      <v>2</v>
      <v>2</v>
    </spb>
    <spb s="4">
      <v>1</v>
      <v>1</v>
      <v>2</v>
      <v>2</v>
      <v>2</v>
      <v>3</v>
      <v>2</v>
      <v>4</v>
      <v>2</v>
      <v>4</v>
      <v>5</v>
      <v>2</v>
      <v>4</v>
      <v>6</v>
      <v>7</v>
      <v>2</v>
      <v>2</v>
      <v>4</v>
      <v>8</v>
      <v>9</v>
    </spb>
    <spb s="5">
      <v xml:space="preserve">desde el cierre anterior </v>
      <v>Tiempo real Nasdaq Última venta</v>
      <v xml:space="preserve">desde el cierre anterior </v>
      <v>Origen: Nasdaq Última venta</v>
      <v>GMT</v>
    </spb>
  </spbData>
</supportingPropertyBags>
</file>

<file path=xl/richData/rdsupportingpropertybagstructure.xml><?xml version="1.0" encoding="utf-8"?>
<spbStructures xmlns="http://schemas.microsoft.com/office/spreadsheetml/2017/richdata2" count="6">
  <s>
    <k n="P/I" t="s"/>
    <k n="Beta" t="s"/>
    <k n="Cambio" t="s"/>
    <k n="Moneda" t="s"/>
    <k n="Máximo" t="s"/>
    <k n="Mínimo" t="s"/>
    <k n="Nombre" t="s"/>
    <k n="Precio" t="s"/>
    <k n="Sector" t="s"/>
    <k n="Volumen" t="s"/>
    <k n="Apertura" t="s"/>
    <k n="Empleados" t="s"/>
    <k n="Cambio (%)" t="s"/>
    <k n="ExchangeID" t="s"/>
    <k n="UniqueName" t="s"/>
    <k n="Descripción" t="s"/>
    <k n="Intercambio" t="s"/>
    <k n="Sede central" t="s"/>
    <k n="%ProviderInfo" t="s"/>
    <k n="Nombre oficial" t="s"/>
    <k n="Cierre anterior" t="s"/>
    <k n="LearnMoreOnLink" t="s"/>
    <k n="Símbolo bursátil" t="s"/>
    <k n="Volumen promedio" t="s"/>
    <k n="Año de constitución" t="s"/>
    <k n="Tipo de instrumento" t="s"/>
    <k n="Máximo en 52 semanas" t="s"/>
    <k n="Mínimo en 52 semanas" t="s"/>
    <k n="Acciones en circulación" t="s"/>
    <k n="Capitalización de mercado" t="s"/>
    <k n="Abreviatura de intercambio" t="s"/>
    <k n="Hora de la última operación" t="s"/>
  </s>
  <s>
    <k n="^Order" t="spba"/>
    <k n="TitleProperty" t="s"/>
    <k n="SubTitleProperty" t="s"/>
  </s>
  <s>
    <k n="ShowInCardView" t="b"/>
    <k n="ShowInDotNotation" t="b"/>
    <k n="ShowInAutoComplete" t="b"/>
  </s>
  <s>
    <k n="ExchangeID" t="spb"/>
    <k n="UniqueName" t="spb"/>
    <k n="`%ProviderInfo" t="spb"/>
    <k n="LearnMoreOnLink" t="spb"/>
  </s>
  <s>
    <k n="P/I" t="i"/>
    <k n="Beta" t="i"/>
    <k n="Cambio" t="i"/>
    <k n="Máximo" t="i"/>
    <k n="Mínimo" t="i"/>
    <k n="Nombre" t="i"/>
    <k n="Precio" t="i"/>
    <k n="Volumen" t="i"/>
    <k n="Apertura" t="i"/>
    <k n="Empleados" t="i"/>
    <k n="Cambio (%)" t="i"/>
    <k n="Cierre anterior" t="i"/>
    <k n="Volumen promedio" t="i"/>
    <k n="`%EntityServiceId" t="i"/>
    <k n="Año de constitución" t="i"/>
    <k n="Máximo en 52 semanas" t="i"/>
    <k n="Mínimo en 52 semanas" t="i"/>
    <k n="Acciones en circulación" t="i"/>
    <k n="Capitalización de mercado" t="i"/>
    <k n="Hora de la última operación" t="i"/>
  </s>
  <s>
    <k n="Cambio" t="s"/>
    <k n="Precio" t="s"/>
    <k n="Cambio (%)" t="s"/>
    <k n="ExchangeID" t="s"/>
    <k n="Hora de la última operación"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dxfs>
  <richProperties>
    <rPr n="NumberFormat" t="s"/>
    <rPr n="IsTitleField" t="b"/>
  </richProperties>
  <richStyles>
    <rSty dxfid="5">
      <rpv i="0">#,##0.00</rpv>
    </rSty>
    <rSty dxfid="1">
      <rpv i="0">_([$$-en-US]* #,##0.00_);_([$$-en-US]* (#,##0.00);_([$$-en-US]* "-"??_);_(@_)</rpv>
    </rSty>
    <rSty>
      <rpv i="1">1</rpv>
    </rSty>
    <rSty dxfid="4">
      <rpv i="0">#,##0</rpv>
    </rSty>
    <rSty dxfid="3"/>
    <rSty dxfid="0">
      <rpv i="0">0.00</rpv>
    </rSty>
    <rSty dxfid="6">
      <rpv i="0">0</rpv>
    </rSty>
    <rSty dxfid="1">
      <rpv i="0">_([$$-en-US]* #,##0_);_([$$-en-US]* (#,##0);_([$$-en-US]* "-"_);_(@_)</rpv>
    </rSty>
    <rSty dxfid="2"/>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2E20420-E907-5544-9943-B4E02BFD4044}" name="Gastos7" displayName="Gastos7" ref="B9:E21" totalsRowShown="0" headerRowDxfId="89" dataDxfId="87" headerRowBorderDxfId="88" tableBorderDxfId="86" totalsRowBorderDxfId="85">
  <tableColumns count="4">
    <tableColumn id="1" xr3:uid="{EA535C68-821C-D549-B7CF-7330ED7ECA92}" name="Gastos" dataDxfId="84"/>
    <tableColumn id="2" xr3:uid="{BEAAEF45-091E-8D40-B291-DEF17FAC2F68}" name="Cantidad" dataDxfId="83"/>
    <tableColumn id="3" xr3:uid="{588D7AD3-E113-E54D-AEEA-D985FF932E9F}" name="Mes" dataDxfId="82">
      <calculatedColumnFormula>SUMIFS(Libro_Diario[[Cantidad ]],Libro_Diario[[Tipo ]],"=Gastos",Libro_Diario[Año Numero],'Presupuestos de Gastos'!$C$4,Libro_Diario[Mes Número],'Presupuestos de Gastos'!$C$5,Libro_Diario[[Categoria ]],Gastos7[[#This Row],[Gastos]])</calculatedColumnFormula>
    </tableColumn>
    <tableColumn id="4" xr3:uid="{F13A1939-D9AB-E54B-BDC2-AAB9269847EB}" name="Balance" dataDxfId="81">
      <calculatedColumnFormula>Gastos7[[#This Row],[Cantidad]]-Gastos7[[#This Row],[Mes]]</calculatedColumnFormula>
    </tableColumn>
  </tableColumns>
  <tableStyleInfo name="Gasto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40EF84-1FA9-A143-80AB-4472A925A163}" name="Libro_Diario" displayName="Libro_Diario" ref="C11:I12" totalsRowShown="0" headerRowDxfId="76" dataDxfId="75">
  <autoFilter ref="C11:I12" xr:uid="{2040EF84-1FA9-A143-80AB-4472A925A163}"/>
  <tableColumns count="7">
    <tableColumn id="1" xr3:uid="{5ADF0F5D-1D43-D548-B441-4A537DB47537}" name="Fecha" dataDxfId="74"/>
    <tableColumn id="2" xr3:uid="{B11BA55A-4BDE-E541-857E-E82AF71FC2E2}" name="Tipo " dataDxfId="73"/>
    <tableColumn id="3" xr3:uid="{F39C809A-5BD6-C74A-954C-2967A7B9BF32}" name="Categoria " dataDxfId="72"/>
    <tableColumn id="4" xr3:uid="{FB28E35A-FA18-1845-B13E-0C83CF4C09E8}" name="Cantidad " dataDxfId="71"/>
    <tableColumn id="5" xr3:uid="{10C9E0D3-BA75-814E-80FA-B8478A935A5F}" name="Detalles" dataDxfId="70"/>
    <tableColumn id="6" xr3:uid="{97065770-F8A5-F846-A01D-58F607137CAA}" name="Mes Número" dataDxfId="69">
      <calculatedColumnFormula>MONTH(Libro_Diario[[#This Row],[Fecha]])</calculatedColumnFormula>
    </tableColumn>
    <tableColumn id="7" xr3:uid="{FEC081B0-F366-8D49-A7AB-391ACCAF06EC}" name="Año Numero" dataDxfId="68">
      <calculatedColumnFormula>YEAR(Libro_Diario[[#This Row],[Fecha]])</calculatedColumnFormula>
    </tableColumn>
  </tableColumns>
  <tableStyleInfo name="Ahorr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5F35C4-F5F4-924F-AD05-CEC7F1B283A0}" name="Ingresos" displayName="Ingresos" ref="C9:C12" totalsRowShown="0" headerRowDxfId="26" dataDxfId="24" headerRowBorderDxfId="25" tableBorderDxfId="23" totalsRowBorderDxfId="22">
  <autoFilter ref="C9:C12" xr:uid="{DC5F35C4-F5F4-924F-AD05-CEC7F1B283A0}"/>
  <tableColumns count="1">
    <tableColumn id="1" xr3:uid="{2112AD43-3404-3D4C-AAB9-616BB679720F}" name="Ingresos" dataDxfId="21"/>
  </tableColumns>
  <tableStyleInfo name="Ingreos"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A52CD50-4423-4348-8FFA-50A67061AE02}" name="Gastos" displayName="Gastos" ref="C22:C34" totalsRowShown="0" headerRowDxfId="20" dataDxfId="18" headerRowBorderDxfId="19" tableBorderDxfId="17" totalsRowBorderDxfId="16">
  <autoFilter ref="C22:C34" xr:uid="{EA52CD50-4423-4348-8FFA-50A67061AE02}"/>
  <tableColumns count="1">
    <tableColumn id="1" xr3:uid="{37A26911-212C-974D-B88C-06B53C050525}" name="Gastos" dataDxfId="15"/>
  </tableColumns>
  <tableStyleInfo name="Gastos"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EAE0B1-DECE-7F49-B58F-7A386D9CD85B}" name="Ahorros" displayName="Ahorros" ref="C37:C39" totalsRowShown="0" headerRowDxfId="14" dataDxfId="12" headerRowBorderDxfId="13" tableBorderDxfId="11" totalsRowBorderDxfId="10">
  <autoFilter ref="C37:C39" xr:uid="{37EAE0B1-DECE-7F49-B58F-7A386D9CD85B}"/>
  <tableColumns count="1">
    <tableColumn id="1" xr3:uid="{C3159B80-D1C4-B64D-8DB8-3EFB2B1B091D}" name="Ahorros" dataDxfId="9"/>
  </tableColumns>
  <tableStyleInfo name="Ahorr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AFC37B8-83D0-47C3-8049-C836B9497999}" name="Cotizaciones" displayName="Cotizaciones" ref="B2:H3" totalsRowShown="0">
  <autoFilter ref="B2:H3" xr:uid="{AAFC37B8-83D0-47C3-8049-C836B9497999}"/>
  <tableColumns count="7">
    <tableColumn id="1" xr3:uid="{4EAB44D4-9743-4336-A635-2D67A04081D4}" name="Tablero de cotizaciones"/>
    <tableColumn id="2" xr3:uid="{D468DB19-5D51-4374-8E89-C942501C7660}" name="Transacción"/>
    <tableColumn id="3" xr3:uid="{51D9CD90-5501-471A-B004-4D3AF33E14BA}" name="Fecha" dataDxfId="5"/>
    <tableColumn id="4" xr3:uid="{194C0A64-5D35-4160-87AC-1241B0A633B4}" name="Cantidad" dataDxfId="4" dataCellStyle="Moneda"/>
    <tableColumn id="5" xr3:uid="{27DCD2B5-425D-4E86-9365-FF939604878F}" name="Precio" dataCellStyle="Moneda"/>
    <tableColumn id="6" xr3:uid="{259CA7DC-C472-451A-8314-7107FA389EC9}" name="Dividendo" dataCellStyle="Moneda"/>
    <tableColumn id="7" xr3:uid="{8F8F8216-0BDC-4BEA-8696-C96B3622A603}" name="Cantidad Total" dataCellStyle="Moneda">
      <calculatedColumnFormula>Cotizaciones[[#This Row],[Cantidad]]*Cotizaciones[[#This Row],[Precio]]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3.xml"/><Relationship Id="rId4"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D5F51-8B97-F34E-ACC8-2E07C67121C4}">
  <sheetPr codeName="Hoja1"/>
  <dimension ref="C1:H18"/>
  <sheetViews>
    <sheetView showGridLines="0" workbookViewId="0">
      <selection activeCell="B32" sqref="B32"/>
    </sheetView>
  </sheetViews>
  <sheetFormatPr baseColWidth="10" defaultRowHeight="15.6" x14ac:dyDescent="0.3"/>
  <cols>
    <col min="3" max="3" width="1.69921875" customWidth="1"/>
    <col min="4" max="4" width="13" bestFit="1" customWidth="1"/>
    <col min="5" max="5" width="13.5" customWidth="1"/>
    <col min="6" max="6" width="2.69921875" customWidth="1"/>
    <col min="7" max="7" width="41.19921875" bestFit="1" customWidth="1"/>
    <col min="8" max="8" width="10.69921875" customWidth="1"/>
  </cols>
  <sheetData>
    <row r="1" spans="3:8" s="2" customFormat="1" x14ac:dyDescent="0.3"/>
    <row r="2" spans="3:8" s="2" customFormat="1" ht="25.8" x14ac:dyDescent="0.5">
      <c r="C2" s="3" t="s">
        <v>0</v>
      </c>
    </row>
    <row r="3" spans="3:8" s="1" customFormat="1" x14ac:dyDescent="0.3"/>
    <row r="6" spans="3:8" x14ac:dyDescent="0.3">
      <c r="C6" s="84" t="s">
        <v>1</v>
      </c>
      <c r="D6" s="84"/>
      <c r="E6" s="84"/>
      <c r="F6" s="84"/>
      <c r="G6" s="84"/>
      <c r="H6" s="84"/>
    </row>
    <row r="7" spans="3:8" x14ac:dyDescent="0.3">
      <c r="C7" s="4"/>
      <c r="H7" s="5"/>
    </row>
    <row r="8" spans="3:8" x14ac:dyDescent="0.3">
      <c r="C8" s="4"/>
      <c r="D8" s="9" t="s">
        <v>2</v>
      </c>
      <c r="E8" s="10">
        <v>2023</v>
      </c>
      <c r="G8" s="11" t="s">
        <v>3</v>
      </c>
      <c r="H8" s="5"/>
    </row>
    <row r="9" spans="3:8" x14ac:dyDescent="0.3">
      <c r="C9" s="6"/>
      <c r="D9" s="7"/>
      <c r="E9" s="7"/>
      <c r="F9" s="7"/>
      <c r="G9" s="7"/>
      <c r="H9" s="8"/>
    </row>
    <row r="12" spans="3:8" x14ac:dyDescent="0.3">
      <c r="C12" s="85"/>
      <c r="D12" s="85"/>
      <c r="E12" s="85"/>
      <c r="F12" s="85"/>
      <c r="G12" s="85"/>
      <c r="H12" s="85"/>
    </row>
    <row r="16" spans="3:8" x14ac:dyDescent="0.3">
      <c r="G16" s="85"/>
    </row>
    <row r="17" spans="7:7" ht="13.2" customHeight="1" x14ac:dyDescent="0.3">
      <c r="G17" s="85"/>
    </row>
    <row r="18" spans="7:7" x14ac:dyDescent="0.3">
      <c r="G18" s="85"/>
    </row>
  </sheetData>
  <mergeCells count="3">
    <mergeCell ref="C6:H6"/>
    <mergeCell ref="C12:H12"/>
    <mergeCell ref="G16:G18"/>
  </mergeCells>
  <dataValidations count="1">
    <dataValidation type="list" allowBlank="1" showInputMessage="1" showErrorMessage="1" sqref="E16" xr:uid="{1946A32C-6E43-CA44-9C10-B8D3C9EB5829}">
      <formula1>"Activado, Desactivado"</formula1>
    </dataValidation>
  </dataValidation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F9D03-4979-DB4E-B0CF-3D99978F2DA8}">
  <sheetPr codeName="Hoja2"/>
  <dimension ref="C1:M24"/>
  <sheetViews>
    <sheetView showGridLines="0" workbookViewId="0">
      <selection activeCell="U16" sqref="U16"/>
    </sheetView>
  </sheetViews>
  <sheetFormatPr baseColWidth="10" defaultRowHeight="15.6" x14ac:dyDescent="0.3"/>
  <cols>
    <col min="3" max="3" width="38.5" customWidth="1"/>
    <col min="4" max="4" width="17.5" style="63" customWidth="1"/>
    <col min="6" max="6" width="37.5" customWidth="1"/>
    <col min="7" max="7" width="28.5" style="63" customWidth="1"/>
    <col min="9" max="9" width="10.59765625" customWidth="1"/>
    <col min="10" max="10" width="11.19921875" style="75"/>
    <col min="12" max="12" width="42.19921875" bestFit="1" customWidth="1"/>
  </cols>
  <sheetData>
    <row r="1" spans="3:10" s="1" customFormat="1" x14ac:dyDescent="0.3"/>
    <row r="2" spans="3:10" s="1" customFormat="1" ht="28.8" x14ac:dyDescent="0.55000000000000004">
      <c r="C2" s="13" t="s">
        <v>40</v>
      </c>
    </row>
    <row r="3" spans="3:10" s="1" customFormat="1" x14ac:dyDescent="0.3"/>
    <row r="4" spans="3:10" x14ac:dyDescent="0.3">
      <c r="D4"/>
      <c r="G4"/>
      <c r="J4"/>
    </row>
    <row r="5" spans="3:10" x14ac:dyDescent="0.3">
      <c r="D5"/>
      <c r="G5"/>
      <c r="J5"/>
    </row>
    <row r="6" spans="3:10" ht="18" x14ac:dyDescent="0.35">
      <c r="C6" s="12" t="s">
        <v>27</v>
      </c>
      <c r="D6" s="1"/>
      <c r="F6" s="86" t="s">
        <v>54</v>
      </c>
      <c r="G6" s="86"/>
      <c r="I6" s="86" t="s">
        <v>60</v>
      </c>
      <c r="J6" s="86"/>
    </row>
    <row r="7" spans="3:10" x14ac:dyDescent="0.3">
      <c r="D7"/>
      <c r="F7">
        <v>2023</v>
      </c>
      <c r="G7" s="46">
        <f ca="1">SUMIF('Libro Mayor'!E7:P7,"&lt;0")</f>
        <v>0</v>
      </c>
      <c r="I7">
        <f>MONTH(J7)</f>
        <v>1</v>
      </c>
      <c r="J7" s="36">
        <v>36526</v>
      </c>
    </row>
    <row r="8" spans="3:10" x14ac:dyDescent="0.3">
      <c r="C8" s="9" t="s">
        <v>41</v>
      </c>
      <c r="D8" s="36">
        <f ca="1">TODAY()</f>
        <v>45461</v>
      </c>
      <c r="F8">
        <v>2024</v>
      </c>
      <c r="G8" s="46">
        <f ca="1">SUMIF('Libro Mayor'!S7:AD7,"&lt;0")</f>
        <v>0</v>
      </c>
      <c r="I8">
        <f t="shared" ref="I8:I18" si="0">MONTH(J8)</f>
        <v>2</v>
      </c>
      <c r="J8" s="36">
        <v>36557</v>
      </c>
    </row>
    <row r="9" spans="3:10" x14ac:dyDescent="0.3">
      <c r="C9" s="9" t="s">
        <v>42</v>
      </c>
      <c r="D9" s="36">
        <f>MAX(Libro_Diario[Fecha])</f>
        <v>0</v>
      </c>
      <c r="F9">
        <v>2025</v>
      </c>
      <c r="G9" s="46">
        <f ca="1">SUMIF('Libro Mayor'!AG7:AR7,"&lt;0")</f>
        <v>0</v>
      </c>
      <c r="I9">
        <f t="shared" si="0"/>
        <v>3</v>
      </c>
      <c r="J9" s="36">
        <v>36586</v>
      </c>
    </row>
    <row r="10" spans="3:10" x14ac:dyDescent="0.3">
      <c r="C10" s="9" t="s">
        <v>43</v>
      </c>
      <c r="D10" t="str">
        <f>IF(D9=0,"","("&amp; _xlfn.DAYS(D8,D9)&amp;" días transcurridos)")</f>
        <v/>
      </c>
      <c r="F10">
        <v>2026</v>
      </c>
      <c r="G10" s="46">
        <f ca="1">SUMIF('Libro Mayor'!AU7:BF7,"&lt;0")</f>
        <v>0</v>
      </c>
      <c r="I10">
        <f t="shared" si="0"/>
        <v>4</v>
      </c>
      <c r="J10" s="36">
        <v>36617</v>
      </c>
    </row>
    <row r="11" spans="3:10" x14ac:dyDescent="0.3">
      <c r="C11" s="9" t="s">
        <v>44</v>
      </c>
      <c r="D11">
        <f>COUNT(Libro_Diario[Fecha])</f>
        <v>0</v>
      </c>
      <c r="F11">
        <v>2027</v>
      </c>
      <c r="G11" s="46">
        <f ca="1">SUMIF('Libro Mayor'!BI7:BT7,"&lt;0")</f>
        <v>0</v>
      </c>
      <c r="I11">
        <f t="shared" si="0"/>
        <v>5</v>
      </c>
      <c r="J11" s="36">
        <v>36647</v>
      </c>
    </row>
    <row r="12" spans="3:10" x14ac:dyDescent="0.3">
      <c r="C12" s="9"/>
      <c r="D12"/>
      <c r="F12">
        <v>2028</v>
      </c>
      <c r="G12" s="46">
        <f ca="1">SUMIF('Libro Mayor'!BW7:CH7,"&lt;0")</f>
        <v>0</v>
      </c>
      <c r="I12">
        <f t="shared" si="0"/>
        <v>6</v>
      </c>
      <c r="J12" s="36">
        <v>36678</v>
      </c>
    </row>
    <row r="13" spans="3:10" x14ac:dyDescent="0.3">
      <c r="D13"/>
      <c r="F13">
        <v>2029</v>
      </c>
      <c r="G13" s="46">
        <f ca="1">SUMIF('Libro Mayor'!CK7:CV7,"&lt;0")</f>
        <v>0</v>
      </c>
      <c r="I13">
        <f t="shared" si="0"/>
        <v>7</v>
      </c>
      <c r="J13" s="36">
        <v>36708</v>
      </c>
    </row>
    <row r="14" spans="3:10" ht="18" x14ac:dyDescent="0.35">
      <c r="C14" s="12" t="s">
        <v>51</v>
      </c>
      <c r="D14" s="12"/>
      <c r="F14">
        <v>2030</v>
      </c>
      <c r="G14" s="46">
        <f ca="1">SUMIF('Libro Mayor'!CY7:DJ7,"&lt;0")</f>
        <v>0</v>
      </c>
      <c r="I14">
        <f t="shared" si="0"/>
        <v>8</v>
      </c>
      <c r="J14" s="36">
        <v>36739</v>
      </c>
    </row>
    <row r="15" spans="3:10" x14ac:dyDescent="0.3">
      <c r="C15" s="9" t="s">
        <v>52</v>
      </c>
      <c r="D15" s="44">
        <f ca="1">SUM('Libro Mayor'!E38:P38,'Libro Mayor'!S38:AD38,'Libro Mayor'!AG38:AR38,'Libro Mayor'!AU38:BF38,'Libro Mayor'!BF38,'Libro Mayor'!BI38:BT38,'Libro Mayor'!BW38:CH38,'Libro Mayor'!CK38:CV38,'Libro Mayor'!CY38:DJ38,'Libro Mayor'!DM38:DX38,'Libro Mayor'!EA38:EL38,'Libro Mayor'!EO38:EZ38)</f>
        <v>0</v>
      </c>
      <c r="F15">
        <v>2031</v>
      </c>
      <c r="G15" s="46">
        <f ca="1">SUMIF('Libro Mayor'!DM7:DX7,"&lt;0")</f>
        <v>0</v>
      </c>
      <c r="I15">
        <f t="shared" si="0"/>
        <v>9</v>
      </c>
      <c r="J15" s="36">
        <v>36770</v>
      </c>
    </row>
    <row r="16" spans="3:10" x14ac:dyDescent="0.3">
      <c r="C16" s="9" t="s">
        <v>53</v>
      </c>
      <c r="D16">
        <f ca="1">SUM(G7:G17)</f>
        <v>0</v>
      </c>
      <c r="F16">
        <v>2032</v>
      </c>
      <c r="G16" s="46">
        <f ca="1">SUMIF('Libro Mayor'!EA7:EL7,"&lt;0")</f>
        <v>0</v>
      </c>
      <c r="I16">
        <f t="shared" si="0"/>
        <v>10</v>
      </c>
      <c r="J16" s="36">
        <v>36800</v>
      </c>
    </row>
    <row r="17" spans="3:13" x14ac:dyDescent="0.3">
      <c r="C17" s="9" t="s">
        <v>58</v>
      </c>
      <c r="D17" s="44">
        <f ca="1">SUM('Libro Mayor'!E39:P39,'Libro Mayor'!S39:AD39,'Libro Mayor'!AG39:AR39,'Libro Mayor'!AU39:BF39,'Libro Mayor'!BF39,'Libro Mayor'!BI39:BT39,'Libro Mayor'!BW39:CH39,'Libro Mayor'!CK39:CV39,'Libro Mayor'!CY39:DJ39,'Libro Mayor'!DM39:DX39,'Libro Mayor'!EA39:EL39,'Libro Mayor'!EO39:EZ39)</f>
        <v>0</v>
      </c>
      <c r="F17">
        <v>2033</v>
      </c>
      <c r="G17" s="46">
        <f ca="1">SUMIF('Libro Mayor'!EO7:EZ7,"&lt;0")</f>
        <v>0</v>
      </c>
      <c r="I17">
        <f t="shared" si="0"/>
        <v>11</v>
      </c>
      <c r="J17" s="36">
        <v>36831</v>
      </c>
    </row>
    <row r="18" spans="3:13" x14ac:dyDescent="0.3">
      <c r="D18"/>
      <c r="G18"/>
      <c r="I18">
        <f t="shared" si="0"/>
        <v>12</v>
      </c>
      <c r="J18" s="36">
        <v>36861</v>
      </c>
    </row>
    <row r="19" spans="3:13" x14ac:dyDescent="0.3">
      <c r="D19"/>
      <c r="G19"/>
      <c r="J19"/>
    </row>
    <row r="20" spans="3:13" ht="18" x14ac:dyDescent="0.35">
      <c r="C20" s="76" t="s">
        <v>101</v>
      </c>
      <c r="D20" s="77" t="s">
        <v>102</v>
      </c>
      <c r="F20" s="76" t="s">
        <v>81</v>
      </c>
      <c r="G20" s="77" t="s">
        <v>102</v>
      </c>
      <c r="I20" s="76" t="s">
        <v>103</v>
      </c>
      <c r="J20" s="77" t="s">
        <v>102</v>
      </c>
      <c r="L20" s="12" t="s">
        <v>106</v>
      </c>
      <c r="M20" s="12" t="s">
        <v>105</v>
      </c>
    </row>
    <row r="21" spans="3:13" x14ac:dyDescent="0.3">
      <c r="C21" t="str" cm="1">
        <f t="array" ref="C21">_xlfn.UNIQUE(_xlfn.ANCHORARRAY('Cartera Inversión'!E7))</f>
        <v>Grd</v>
      </c>
      <c r="D21" s="63" cm="1">
        <f t="array" ref="D21">SUMIF(_xlfn.ANCHORARRAY('Cartera Inversión'!E7),_xlfn.ANCHORARRAY(Cálculos!C21),_xlfn.ANCHORARRAY('Cartera Inversión'!K7))</f>
        <v>0</v>
      </c>
      <c r="F21" t="str" cm="1">
        <f t="array" ref="F21">_xlfn.UNIQUE(_xlfn.ANCHORARRAY('Cartera Inversión'!C7))</f>
        <v>No hay inversiones</v>
      </c>
      <c r="G21" s="63" cm="1">
        <f t="array" ref="G21">SUMIF(_xlfn.ANCHORARRAY('Cartera Inversión'!C7),_xlfn.ANCHORARRAY(Cálculos!F21),_xlfn.ANCHORARRAY('Cartera Inversión'!K7))</f>
        <v>0</v>
      </c>
      <c r="I21" t="e" cm="1" vm="1">
        <f t="array" ref="I21">_FV(_xlfn.ANCHORARRAY('Cartera Inversión'!B7),"Símbolo bursátil",TRUE)</f>
        <v>#VALUE!</v>
      </c>
      <c r="J21" s="75" t="str" cm="1">
        <f t="array" ref="J21">_xlfn.ANCHORARRAY('Cartera Inversión'!K7)</f>
        <v>0</v>
      </c>
      <c r="L21" t="str" cm="1">
        <f t="array" ref="L21">_xlfn.ANCHORARRAY('Cartera Inversión'!B7)</f>
        <v>No hay inversiones</v>
      </c>
      <c r="M21" cm="1">
        <f t="array" ref="M21">_xlfn.ANCHORARRAY('Cartera Inversión'!O7)</f>
        <v>0</v>
      </c>
    </row>
    <row r="24" spans="3:13" x14ac:dyDescent="0.3">
      <c r="C24" s="78"/>
    </row>
  </sheetData>
  <mergeCells count="2">
    <mergeCell ref="F6:G6"/>
    <mergeCell ref="I6:J6"/>
  </mergeCells>
  <phoneticPr fontId="19"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EBD00-9CA9-1F4A-A389-AD92983ADDE6}">
  <sheetPr codeName="Hoja3"/>
  <dimension ref="B3:E31"/>
  <sheetViews>
    <sheetView showGridLines="0" tabSelected="1" topLeftCell="A4" workbookViewId="0">
      <selection activeCell="C7" sqref="C7"/>
    </sheetView>
  </sheetViews>
  <sheetFormatPr baseColWidth="10" defaultRowHeight="15.6" x14ac:dyDescent="0.3"/>
  <cols>
    <col min="2" max="2" width="31.69921875" customWidth="1"/>
    <col min="3" max="3" width="15.69921875" customWidth="1"/>
    <col min="4" max="4" width="13.19921875" customWidth="1"/>
    <col min="5" max="5" width="12.5" bestFit="1" customWidth="1"/>
    <col min="8" max="8" width="11.5" bestFit="1" customWidth="1"/>
  </cols>
  <sheetData>
    <row r="3" spans="2:5" x14ac:dyDescent="0.3">
      <c r="B3" s="33" t="s">
        <v>11</v>
      </c>
    </row>
    <row r="4" spans="2:5" x14ac:dyDescent="0.3">
      <c r="B4" s="33" t="s">
        <v>61</v>
      </c>
      <c r="C4" s="53">
        <v>2024</v>
      </c>
    </row>
    <row r="5" spans="2:5" x14ac:dyDescent="0.3">
      <c r="B5" s="33" t="s">
        <v>64</v>
      </c>
      <c r="C5" s="53">
        <v>3</v>
      </c>
    </row>
    <row r="8" spans="2:5" ht="13.95" customHeight="1" x14ac:dyDescent="0.3"/>
    <row r="9" spans="2:5" x14ac:dyDescent="0.3">
      <c r="B9" s="27" t="s">
        <v>11</v>
      </c>
      <c r="C9" s="51" t="s">
        <v>59</v>
      </c>
      <c r="D9" s="27" t="s">
        <v>63</v>
      </c>
      <c r="E9" s="27" t="s">
        <v>62</v>
      </c>
    </row>
    <row r="10" spans="2:5" x14ac:dyDescent="0.3">
      <c r="B10" s="16" t="s">
        <v>12</v>
      </c>
      <c r="C10" s="49">
        <v>425</v>
      </c>
      <c r="D10" s="48">
        <f>SUMIFS(Libro_Diario[[Cantidad ]],Libro_Diario[[Tipo ]],"=Gastos",Libro_Diario[Año Numero],'Presupuestos de Gastos'!$C$4,Libro_Diario[Mes Número],'Presupuestos de Gastos'!$C$5,Libro_Diario[[Categoria ]],Gastos7[[#This Row],[Gastos]])</f>
        <v>0</v>
      </c>
      <c r="E10" s="48">
        <f>Gastos7[[#This Row],[Cantidad]]-Gastos7[[#This Row],[Mes]]</f>
        <v>425</v>
      </c>
    </row>
    <row r="11" spans="2:5" x14ac:dyDescent="0.3">
      <c r="B11" s="17" t="s">
        <v>19</v>
      </c>
      <c r="C11" s="48">
        <v>25</v>
      </c>
      <c r="D11" s="48">
        <f>SUMIFS(Libro_Diario[[Cantidad ]],Libro_Diario[[Tipo ]],"=Gastos",Libro_Diario[Año Numero],'Presupuestos de Gastos'!$C$4,Libro_Diario[Mes Número],'Presupuestos de Gastos'!$C$5,Libro_Diario[[Categoria ]],Gastos7[[#This Row],[Gastos]])</f>
        <v>0</v>
      </c>
      <c r="E11" s="48">
        <f>Gastos7[[#This Row],[Cantidad]]-Gastos7[[#This Row],[Mes]]</f>
        <v>25</v>
      </c>
    </row>
    <row r="12" spans="2:5" x14ac:dyDescent="0.3">
      <c r="B12" s="17" t="s">
        <v>20</v>
      </c>
      <c r="C12" s="48">
        <v>200</v>
      </c>
      <c r="D12" s="48">
        <f>SUMIFS(Libro_Diario[[Cantidad ]],Libro_Diario[[Tipo ]],"=Gastos",Libro_Diario[Año Numero],'Presupuestos de Gastos'!$C$4,Libro_Diario[Mes Número],'Presupuestos de Gastos'!$C$5,Libro_Diario[[Categoria ]],Gastos7[[#This Row],[Gastos]])</f>
        <v>0</v>
      </c>
      <c r="E12" s="48">
        <f>Gastos7[[#This Row],[Cantidad]]-Gastos7[[#This Row],[Mes]]</f>
        <v>200</v>
      </c>
    </row>
    <row r="13" spans="2:5" x14ac:dyDescent="0.3">
      <c r="B13" s="17" t="s">
        <v>13</v>
      </c>
      <c r="C13" s="48">
        <v>125</v>
      </c>
      <c r="D13" s="48">
        <f>SUMIFS(Libro_Diario[[Cantidad ]],Libro_Diario[[Tipo ]],"=Gastos",Libro_Diario[Año Numero],'Presupuestos de Gastos'!$C$4,Libro_Diario[Mes Número],'Presupuestos de Gastos'!$C$5,Libro_Diario[[Categoria ]],Gastos7[[#This Row],[Gastos]])</f>
        <v>0</v>
      </c>
      <c r="E13" s="48">
        <f>Gastos7[[#This Row],[Cantidad]]-Gastos7[[#This Row],[Mes]]</f>
        <v>125</v>
      </c>
    </row>
    <row r="14" spans="2:5" x14ac:dyDescent="0.3">
      <c r="B14" s="17" t="s">
        <v>14</v>
      </c>
      <c r="C14" s="48">
        <v>125</v>
      </c>
      <c r="D14" s="48">
        <f>SUMIFS(Libro_Diario[[Cantidad ]],Libro_Diario[[Tipo ]],"=Gastos",Libro_Diario[Año Numero],'Presupuestos de Gastos'!$C$4,Libro_Diario[Mes Número],'Presupuestos de Gastos'!$C$5,Libro_Diario[[Categoria ]],Gastos7[[#This Row],[Gastos]])</f>
        <v>0</v>
      </c>
      <c r="E14" s="48">
        <f>Gastos7[[#This Row],[Cantidad]]-Gastos7[[#This Row],[Mes]]</f>
        <v>125</v>
      </c>
    </row>
    <row r="15" spans="2:5" x14ac:dyDescent="0.3">
      <c r="B15" s="17" t="s">
        <v>46</v>
      </c>
      <c r="C15" s="48">
        <v>8</v>
      </c>
      <c r="D15" s="48">
        <f>SUMIFS(Libro_Diario[[Cantidad ]],Libro_Diario[[Tipo ]],"=Gastos",Libro_Diario[Año Numero],'Presupuestos de Gastos'!$C$4,Libro_Diario[Mes Número],'Presupuestos de Gastos'!$C$5,Libro_Diario[[Categoria ]],Gastos7[[#This Row],[Gastos]])</f>
        <v>0</v>
      </c>
      <c r="E15" s="48">
        <f>Gastos7[[#This Row],[Cantidad]]-Gastos7[[#This Row],[Mes]]</f>
        <v>8</v>
      </c>
    </row>
    <row r="16" spans="2:5" x14ac:dyDescent="0.3">
      <c r="B16" s="16" t="s">
        <v>88</v>
      </c>
      <c r="C16" s="48">
        <v>15</v>
      </c>
      <c r="D16" s="48">
        <f>SUMIFS(Libro_Diario[[Cantidad ]],Libro_Diario[[Tipo ]],"=Gastos",Libro_Diario[Año Numero],'Presupuestos de Gastos'!$C$4,Libro_Diario[Mes Número],'Presupuestos de Gastos'!$C$5,Libro_Diario[[Categoria ]],Gastos7[[#This Row],[Gastos]])</f>
        <v>0</v>
      </c>
      <c r="E16" s="48">
        <f>Gastos7[[#This Row],[Cantidad]]-Gastos7[[#This Row],[Mes]]</f>
        <v>15</v>
      </c>
    </row>
    <row r="17" spans="2:5" x14ac:dyDescent="0.3">
      <c r="B17" s="17" t="s">
        <v>47</v>
      </c>
      <c r="C17" s="48">
        <v>15.5</v>
      </c>
      <c r="D17" s="48">
        <f>SUMIFS(Libro_Diario[[Cantidad ]],Libro_Diario[[Tipo ]],"=Gastos",Libro_Diario[Año Numero],'Presupuestos de Gastos'!$C$4,Libro_Diario[Mes Número],'Presupuestos de Gastos'!$C$5,Libro_Diario[[Categoria ]],Gastos7[[#This Row],[Gastos]])</f>
        <v>0</v>
      </c>
      <c r="E17" s="48">
        <f>Gastos7[[#This Row],[Cantidad]]-Gastos7[[#This Row],[Mes]]</f>
        <v>15.5</v>
      </c>
    </row>
    <row r="18" spans="2:5" x14ac:dyDescent="0.3">
      <c r="B18" s="16" t="s">
        <v>69</v>
      </c>
      <c r="C18" s="48">
        <v>50.59</v>
      </c>
      <c r="D18" s="48">
        <f>SUMIFS(Libro_Diario[[Cantidad ]],Libro_Diario[[Tipo ]],"=Gastos",Libro_Diario[Año Numero],'Presupuestos de Gastos'!$C$4,Libro_Diario[Mes Número],'Presupuestos de Gastos'!$C$5,Libro_Diario[[Categoria ]],Gastos7[[#This Row],[Gastos]])</f>
        <v>0</v>
      </c>
      <c r="E18" s="48">
        <f>Gastos7[[#This Row],[Cantidad]]-Gastos7[[#This Row],[Mes]]</f>
        <v>50.59</v>
      </c>
    </row>
    <row r="19" spans="2:5" x14ac:dyDescent="0.3">
      <c r="B19" s="16" t="s">
        <v>67</v>
      </c>
      <c r="C19" s="48">
        <v>2</v>
      </c>
      <c r="D19" s="48">
        <f>SUMIFS(Libro_Diario[[Cantidad ]],Libro_Diario[[Tipo ]],"=Gastos",Libro_Diario[Año Numero],'Presupuestos de Gastos'!$C$4,Libro_Diario[Mes Número],'Presupuestos de Gastos'!$C$5,Libro_Diario[[Categoria ]],Gastos7[[#This Row],[Gastos]])</f>
        <v>0</v>
      </c>
      <c r="E19" s="48">
        <f>Gastos7[[#This Row],[Cantidad]]-Gastos7[[#This Row],[Mes]]</f>
        <v>2</v>
      </c>
    </row>
    <row r="20" spans="2:5" x14ac:dyDescent="0.3">
      <c r="B20" s="17" t="s">
        <v>57</v>
      </c>
      <c r="C20" s="50">
        <v>7</v>
      </c>
      <c r="D20" s="48">
        <f>SUMIFS(Libro_Diario[[Cantidad ]],Libro_Diario[[Tipo ]],"=Gastos",Libro_Diario[Año Numero],'Presupuestos de Gastos'!$C$4,Libro_Diario[Mes Número],'Presupuestos de Gastos'!$C$5,Libro_Diario[[Categoria ]],Gastos7[[#This Row],[Gastos]])</f>
        <v>0</v>
      </c>
      <c r="E20" s="48">
        <f>Gastos7[[#This Row],[Cantidad]]-Gastos7[[#This Row],[Mes]]</f>
        <v>7</v>
      </c>
    </row>
    <row r="21" spans="2:5" x14ac:dyDescent="0.3">
      <c r="B21" s="17" t="s">
        <v>15</v>
      </c>
      <c r="C21" s="50">
        <v>102.5</v>
      </c>
      <c r="D21" s="48">
        <f>SUMIFS(Libro_Diario[[Cantidad ]],Libro_Diario[[Tipo ]],"=Gastos",Libro_Diario[Año Numero],'Presupuestos de Gastos'!$C$4,Libro_Diario[Mes Número],'Presupuestos de Gastos'!$C$5,Libro_Diario[[Categoria ]],Gastos7[[#This Row],[Gastos]])</f>
        <v>0</v>
      </c>
      <c r="E21" s="48">
        <f>Gastos7[[#This Row],[Cantidad]]-Gastos7[[#This Row],[Mes]]</f>
        <v>102.5</v>
      </c>
    </row>
    <row r="22" spans="2:5" x14ac:dyDescent="0.3">
      <c r="B22" s="33" t="s">
        <v>7</v>
      </c>
      <c r="C22" s="52">
        <f>SUM(C10:C21)</f>
        <v>1100.5900000000001</v>
      </c>
      <c r="D22" s="52">
        <f>SUM(Gastos7[Mes])</f>
        <v>0</v>
      </c>
      <c r="E22" s="52">
        <f>C22-D22</f>
        <v>1100.5900000000001</v>
      </c>
    </row>
    <row r="30" spans="2:5" hidden="1" x14ac:dyDescent="0.3"/>
    <row r="31" spans="2:5" hidden="1" x14ac:dyDescent="0.3"/>
  </sheetData>
  <conditionalFormatting sqref="B10:D21">
    <cfRule type="expression" dxfId="93" priority="11" stopIfTrue="1">
      <formula>ROW(B10)&lt;=Gastos_max_fila</formula>
    </cfRule>
  </conditionalFormatting>
  <conditionalFormatting sqref="C4:C5">
    <cfRule type="expression" dxfId="92" priority="1" stopIfTrue="1">
      <formula>ROW(C4)&lt;=Gastos_max_fila</formula>
    </cfRule>
  </conditionalFormatting>
  <conditionalFormatting sqref="E10:E21">
    <cfRule type="cellIs" dxfId="91" priority="3" operator="lessThan">
      <formula>0</formula>
    </cfRule>
    <cfRule type="expression" dxfId="90" priority="4" stopIfTrue="1">
      <formula>ROW(E10)&lt;=Gastos_max_fila</formula>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5B8609E-00DF-3F4E-87FB-05C057434436}">
          <x14:formula1>
            <xm:f>Cálculos!$F$7:$F$17</xm:f>
          </x14:formula1>
          <xm:sqref>C4</xm:sqref>
        </x14:dataValidation>
        <x14:dataValidation type="list" allowBlank="1" showInputMessage="1" showErrorMessage="1" xr:uid="{3EF79F99-A265-C747-9262-1B48EA4D1E23}">
          <x14:formula1>
            <xm:f>Cálculos!$I$7:$I$18</xm:f>
          </x14:formula1>
          <xm:sqref>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E722C-585C-5346-B881-E5D634D73F6F}">
  <sheetPr codeName="Hoja4"/>
  <dimension ref="B1:I509"/>
  <sheetViews>
    <sheetView showGridLines="0" topLeftCell="A6" zoomScale="92" workbookViewId="0">
      <selection activeCell="C12" sqref="C12"/>
    </sheetView>
  </sheetViews>
  <sheetFormatPr baseColWidth="10" defaultRowHeight="15.6" x14ac:dyDescent="0.3"/>
  <cols>
    <col min="3" max="6" width="29.19921875" customWidth="1"/>
    <col min="7" max="7" width="55" customWidth="1"/>
    <col min="8" max="8" width="27.69921875" hidden="1" customWidth="1"/>
    <col min="9" max="9" width="21.19921875" hidden="1" customWidth="1"/>
  </cols>
  <sheetData>
    <row r="1" spans="3:9" s="1" customFormat="1" x14ac:dyDescent="0.3"/>
    <row r="2" spans="3:9" s="1" customFormat="1" ht="28.8" x14ac:dyDescent="0.55000000000000004">
      <c r="C2" s="13" t="s">
        <v>27</v>
      </c>
    </row>
    <row r="3" spans="3:9" s="1" customFormat="1" x14ac:dyDescent="0.3"/>
    <row r="11" spans="3:9" x14ac:dyDescent="0.3">
      <c r="C11" s="15" t="s">
        <v>21</v>
      </c>
      <c r="D11" s="15" t="s">
        <v>22</v>
      </c>
      <c r="E11" s="15" t="s">
        <v>23</v>
      </c>
      <c r="F11" s="15" t="s">
        <v>24</v>
      </c>
      <c r="G11" s="15" t="s">
        <v>25</v>
      </c>
      <c r="H11" s="15" t="s">
        <v>65</v>
      </c>
      <c r="I11" s="15" t="s">
        <v>66</v>
      </c>
    </row>
    <row r="12" spans="3:9" x14ac:dyDescent="0.3">
      <c r="C12" s="38"/>
      <c r="D12" s="38"/>
      <c r="E12" s="38"/>
      <c r="F12" s="38"/>
      <c r="G12" s="38"/>
      <c r="H12" s="39">
        <f>MONTH(Libro_Diario[[#This Row],[Fecha]])</f>
        <v>1</v>
      </c>
      <c r="I12" s="39">
        <f>YEAR(Libro_Diario[[#This Row],[Fecha]])</f>
        <v>1900</v>
      </c>
    </row>
    <row r="13" spans="3:9" x14ac:dyDescent="0.3">
      <c r="C13" s="38"/>
      <c r="D13" s="38"/>
      <c r="E13" s="38"/>
      <c r="F13" s="40"/>
      <c r="G13" s="42"/>
      <c r="H13" s="39" t="e">
        <f>MONTH(Libro_Diario[[#This Row],[Fecha]])</f>
        <v>#VALUE!</v>
      </c>
      <c r="I13" s="39" t="e">
        <f>YEAR(Libro_Diario[[#This Row],[Fecha]])</f>
        <v>#VALUE!</v>
      </c>
    </row>
    <row r="14" spans="3:9" x14ac:dyDescent="0.3">
      <c r="C14" s="38"/>
      <c r="D14" s="39"/>
      <c r="E14" s="39"/>
      <c r="F14" s="40"/>
      <c r="G14" s="41"/>
      <c r="H14" s="39" t="e">
        <f>MONTH(Libro_Diario[[#This Row],[Fecha]])</f>
        <v>#VALUE!</v>
      </c>
      <c r="I14" s="39" t="e">
        <f>YEAR(Libro_Diario[[#This Row],[Fecha]])</f>
        <v>#VALUE!</v>
      </c>
    </row>
    <row r="15" spans="3:9" x14ac:dyDescent="0.3">
      <c r="C15" s="38"/>
      <c r="D15" s="39"/>
      <c r="E15" s="39"/>
      <c r="F15" s="40"/>
      <c r="G15" s="41"/>
      <c r="H15" s="39" t="e">
        <f>MONTH(Libro_Diario[[#This Row],[Fecha]])</f>
        <v>#VALUE!</v>
      </c>
      <c r="I15" s="39" t="e">
        <f>YEAR(Libro_Diario[[#This Row],[Fecha]])</f>
        <v>#VALUE!</v>
      </c>
    </row>
    <row r="16" spans="3:9" x14ac:dyDescent="0.3">
      <c r="C16" s="38"/>
      <c r="D16" s="39"/>
      <c r="E16" s="39"/>
      <c r="F16" s="40"/>
      <c r="G16" s="41"/>
      <c r="H16" s="39" t="e">
        <f>MONTH(Libro_Diario[[#This Row],[Fecha]])</f>
        <v>#VALUE!</v>
      </c>
      <c r="I16" s="39" t="e">
        <f>YEAR(Libro_Diario[[#This Row],[Fecha]])</f>
        <v>#VALUE!</v>
      </c>
    </row>
    <row r="17" spans="3:9" x14ac:dyDescent="0.3">
      <c r="C17" s="38"/>
      <c r="D17" s="39"/>
      <c r="E17" s="39"/>
      <c r="F17" s="40"/>
      <c r="G17" s="41"/>
      <c r="H17" s="39" t="e">
        <f>MONTH(Libro_Diario[[#This Row],[Fecha]])</f>
        <v>#VALUE!</v>
      </c>
      <c r="I17" s="39" t="e">
        <f>YEAR(Libro_Diario[[#This Row],[Fecha]])</f>
        <v>#VALUE!</v>
      </c>
    </row>
    <row r="18" spans="3:9" x14ac:dyDescent="0.3">
      <c r="C18" s="38"/>
      <c r="D18" s="39"/>
      <c r="E18" s="39"/>
      <c r="F18" s="40"/>
      <c r="G18" s="41"/>
      <c r="H18" s="39" t="e">
        <f>MONTH(Libro_Diario[[#This Row],[Fecha]])</f>
        <v>#VALUE!</v>
      </c>
      <c r="I18" s="39" t="e">
        <f>YEAR(Libro_Diario[[#This Row],[Fecha]])</f>
        <v>#VALUE!</v>
      </c>
    </row>
    <row r="19" spans="3:9" x14ac:dyDescent="0.3">
      <c r="C19" s="38"/>
      <c r="D19" s="39"/>
      <c r="E19" s="39"/>
      <c r="F19" s="40"/>
      <c r="G19" s="41"/>
      <c r="H19" s="39" t="e">
        <f>MONTH(Libro_Diario[[#This Row],[Fecha]])</f>
        <v>#VALUE!</v>
      </c>
      <c r="I19" s="39" t="e">
        <f>YEAR(Libro_Diario[[#This Row],[Fecha]])</f>
        <v>#VALUE!</v>
      </c>
    </row>
    <row r="20" spans="3:9" x14ac:dyDescent="0.3">
      <c r="C20" s="38"/>
      <c r="D20" s="39"/>
      <c r="E20" s="39"/>
      <c r="F20" s="40"/>
      <c r="G20" s="41"/>
      <c r="H20" s="39" t="e">
        <f>MONTH(Libro_Diario[[#This Row],[Fecha]])</f>
        <v>#VALUE!</v>
      </c>
      <c r="I20" s="39" t="e">
        <f>YEAR(Libro_Diario[[#This Row],[Fecha]])</f>
        <v>#VALUE!</v>
      </c>
    </row>
    <row r="21" spans="3:9" x14ac:dyDescent="0.3">
      <c r="C21" s="38"/>
      <c r="D21" s="39"/>
      <c r="E21" s="39"/>
      <c r="F21" s="40"/>
      <c r="G21" s="41"/>
      <c r="H21" s="39" t="e">
        <f>MONTH(Libro_Diario[[#This Row],[Fecha]])</f>
        <v>#VALUE!</v>
      </c>
      <c r="I21" s="39" t="e">
        <f>YEAR(Libro_Diario[[#This Row],[Fecha]])</f>
        <v>#VALUE!</v>
      </c>
    </row>
    <row r="22" spans="3:9" x14ac:dyDescent="0.3">
      <c r="C22" s="38"/>
      <c r="D22" s="39"/>
      <c r="E22" s="39"/>
      <c r="F22" s="40"/>
      <c r="G22" s="41"/>
      <c r="H22" s="39" t="e">
        <f>MONTH(Libro_Diario[[#This Row],[Fecha]])</f>
        <v>#VALUE!</v>
      </c>
      <c r="I22" s="39" t="e">
        <f>YEAR(Libro_Diario[[#This Row],[Fecha]])</f>
        <v>#VALUE!</v>
      </c>
    </row>
    <row r="23" spans="3:9" x14ac:dyDescent="0.3">
      <c r="C23" s="38"/>
      <c r="D23" s="39"/>
      <c r="E23" s="39"/>
      <c r="F23" s="40"/>
      <c r="G23" s="41"/>
      <c r="H23" s="39" t="e">
        <f>MONTH(Libro_Diario[[#This Row],[Fecha]])</f>
        <v>#VALUE!</v>
      </c>
      <c r="I23" s="39" t="e">
        <f>YEAR(Libro_Diario[[#This Row],[Fecha]])</f>
        <v>#VALUE!</v>
      </c>
    </row>
    <row r="24" spans="3:9" x14ac:dyDescent="0.3">
      <c r="C24" s="38"/>
      <c r="D24" s="39"/>
      <c r="E24" s="39"/>
      <c r="F24" s="40"/>
      <c r="G24" s="41"/>
      <c r="H24" s="39" t="e">
        <f>MONTH(Libro_Diario[[#This Row],[Fecha]])</f>
        <v>#VALUE!</v>
      </c>
      <c r="I24" s="39" t="e">
        <f>YEAR(Libro_Diario[[#This Row],[Fecha]])</f>
        <v>#VALUE!</v>
      </c>
    </row>
    <row r="25" spans="3:9" x14ac:dyDescent="0.3">
      <c r="C25" s="38"/>
      <c r="D25" s="39"/>
      <c r="E25" s="39"/>
      <c r="F25" s="40"/>
      <c r="G25" s="41"/>
      <c r="H25" s="39" t="e">
        <f>MONTH(Libro_Diario[[#This Row],[Fecha]])</f>
        <v>#VALUE!</v>
      </c>
      <c r="I25" s="39" t="e">
        <f>YEAR(Libro_Diario[[#This Row],[Fecha]])</f>
        <v>#VALUE!</v>
      </c>
    </row>
    <row r="26" spans="3:9" x14ac:dyDescent="0.3">
      <c r="C26" s="38"/>
      <c r="D26" s="39"/>
      <c r="E26" s="39"/>
      <c r="F26" s="40"/>
      <c r="G26" s="41"/>
      <c r="H26" s="39" t="e">
        <f>MONTH(Libro_Diario[[#This Row],[Fecha]])</f>
        <v>#VALUE!</v>
      </c>
      <c r="I26" s="39" t="e">
        <f>YEAR(Libro_Diario[[#This Row],[Fecha]])</f>
        <v>#VALUE!</v>
      </c>
    </row>
    <row r="27" spans="3:9" x14ac:dyDescent="0.3">
      <c r="C27" s="38"/>
      <c r="D27" s="39"/>
      <c r="E27" s="39"/>
      <c r="F27" s="40"/>
      <c r="G27" s="41"/>
      <c r="H27" s="39" t="e">
        <f>MONTH(Libro_Diario[[#This Row],[Fecha]])</f>
        <v>#VALUE!</v>
      </c>
      <c r="I27" s="39" t="e">
        <f>YEAR(Libro_Diario[[#This Row],[Fecha]])</f>
        <v>#VALUE!</v>
      </c>
    </row>
    <row r="28" spans="3:9" x14ac:dyDescent="0.3">
      <c r="C28" s="38"/>
      <c r="D28" s="39"/>
      <c r="E28" s="39"/>
      <c r="F28" s="40"/>
      <c r="G28" s="41"/>
      <c r="H28" s="39" t="e">
        <f>MONTH(Libro_Diario[[#This Row],[Fecha]])</f>
        <v>#VALUE!</v>
      </c>
      <c r="I28" s="39" t="e">
        <f>YEAR(Libro_Diario[[#This Row],[Fecha]])</f>
        <v>#VALUE!</v>
      </c>
    </row>
    <row r="29" spans="3:9" x14ac:dyDescent="0.3">
      <c r="C29" s="38"/>
      <c r="D29" s="39"/>
      <c r="E29" s="39"/>
      <c r="F29" s="40"/>
      <c r="G29" s="41"/>
      <c r="H29" s="39" t="e">
        <f>MONTH(Libro_Diario[[#This Row],[Fecha]])</f>
        <v>#VALUE!</v>
      </c>
      <c r="I29" s="39" t="e">
        <f>YEAR(Libro_Diario[[#This Row],[Fecha]])</f>
        <v>#VALUE!</v>
      </c>
    </row>
    <row r="30" spans="3:9" x14ac:dyDescent="0.3">
      <c r="C30" s="38"/>
      <c r="D30" s="39"/>
      <c r="E30" s="39"/>
      <c r="F30" s="40"/>
      <c r="G30" s="41"/>
      <c r="H30" s="39" t="e">
        <f>MONTH(Libro_Diario[[#This Row],[Fecha]])</f>
        <v>#VALUE!</v>
      </c>
      <c r="I30" s="39" t="e">
        <f>YEAR(Libro_Diario[[#This Row],[Fecha]])</f>
        <v>#VALUE!</v>
      </c>
    </row>
    <row r="31" spans="3:9" x14ac:dyDescent="0.3">
      <c r="C31" s="38"/>
      <c r="D31" s="39"/>
      <c r="E31" s="39"/>
      <c r="F31" s="40"/>
      <c r="G31" s="41"/>
      <c r="H31" s="39" t="e">
        <f>MONTH(Libro_Diario[[#This Row],[Fecha]])</f>
        <v>#VALUE!</v>
      </c>
      <c r="I31" s="39" t="e">
        <f>YEAR(Libro_Diario[[#This Row],[Fecha]])</f>
        <v>#VALUE!</v>
      </c>
    </row>
    <row r="32" spans="3:9" x14ac:dyDescent="0.3">
      <c r="C32" s="38"/>
      <c r="D32" s="39"/>
      <c r="E32" s="39"/>
      <c r="F32" s="40"/>
      <c r="G32" s="41"/>
      <c r="H32" s="39" t="e">
        <f>MONTH(Libro_Diario[[#This Row],[Fecha]])</f>
        <v>#VALUE!</v>
      </c>
      <c r="I32" s="39" t="e">
        <f>YEAR(Libro_Diario[[#This Row],[Fecha]])</f>
        <v>#VALUE!</v>
      </c>
    </row>
    <row r="33" spans="3:9" x14ac:dyDescent="0.3">
      <c r="C33" s="38"/>
      <c r="D33" s="39"/>
      <c r="E33" s="39"/>
      <c r="F33" s="40"/>
      <c r="G33" s="41"/>
      <c r="H33" s="39" t="e">
        <f>MONTH(Libro_Diario[[#This Row],[Fecha]])</f>
        <v>#VALUE!</v>
      </c>
      <c r="I33" s="39" t="e">
        <f>YEAR(Libro_Diario[[#This Row],[Fecha]])</f>
        <v>#VALUE!</v>
      </c>
    </row>
    <row r="34" spans="3:9" x14ac:dyDescent="0.3">
      <c r="C34" s="38"/>
      <c r="D34" s="39"/>
      <c r="E34" s="39"/>
      <c r="F34" s="40"/>
      <c r="G34" s="41"/>
      <c r="H34" s="39" t="e">
        <f>MONTH(Libro_Diario[[#This Row],[Fecha]])</f>
        <v>#VALUE!</v>
      </c>
      <c r="I34" s="39" t="e">
        <f>YEAR(Libro_Diario[[#This Row],[Fecha]])</f>
        <v>#VALUE!</v>
      </c>
    </row>
    <row r="35" spans="3:9" x14ac:dyDescent="0.3">
      <c r="C35" s="38"/>
      <c r="D35" s="39"/>
      <c r="E35" s="39"/>
      <c r="F35" s="40"/>
      <c r="G35" s="41"/>
      <c r="H35" s="39" t="e">
        <f>MONTH(Libro_Diario[[#This Row],[Fecha]])</f>
        <v>#VALUE!</v>
      </c>
      <c r="I35" s="39" t="e">
        <f>YEAR(Libro_Diario[[#This Row],[Fecha]])</f>
        <v>#VALUE!</v>
      </c>
    </row>
    <row r="36" spans="3:9" x14ac:dyDescent="0.3">
      <c r="C36" s="38"/>
      <c r="D36" s="39"/>
      <c r="E36" s="39"/>
      <c r="F36" s="40"/>
      <c r="G36" s="41"/>
      <c r="H36" s="39" t="e">
        <f>MONTH(Libro_Diario[[#This Row],[Fecha]])</f>
        <v>#VALUE!</v>
      </c>
      <c r="I36" s="39" t="e">
        <f>YEAR(Libro_Diario[[#This Row],[Fecha]])</f>
        <v>#VALUE!</v>
      </c>
    </row>
    <row r="37" spans="3:9" x14ac:dyDescent="0.3">
      <c r="C37" s="38"/>
      <c r="D37" s="39"/>
      <c r="E37" s="39"/>
      <c r="F37" s="40"/>
      <c r="G37" s="41"/>
      <c r="H37" s="39" t="e">
        <f>MONTH(Libro_Diario[[#This Row],[Fecha]])</f>
        <v>#VALUE!</v>
      </c>
      <c r="I37" s="39" t="e">
        <f>YEAR(Libro_Diario[[#This Row],[Fecha]])</f>
        <v>#VALUE!</v>
      </c>
    </row>
    <row r="38" spans="3:9" x14ac:dyDescent="0.3">
      <c r="C38" s="38"/>
      <c r="D38" s="39"/>
      <c r="E38" s="39"/>
      <c r="F38" s="40"/>
      <c r="G38" s="41"/>
      <c r="H38" s="39" t="e">
        <f>MONTH(Libro_Diario[[#This Row],[Fecha]])</f>
        <v>#VALUE!</v>
      </c>
      <c r="I38" s="39" t="e">
        <f>YEAR(Libro_Diario[[#This Row],[Fecha]])</f>
        <v>#VALUE!</v>
      </c>
    </row>
    <row r="39" spans="3:9" x14ac:dyDescent="0.3">
      <c r="C39" s="38"/>
      <c r="D39" s="39"/>
      <c r="E39" s="39"/>
      <c r="F39" s="40"/>
      <c r="G39" s="41"/>
      <c r="H39" s="39" t="e">
        <f>MONTH(Libro_Diario[[#This Row],[Fecha]])</f>
        <v>#VALUE!</v>
      </c>
      <c r="I39" s="39" t="e">
        <f>YEAR(Libro_Diario[[#This Row],[Fecha]])</f>
        <v>#VALUE!</v>
      </c>
    </row>
    <row r="40" spans="3:9" x14ac:dyDescent="0.3">
      <c r="C40" s="38"/>
      <c r="D40" s="39"/>
      <c r="E40" s="39"/>
      <c r="F40" s="40"/>
      <c r="G40" s="41"/>
      <c r="H40" s="39" t="e">
        <f>MONTH(Libro_Diario[[#This Row],[Fecha]])</f>
        <v>#VALUE!</v>
      </c>
      <c r="I40" s="39" t="e">
        <f>YEAR(Libro_Diario[[#This Row],[Fecha]])</f>
        <v>#VALUE!</v>
      </c>
    </row>
    <row r="41" spans="3:9" x14ac:dyDescent="0.3">
      <c r="C41" s="38"/>
      <c r="D41" s="39"/>
      <c r="E41" s="39"/>
      <c r="F41" s="40"/>
      <c r="G41" s="41"/>
      <c r="H41" s="39" t="e">
        <f>MONTH(Libro_Diario[[#This Row],[Fecha]])</f>
        <v>#VALUE!</v>
      </c>
      <c r="I41" s="39" t="e">
        <f>YEAR(Libro_Diario[[#This Row],[Fecha]])</f>
        <v>#VALUE!</v>
      </c>
    </row>
    <row r="42" spans="3:9" x14ac:dyDescent="0.3">
      <c r="C42" s="38"/>
      <c r="D42" s="39"/>
      <c r="E42" s="39"/>
      <c r="F42" s="40"/>
      <c r="G42" s="41"/>
      <c r="H42" s="39" t="e">
        <f>MONTH(Libro_Diario[[#This Row],[Fecha]])</f>
        <v>#VALUE!</v>
      </c>
      <c r="I42" s="39" t="e">
        <f>YEAR(Libro_Diario[[#This Row],[Fecha]])</f>
        <v>#VALUE!</v>
      </c>
    </row>
    <row r="43" spans="3:9" x14ac:dyDescent="0.3">
      <c r="C43" s="38"/>
      <c r="D43" s="39"/>
      <c r="E43" s="39"/>
      <c r="F43" s="40"/>
      <c r="G43" s="41"/>
      <c r="H43" s="39" t="e">
        <f>MONTH(Libro_Diario[[#This Row],[Fecha]])</f>
        <v>#VALUE!</v>
      </c>
      <c r="I43" s="39" t="e">
        <f>YEAR(Libro_Diario[[#This Row],[Fecha]])</f>
        <v>#VALUE!</v>
      </c>
    </row>
    <row r="44" spans="3:9" x14ac:dyDescent="0.3">
      <c r="C44" s="38"/>
      <c r="D44" s="39"/>
      <c r="E44" s="39"/>
      <c r="F44" s="40"/>
      <c r="G44" s="41"/>
      <c r="H44" s="39" t="e">
        <f>MONTH(Libro_Diario[[#This Row],[Fecha]])</f>
        <v>#VALUE!</v>
      </c>
      <c r="I44" s="39" t="e">
        <f>YEAR(Libro_Diario[[#This Row],[Fecha]])</f>
        <v>#VALUE!</v>
      </c>
    </row>
    <row r="45" spans="3:9" x14ac:dyDescent="0.3">
      <c r="C45" s="38"/>
      <c r="D45" s="39"/>
      <c r="E45" s="39"/>
      <c r="F45" s="40"/>
      <c r="G45" s="41"/>
      <c r="H45" s="39" t="e">
        <f>MONTH(Libro_Diario[[#This Row],[Fecha]])</f>
        <v>#VALUE!</v>
      </c>
      <c r="I45" s="39" t="e">
        <f>YEAR(Libro_Diario[[#This Row],[Fecha]])</f>
        <v>#VALUE!</v>
      </c>
    </row>
    <row r="46" spans="3:9" x14ac:dyDescent="0.3">
      <c r="C46" s="38"/>
      <c r="D46" s="39"/>
      <c r="E46" s="39"/>
      <c r="F46" s="40"/>
      <c r="G46" s="41"/>
      <c r="H46" s="39" t="e">
        <f>MONTH(Libro_Diario[[#This Row],[Fecha]])</f>
        <v>#VALUE!</v>
      </c>
      <c r="I46" s="39" t="e">
        <f>YEAR(Libro_Diario[[#This Row],[Fecha]])</f>
        <v>#VALUE!</v>
      </c>
    </row>
    <row r="47" spans="3:9" x14ac:dyDescent="0.3">
      <c r="C47" s="38"/>
      <c r="D47" s="39"/>
      <c r="E47" s="39"/>
      <c r="F47" s="40"/>
      <c r="G47" s="41"/>
      <c r="H47" s="39" t="e">
        <f>MONTH(Libro_Diario[[#This Row],[Fecha]])</f>
        <v>#VALUE!</v>
      </c>
      <c r="I47" s="39" t="e">
        <f>YEAR(Libro_Diario[[#This Row],[Fecha]])</f>
        <v>#VALUE!</v>
      </c>
    </row>
    <row r="48" spans="3:9" x14ac:dyDescent="0.3">
      <c r="C48" s="38"/>
      <c r="D48" s="39"/>
      <c r="E48" s="39"/>
      <c r="F48" s="40"/>
      <c r="G48" s="41"/>
      <c r="H48" s="39" t="e">
        <f>MONTH(Libro_Diario[[#This Row],[Fecha]])</f>
        <v>#VALUE!</v>
      </c>
      <c r="I48" s="39" t="e">
        <f>YEAR(Libro_Diario[[#This Row],[Fecha]])</f>
        <v>#VALUE!</v>
      </c>
    </row>
    <row r="49" spans="3:9" x14ac:dyDescent="0.3">
      <c r="C49" s="38"/>
      <c r="D49" s="39"/>
      <c r="E49" s="39"/>
      <c r="F49" s="40"/>
      <c r="G49" s="41"/>
      <c r="H49" s="39" t="e">
        <f>MONTH(Libro_Diario[[#This Row],[Fecha]])</f>
        <v>#VALUE!</v>
      </c>
      <c r="I49" s="39" t="e">
        <f>YEAR(Libro_Diario[[#This Row],[Fecha]])</f>
        <v>#VALUE!</v>
      </c>
    </row>
    <row r="50" spans="3:9" x14ac:dyDescent="0.3">
      <c r="C50" s="38"/>
      <c r="D50" s="39"/>
      <c r="E50" s="39"/>
      <c r="F50" s="40"/>
      <c r="G50" s="41"/>
      <c r="H50" s="39" t="e">
        <f>MONTH(Libro_Diario[[#This Row],[Fecha]])</f>
        <v>#VALUE!</v>
      </c>
      <c r="I50" s="39" t="e">
        <f>YEAR(Libro_Diario[[#This Row],[Fecha]])</f>
        <v>#VALUE!</v>
      </c>
    </row>
    <row r="51" spans="3:9" x14ac:dyDescent="0.3">
      <c r="C51" s="38"/>
      <c r="D51" s="39"/>
      <c r="E51" s="39"/>
      <c r="F51" s="40"/>
      <c r="G51" s="41"/>
      <c r="H51" s="39" t="e">
        <f>MONTH(Libro_Diario[[#This Row],[Fecha]])</f>
        <v>#VALUE!</v>
      </c>
      <c r="I51" s="39" t="e">
        <f>YEAR(Libro_Diario[[#This Row],[Fecha]])</f>
        <v>#VALUE!</v>
      </c>
    </row>
    <row r="52" spans="3:9" x14ac:dyDescent="0.3">
      <c r="C52" s="38"/>
      <c r="D52" s="39"/>
      <c r="E52" s="39"/>
      <c r="F52" s="40"/>
      <c r="G52" s="41"/>
      <c r="H52" s="39" t="e">
        <f>MONTH(Libro_Diario[[#This Row],[Fecha]])</f>
        <v>#VALUE!</v>
      </c>
      <c r="I52" s="39" t="e">
        <f>YEAR(Libro_Diario[[#This Row],[Fecha]])</f>
        <v>#VALUE!</v>
      </c>
    </row>
    <row r="53" spans="3:9" x14ac:dyDescent="0.3">
      <c r="C53" s="38"/>
      <c r="D53" s="39"/>
      <c r="E53" s="39"/>
      <c r="F53" s="40"/>
      <c r="G53" s="41"/>
      <c r="H53" s="39" t="e">
        <f>MONTH(Libro_Diario[[#This Row],[Fecha]])</f>
        <v>#VALUE!</v>
      </c>
      <c r="I53" s="39" t="e">
        <f>YEAR(Libro_Diario[[#This Row],[Fecha]])</f>
        <v>#VALUE!</v>
      </c>
    </row>
    <row r="54" spans="3:9" x14ac:dyDescent="0.3">
      <c r="C54" s="38"/>
      <c r="D54" s="39"/>
      <c r="E54" s="39"/>
      <c r="F54" s="40"/>
      <c r="G54" s="41"/>
      <c r="H54" s="39" t="e">
        <f>MONTH(Libro_Diario[[#This Row],[Fecha]])</f>
        <v>#VALUE!</v>
      </c>
      <c r="I54" s="39" t="e">
        <f>YEAR(Libro_Diario[[#This Row],[Fecha]])</f>
        <v>#VALUE!</v>
      </c>
    </row>
    <row r="55" spans="3:9" x14ac:dyDescent="0.3">
      <c r="C55" s="38"/>
      <c r="D55" s="39"/>
      <c r="E55" s="39"/>
      <c r="F55" s="40"/>
      <c r="G55" s="41"/>
      <c r="H55" s="39" t="e">
        <f>MONTH(Libro_Diario[[#This Row],[Fecha]])</f>
        <v>#VALUE!</v>
      </c>
      <c r="I55" s="39" t="e">
        <f>YEAR(Libro_Diario[[#This Row],[Fecha]])</f>
        <v>#VALUE!</v>
      </c>
    </row>
    <row r="56" spans="3:9" x14ac:dyDescent="0.3">
      <c r="C56" s="38"/>
      <c r="D56" s="39"/>
      <c r="E56" s="39"/>
      <c r="F56" s="40"/>
      <c r="G56" s="41"/>
      <c r="H56" s="39" t="e">
        <f>MONTH(Libro_Diario[[#This Row],[Fecha]])</f>
        <v>#VALUE!</v>
      </c>
      <c r="I56" s="39" t="e">
        <f>YEAR(Libro_Diario[[#This Row],[Fecha]])</f>
        <v>#VALUE!</v>
      </c>
    </row>
    <row r="57" spans="3:9" x14ac:dyDescent="0.3">
      <c r="C57" s="38"/>
      <c r="D57" s="39"/>
      <c r="E57" s="39"/>
      <c r="F57" s="40"/>
      <c r="G57" s="41"/>
      <c r="H57" s="39" t="e">
        <f>MONTH(Libro_Diario[[#This Row],[Fecha]])</f>
        <v>#VALUE!</v>
      </c>
      <c r="I57" s="39" t="e">
        <f>YEAR(Libro_Diario[[#This Row],[Fecha]])</f>
        <v>#VALUE!</v>
      </c>
    </row>
    <row r="58" spans="3:9" x14ac:dyDescent="0.3">
      <c r="C58" s="38"/>
      <c r="D58" s="39"/>
      <c r="E58" s="39"/>
      <c r="F58" s="40"/>
      <c r="G58" s="41"/>
      <c r="H58" s="39" t="e">
        <f>MONTH(Libro_Diario[[#This Row],[Fecha]])</f>
        <v>#VALUE!</v>
      </c>
      <c r="I58" s="39" t="e">
        <f>YEAR(Libro_Diario[[#This Row],[Fecha]])</f>
        <v>#VALUE!</v>
      </c>
    </row>
    <row r="59" spans="3:9" x14ac:dyDescent="0.3">
      <c r="C59" s="38"/>
      <c r="D59" s="39"/>
      <c r="E59" s="39"/>
      <c r="F59" s="40"/>
      <c r="G59" s="41"/>
      <c r="H59" s="39" t="e">
        <f>MONTH(Libro_Diario[[#This Row],[Fecha]])</f>
        <v>#VALUE!</v>
      </c>
      <c r="I59" s="39" t="e">
        <f>YEAR(Libro_Diario[[#This Row],[Fecha]])</f>
        <v>#VALUE!</v>
      </c>
    </row>
    <row r="60" spans="3:9" x14ac:dyDescent="0.3">
      <c r="C60" s="38"/>
      <c r="D60" s="39"/>
      <c r="E60" s="39"/>
      <c r="F60" s="40"/>
      <c r="G60" s="41"/>
      <c r="H60" s="39" t="e">
        <f>MONTH(Libro_Diario[[#This Row],[Fecha]])</f>
        <v>#VALUE!</v>
      </c>
      <c r="I60" s="39" t="e">
        <f>YEAR(Libro_Diario[[#This Row],[Fecha]])</f>
        <v>#VALUE!</v>
      </c>
    </row>
    <row r="61" spans="3:9" x14ac:dyDescent="0.3">
      <c r="C61" s="38"/>
      <c r="D61" s="39"/>
      <c r="E61" s="39"/>
      <c r="F61" s="40"/>
      <c r="G61" s="41"/>
      <c r="H61" s="39" t="e">
        <f>MONTH(Libro_Diario[[#This Row],[Fecha]])</f>
        <v>#VALUE!</v>
      </c>
      <c r="I61" s="39" t="e">
        <f>YEAR(Libro_Diario[[#This Row],[Fecha]])</f>
        <v>#VALUE!</v>
      </c>
    </row>
    <row r="62" spans="3:9" x14ac:dyDescent="0.3">
      <c r="C62" s="38"/>
      <c r="D62" s="39"/>
      <c r="E62" s="39"/>
      <c r="F62" s="40"/>
      <c r="G62" s="41"/>
      <c r="H62" s="39" t="e">
        <f>MONTH(Libro_Diario[[#This Row],[Fecha]])</f>
        <v>#VALUE!</v>
      </c>
      <c r="I62" s="39" t="e">
        <f>YEAR(Libro_Diario[[#This Row],[Fecha]])</f>
        <v>#VALUE!</v>
      </c>
    </row>
    <row r="63" spans="3:9" x14ac:dyDescent="0.3">
      <c r="C63" s="38"/>
      <c r="D63" s="39"/>
      <c r="E63" s="39"/>
      <c r="F63" s="40"/>
      <c r="G63" s="41"/>
      <c r="H63" s="39" t="e">
        <f>MONTH(Libro_Diario[[#This Row],[Fecha]])</f>
        <v>#VALUE!</v>
      </c>
      <c r="I63" s="39" t="e">
        <f>YEAR(Libro_Diario[[#This Row],[Fecha]])</f>
        <v>#VALUE!</v>
      </c>
    </row>
    <row r="64" spans="3:9" x14ac:dyDescent="0.3">
      <c r="C64" s="38"/>
      <c r="D64" s="39"/>
      <c r="E64" s="39"/>
      <c r="F64" s="40"/>
      <c r="G64" s="41"/>
      <c r="H64" s="39" t="e">
        <f>MONTH(Libro_Diario[[#This Row],[Fecha]])</f>
        <v>#VALUE!</v>
      </c>
      <c r="I64" s="39" t="e">
        <f>YEAR(Libro_Diario[[#This Row],[Fecha]])</f>
        <v>#VALUE!</v>
      </c>
    </row>
    <row r="65" spans="3:9" x14ac:dyDescent="0.3">
      <c r="C65" s="38"/>
      <c r="D65" s="39"/>
      <c r="E65" s="39"/>
      <c r="F65" s="40"/>
      <c r="G65" s="41"/>
      <c r="H65" s="39" t="e">
        <f>MONTH(Libro_Diario[[#This Row],[Fecha]])</f>
        <v>#VALUE!</v>
      </c>
      <c r="I65" s="39" t="e">
        <f>YEAR(Libro_Diario[[#This Row],[Fecha]])</f>
        <v>#VALUE!</v>
      </c>
    </row>
    <row r="66" spans="3:9" x14ac:dyDescent="0.3">
      <c r="C66" s="38"/>
      <c r="D66" s="39"/>
      <c r="E66" s="39"/>
      <c r="F66" s="40"/>
      <c r="G66" s="41"/>
      <c r="H66" s="39" t="e">
        <f>MONTH(Libro_Diario[[#This Row],[Fecha]])</f>
        <v>#VALUE!</v>
      </c>
      <c r="I66" s="39" t="e">
        <f>YEAR(Libro_Diario[[#This Row],[Fecha]])</f>
        <v>#VALUE!</v>
      </c>
    </row>
    <row r="67" spans="3:9" x14ac:dyDescent="0.3">
      <c r="C67" s="38"/>
      <c r="D67" s="39"/>
      <c r="E67" s="39"/>
      <c r="F67" s="40"/>
      <c r="G67" s="41"/>
      <c r="H67" s="39" t="e">
        <f>MONTH(Libro_Diario[[#This Row],[Fecha]])</f>
        <v>#VALUE!</v>
      </c>
      <c r="I67" s="39" t="e">
        <f>YEAR(Libro_Diario[[#This Row],[Fecha]])</f>
        <v>#VALUE!</v>
      </c>
    </row>
    <row r="68" spans="3:9" x14ac:dyDescent="0.3">
      <c r="C68" s="38"/>
      <c r="D68" s="39"/>
      <c r="E68" s="39"/>
      <c r="F68" s="40"/>
      <c r="G68" s="41"/>
      <c r="H68" s="39" t="e">
        <f>MONTH(Libro_Diario[[#This Row],[Fecha]])</f>
        <v>#VALUE!</v>
      </c>
      <c r="I68" s="39" t="e">
        <f>YEAR(Libro_Diario[[#This Row],[Fecha]])</f>
        <v>#VALUE!</v>
      </c>
    </row>
    <row r="69" spans="3:9" x14ac:dyDescent="0.3">
      <c r="C69" s="38"/>
      <c r="D69" s="39"/>
      <c r="E69" s="39"/>
      <c r="F69" s="40"/>
      <c r="G69" s="41"/>
      <c r="H69" s="39" t="e">
        <f>MONTH(Libro_Diario[[#This Row],[Fecha]])</f>
        <v>#VALUE!</v>
      </c>
      <c r="I69" s="39" t="e">
        <f>YEAR(Libro_Diario[[#This Row],[Fecha]])</f>
        <v>#VALUE!</v>
      </c>
    </row>
    <row r="70" spans="3:9" x14ac:dyDescent="0.3">
      <c r="C70" s="38"/>
      <c r="D70" s="39"/>
      <c r="E70" s="39"/>
      <c r="F70" s="40"/>
      <c r="G70" s="41"/>
      <c r="H70" s="39" t="e">
        <f>MONTH(Libro_Diario[[#This Row],[Fecha]])</f>
        <v>#VALUE!</v>
      </c>
      <c r="I70" s="39" t="e">
        <f>YEAR(Libro_Diario[[#This Row],[Fecha]])</f>
        <v>#VALUE!</v>
      </c>
    </row>
    <row r="71" spans="3:9" x14ac:dyDescent="0.3">
      <c r="C71" s="38"/>
      <c r="D71" s="39"/>
      <c r="E71" s="39"/>
      <c r="F71" s="40"/>
      <c r="G71" s="41"/>
      <c r="H71" s="39" t="e">
        <f>MONTH(Libro_Diario[[#This Row],[Fecha]])</f>
        <v>#VALUE!</v>
      </c>
      <c r="I71" s="39" t="e">
        <f>YEAR(Libro_Diario[[#This Row],[Fecha]])</f>
        <v>#VALUE!</v>
      </c>
    </row>
    <row r="72" spans="3:9" x14ac:dyDescent="0.3">
      <c r="C72" s="38"/>
      <c r="D72" s="39"/>
      <c r="E72" s="39"/>
      <c r="F72" s="40"/>
      <c r="G72" s="41"/>
      <c r="H72" s="39" t="e">
        <f>MONTH(Libro_Diario[[#This Row],[Fecha]])</f>
        <v>#VALUE!</v>
      </c>
      <c r="I72" s="39" t="e">
        <f>YEAR(Libro_Diario[[#This Row],[Fecha]])</f>
        <v>#VALUE!</v>
      </c>
    </row>
    <row r="73" spans="3:9" ht="19.95" customHeight="1" x14ac:dyDescent="0.3">
      <c r="C73" s="38"/>
      <c r="D73" s="39"/>
      <c r="E73" s="39"/>
      <c r="F73" s="40"/>
      <c r="G73" s="41"/>
      <c r="H73" s="39" t="e">
        <f>MONTH(Libro_Diario[[#This Row],[Fecha]])</f>
        <v>#VALUE!</v>
      </c>
      <c r="I73" s="39" t="e">
        <f>YEAR(Libro_Diario[[#This Row],[Fecha]])</f>
        <v>#VALUE!</v>
      </c>
    </row>
    <row r="74" spans="3:9" x14ac:dyDescent="0.3">
      <c r="C74" s="38"/>
      <c r="D74" s="39"/>
      <c r="E74" s="39"/>
      <c r="F74" s="40"/>
      <c r="G74" s="41"/>
      <c r="H74" s="39" t="e">
        <f>MONTH(Libro_Diario[[#This Row],[Fecha]])</f>
        <v>#VALUE!</v>
      </c>
      <c r="I74" s="39" t="e">
        <f>YEAR(Libro_Diario[[#This Row],[Fecha]])</f>
        <v>#VALUE!</v>
      </c>
    </row>
    <row r="75" spans="3:9" x14ac:dyDescent="0.3">
      <c r="C75" s="38"/>
      <c r="D75" s="39"/>
      <c r="E75" s="39"/>
      <c r="F75" s="40"/>
      <c r="G75" s="41"/>
      <c r="H75" s="39" t="e">
        <f>MONTH(Libro_Diario[[#This Row],[Fecha]])</f>
        <v>#VALUE!</v>
      </c>
      <c r="I75" s="39" t="e">
        <f>YEAR(Libro_Diario[[#This Row],[Fecha]])</f>
        <v>#VALUE!</v>
      </c>
    </row>
    <row r="76" spans="3:9" x14ac:dyDescent="0.3">
      <c r="C76" s="38"/>
      <c r="D76" s="39"/>
      <c r="E76" s="39"/>
      <c r="F76" s="40"/>
      <c r="G76" s="41"/>
      <c r="H76" s="39" t="e">
        <f>MONTH(Libro_Diario[[#This Row],[Fecha]])</f>
        <v>#VALUE!</v>
      </c>
      <c r="I76" s="39" t="e">
        <f>YEAR(Libro_Diario[[#This Row],[Fecha]])</f>
        <v>#VALUE!</v>
      </c>
    </row>
    <row r="77" spans="3:9" x14ac:dyDescent="0.3">
      <c r="C77" s="38"/>
      <c r="D77" s="39"/>
      <c r="E77" s="39"/>
      <c r="F77" s="40"/>
      <c r="G77" s="41"/>
      <c r="H77" s="39" t="e">
        <f>MONTH(Libro_Diario[[#This Row],[Fecha]])</f>
        <v>#VALUE!</v>
      </c>
      <c r="I77" s="39" t="e">
        <f>YEAR(Libro_Diario[[#This Row],[Fecha]])</f>
        <v>#VALUE!</v>
      </c>
    </row>
    <row r="78" spans="3:9" x14ac:dyDescent="0.3">
      <c r="C78" s="38"/>
      <c r="D78" s="39"/>
      <c r="E78" s="39"/>
      <c r="F78" s="40"/>
      <c r="G78" s="41"/>
      <c r="H78" s="39" t="e">
        <f>MONTH(Libro_Diario[[#This Row],[Fecha]])</f>
        <v>#VALUE!</v>
      </c>
      <c r="I78" s="39" t="e">
        <f>YEAR(Libro_Diario[[#This Row],[Fecha]])</f>
        <v>#VALUE!</v>
      </c>
    </row>
    <row r="79" spans="3:9" x14ac:dyDescent="0.3">
      <c r="C79" s="38"/>
      <c r="D79" s="39"/>
      <c r="E79" s="39"/>
      <c r="F79" s="40"/>
      <c r="G79" s="41"/>
      <c r="H79" s="39" t="e">
        <f>MONTH(Libro_Diario[[#This Row],[Fecha]])</f>
        <v>#VALUE!</v>
      </c>
      <c r="I79" s="39" t="e">
        <f>YEAR(Libro_Diario[[#This Row],[Fecha]])</f>
        <v>#VALUE!</v>
      </c>
    </row>
    <row r="80" spans="3:9" x14ac:dyDescent="0.3">
      <c r="C80" s="38"/>
      <c r="D80" s="39"/>
      <c r="E80" s="39"/>
      <c r="F80" s="40"/>
      <c r="G80" s="41"/>
      <c r="H80" s="39" t="e">
        <f>MONTH(Libro_Diario[[#This Row],[Fecha]])</f>
        <v>#VALUE!</v>
      </c>
      <c r="I80" s="39" t="e">
        <f>YEAR(Libro_Diario[[#This Row],[Fecha]])</f>
        <v>#VALUE!</v>
      </c>
    </row>
    <row r="81" spans="3:9" x14ac:dyDescent="0.3">
      <c r="C81" s="38"/>
      <c r="D81" s="39"/>
      <c r="E81" s="39"/>
      <c r="F81" s="40"/>
      <c r="G81" s="41"/>
      <c r="H81" s="39" t="e">
        <f>MONTH(Libro_Diario[[#This Row],[Fecha]])</f>
        <v>#VALUE!</v>
      </c>
      <c r="I81" s="39" t="e">
        <f>YEAR(Libro_Diario[[#This Row],[Fecha]])</f>
        <v>#VALUE!</v>
      </c>
    </row>
    <row r="82" spans="3:9" x14ac:dyDescent="0.3">
      <c r="C82" s="38"/>
      <c r="D82" s="39"/>
      <c r="E82" s="39"/>
      <c r="F82" s="40"/>
      <c r="G82" s="41"/>
      <c r="H82" s="39" t="e">
        <f>MONTH(Libro_Diario[[#This Row],[Fecha]])</f>
        <v>#VALUE!</v>
      </c>
      <c r="I82" s="39" t="e">
        <f>YEAR(Libro_Diario[[#This Row],[Fecha]])</f>
        <v>#VALUE!</v>
      </c>
    </row>
    <row r="83" spans="3:9" x14ac:dyDescent="0.3">
      <c r="C83" s="38"/>
      <c r="D83" s="39"/>
      <c r="E83" s="39"/>
      <c r="F83" s="40"/>
      <c r="G83" s="41"/>
      <c r="H83" s="39" t="e">
        <f>MONTH(Libro_Diario[[#This Row],[Fecha]])</f>
        <v>#VALUE!</v>
      </c>
      <c r="I83" s="39" t="e">
        <f>YEAR(Libro_Diario[[#This Row],[Fecha]])</f>
        <v>#VALUE!</v>
      </c>
    </row>
    <row r="84" spans="3:9" x14ac:dyDescent="0.3">
      <c r="C84" s="38"/>
      <c r="D84" s="39"/>
      <c r="E84" s="39"/>
      <c r="F84" s="40"/>
      <c r="G84" s="41"/>
      <c r="H84" s="39" t="e">
        <f>MONTH(Libro_Diario[[#This Row],[Fecha]])</f>
        <v>#VALUE!</v>
      </c>
      <c r="I84" s="39" t="e">
        <f>YEAR(Libro_Diario[[#This Row],[Fecha]])</f>
        <v>#VALUE!</v>
      </c>
    </row>
    <row r="85" spans="3:9" x14ac:dyDescent="0.3">
      <c r="C85" s="38"/>
      <c r="D85" s="39"/>
      <c r="E85" s="39"/>
      <c r="F85" s="40"/>
      <c r="G85" s="41"/>
      <c r="H85" s="39" t="e">
        <f>MONTH(Libro_Diario[[#This Row],[Fecha]])</f>
        <v>#VALUE!</v>
      </c>
      <c r="I85" s="39" t="e">
        <f>YEAR(Libro_Diario[[#This Row],[Fecha]])</f>
        <v>#VALUE!</v>
      </c>
    </row>
    <row r="86" spans="3:9" x14ac:dyDescent="0.3">
      <c r="C86" s="38"/>
      <c r="D86" s="39"/>
      <c r="E86" s="39"/>
      <c r="F86" s="40"/>
      <c r="G86" s="41"/>
      <c r="H86" s="39" t="e">
        <f>MONTH(Libro_Diario[[#This Row],[Fecha]])</f>
        <v>#VALUE!</v>
      </c>
      <c r="I86" s="39" t="e">
        <f>YEAR(Libro_Diario[[#This Row],[Fecha]])</f>
        <v>#VALUE!</v>
      </c>
    </row>
    <row r="87" spans="3:9" x14ac:dyDescent="0.3">
      <c r="C87" s="38"/>
      <c r="D87" s="39"/>
      <c r="E87" s="39"/>
      <c r="F87" s="40"/>
      <c r="G87" s="41"/>
      <c r="H87" s="39" t="e">
        <f>MONTH(Libro_Diario[[#This Row],[Fecha]])</f>
        <v>#VALUE!</v>
      </c>
      <c r="I87" s="39" t="e">
        <f>YEAR(Libro_Diario[[#This Row],[Fecha]])</f>
        <v>#VALUE!</v>
      </c>
    </row>
    <row r="88" spans="3:9" x14ac:dyDescent="0.3">
      <c r="C88" s="38"/>
      <c r="D88" s="39"/>
      <c r="E88" s="39"/>
      <c r="F88" s="40"/>
      <c r="G88" s="41"/>
      <c r="H88" s="39" t="e">
        <f>MONTH(Libro_Diario[[#This Row],[Fecha]])</f>
        <v>#VALUE!</v>
      </c>
      <c r="I88" s="39" t="e">
        <f>YEAR(Libro_Diario[[#This Row],[Fecha]])</f>
        <v>#VALUE!</v>
      </c>
    </row>
    <row r="89" spans="3:9" x14ac:dyDescent="0.3">
      <c r="C89" s="38"/>
      <c r="D89" s="39"/>
      <c r="E89" s="39"/>
      <c r="F89" s="40"/>
      <c r="G89" s="41"/>
      <c r="H89" s="39" t="e">
        <f>MONTH(Libro_Diario[[#This Row],[Fecha]])</f>
        <v>#VALUE!</v>
      </c>
      <c r="I89" s="39" t="e">
        <f>YEAR(Libro_Diario[[#This Row],[Fecha]])</f>
        <v>#VALUE!</v>
      </c>
    </row>
    <row r="90" spans="3:9" x14ac:dyDescent="0.3">
      <c r="C90" s="38"/>
      <c r="D90" s="39"/>
      <c r="E90" s="39"/>
      <c r="F90" s="40"/>
      <c r="G90" s="41"/>
      <c r="H90" s="39" t="e">
        <f>MONTH(Libro_Diario[[#This Row],[Fecha]])</f>
        <v>#VALUE!</v>
      </c>
      <c r="I90" s="39" t="e">
        <f>YEAR(Libro_Diario[[#This Row],[Fecha]])</f>
        <v>#VALUE!</v>
      </c>
    </row>
    <row r="91" spans="3:9" x14ac:dyDescent="0.3">
      <c r="C91" s="38"/>
      <c r="D91" s="39"/>
      <c r="E91" s="39"/>
      <c r="F91" s="40"/>
      <c r="G91" s="41"/>
      <c r="H91" s="39" t="e">
        <f>MONTH(Libro_Diario[[#This Row],[Fecha]])</f>
        <v>#VALUE!</v>
      </c>
      <c r="I91" s="39" t="e">
        <f>YEAR(Libro_Diario[[#This Row],[Fecha]])</f>
        <v>#VALUE!</v>
      </c>
    </row>
    <row r="92" spans="3:9" x14ac:dyDescent="0.3">
      <c r="C92" s="38"/>
      <c r="D92" s="39"/>
      <c r="E92" s="39"/>
      <c r="F92" s="40"/>
      <c r="G92" s="41"/>
      <c r="H92" s="39" t="e">
        <f>MONTH(Libro_Diario[[#This Row],[Fecha]])</f>
        <v>#VALUE!</v>
      </c>
      <c r="I92" s="39" t="e">
        <f>YEAR(Libro_Diario[[#This Row],[Fecha]])</f>
        <v>#VALUE!</v>
      </c>
    </row>
    <row r="93" spans="3:9" x14ac:dyDescent="0.3">
      <c r="C93" s="38"/>
      <c r="D93" s="39"/>
      <c r="E93" s="39"/>
      <c r="F93" s="40"/>
      <c r="G93" s="41"/>
      <c r="H93" s="39" t="e">
        <f>MONTH(Libro_Diario[[#This Row],[Fecha]])</f>
        <v>#VALUE!</v>
      </c>
      <c r="I93" s="39" t="e">
        <f>YEAR(Libro_Diario[[#This Row],[Fecha]])</f>
        <v>#VALUE!</v>
      </c>
    </row>
    <row r="94" spans="3:9" x14ac:dyDescent="0.3">
      <c r="C94" s="38"/>
      <c r="D94" s="39"/>
      <c r="E94" s="39"/>
      <c r="F94" s="40"/>
      <c r="G94" s="41"/>
      <c r="H94" s="39" t="e">
        <f>MONTH(Libro_Diario[[#This Row],[Fecha]])</f>
        <v>#VALUE!</v>
      </c>
      <c r="I94" s="39" t="e">
        <f>YEAR(Libro_Diario[[#This Row],[Fecha]])</f>
        <v>#VALUE!</v>
      </c>
    </row>
    <row r="95" spans="3:9" x14ac:dyDescent="0.3">
      <c r="C95" s="38"/>
      <c r="D95" s="39"/>
      <c r="E95" s="39"/>
      <c r="F95" s="40"/>
      <c r="G95" s="41"/>
      <c r="H95" s="39" t="e">
        <f>MONTH(Libro_Diario[[#This Row],[Fecha]])</f>
        <v>#VALUE!</v>
      </c>
      <c r="I95" s="39" t="e">
        <f>YEAR(Libro_Diario[[#This Row],[Fecha]])</f>
        <v>#VALUE!</v>
      </c>
    </row>
    <row r="96" spans="3:9" x14ac:dyDescent="0.3">
      <c r="C96" s="38"/>
      <c r="D96" s="39"/>
      <c r="E96" s="39"/>
      <c r="F96" s="40"/>
      <c r="G96" s="41"/>
      <c r="H96" s="39" t="e">
        <f>MONTH(Libro_Diario[[#This Row],[Fecha]])</f>
        <v>#VALUE!</v>
      </c>
      <c r="I96" s="39" t="e">
        <f>YEAR(Libro_Diario[[#This Row],[Fecha]])</f>
        <v>#VALUE!</v>
      </c>
    </row>
    <row r="97" spans="3:9" x14ac:dyDescent="0.3">
      <c r="C97" s="38"/>
      <c r="D97" s="39"/>
      <c r="E97" s="39"/>
      <c r="F97" s="40"/>
      <c r="G97" s="41"/>
      <c r="H97" s="39" t="e">
        <f>MONTH(Libro_Diario[[#This Row],[Fecha]])</f>
        <v>#VALUE!</v>
      </c>
      <c r="I97" s="39" t="e">
        <f>YEAR(Libro_Diario[[#This Row],[Fecha]])</f>
        <v>#VALUE!</v>
      </c>
    </row>
    <row r="98" spans="3:9" x14ac:dyDescent="0.3">
      <c r="C98" s="38"/>
      <c r="D98" s="39"/>
      <c r="E98" s="39"/>
      <c r="F98" s="40"/>
      <c r="G98" s="41"/>
      <c r="H98" s="39" t="e">
        <f>MONTH(Libro_Diario[[#This Row],[Fecha]])</f>
        <v>#VALUE!</v>
      </c>
      <c r="I98" s="39" t="e">
        <f>YEAR(Libro_Diario[[#This Row],[Fecha]])</f>
        <v>#VALUE!</v>
      </c>
    </row>
    <row r="99" spans="3:9" x14ac:dyDescent="0.3">
      <c r="C99" s="38"/>
      <c r="D99" s="39"/>
      <c r="E99" s="39"/>
      <c r="F99" s="40"/>
      <c r="G99" s="41"/>
      <c r="H99" s="39" t="e">
        <f>MONTH(Libro_Diario[[#This Row],[Fecha]])</f>
        <v>#VALUE!</v>
      </c>
      <c r="I99" s="39" t="e">
        <f>YEAR(Libro_Diario[[#This Row],[Fecha]])</f>
        <v>#VALUE!</v>
      </c>
    </row>
    <row r="100" spans="3:9" x14ac:dyDescent="0.3">
      <c r="C100" s="38"/>
      <c r="D100" s="39"/>
      <c r="E100" s="39"/>
      <c r="F100" s="40"/>
      <c r="G100" s="41"/>
      <c r="H100" s="39" t="e">
        <f>MONTH(Libro_Diario[[#This Row],[Fecha]])</f>
        <v>#VALUE!</v>
      </c>
      <c r="I100" s="39" t="e">
        <f>YEAR(Libro_Diario[[#This Row],[Fecha]])</f>
        <v>#VALUE!</v>
      </c>
    </row>
    <row r="101" spans="3:9" x14ac:dyDescent="0.3">
      <c r="C101" s="38"/>
      <c r="D101" s="39"/>
      <c r="E101" s="39"/>
      <c r="F101" s="40"/>
      <c r="G101" s="41"/>
      <c r="H101" s="39" t="e">
        <f>MONTH(Libro_Diario[[#This Row],[Fecha]])</f>
        <v>#VALUE!</v>
      </c>
      <c r="I101" s="39" t="e">
        <f>YEAR(Libro_Diario[[#This Row],[Fecha]])</f>
        <v>#VALUE!</v>
      </c>
    </row>
    <row r="102" spans="3:9" x14ac:dyDescent="0.3">
      <c r="C102" s="38"/>
      <c r="D102" s="39"/>
      <c r="E102" s="39"/>
      <c r="F102" s="40"/>
      <c r="G102" s="41"/>
      <c r="H102" s="39" t="e">
        <f>MONTH(Libro_Diario[[#This Row],[Fecha]])</f>
        <v>#VALUE!</v>
      </c>
      <c r="I102" s="39" t="e">
        <f>YEAR(Libro_Diario[[#This Row],[Fecha]])</f>
        <v>#VALUE!</v>
      </c>
    </row>
    <row r="103" spans="3:9" x14ac:dyDescent="0.3">
      <c r="C103" s="38"/>
      <c r="D103" s="39"/>
      <c r="E103" s="39"/>
      <c r="F103" s="40"/>
      <c r="G103" s="41"/>
      <c r="H103" s="39" t="e">
        <f>MONTH(Libro_Diario[[#This Row],[Fecha]])</f>
        <v>#VALUE!</v>
      </c>
      <c r="I103" s="39" t="e">
        <f>YEAR(Libro_Diario[[#This Row],[Fecha]])</f>
        <v>#VALUE!</v>
      </c>
    </row>
    <row r="104" spans="3:9" x14ac:dyDescent="0.3">
      <c r="C104" s="38"/>
      <c r="D104" s="39"/>
      <c r="E104" s="39"/>
      <c r="F104" s="40"/>
      <c r="G104" s="41"/>
      <c r="H104" s="39" t="e">
        <f>MONTH(Libro_Diario[[#This Row],[Fecha]])</f>
        <v>#VALUE!</v>
      </c>
      <c r="I104" s="39" t="e">
        <f>YEAR(Libro_Diario[[#This Row],[Fecha]])</f>
        <v>#VALUE!</v>
      </c>
    </row>
    <row r="105" spans="3:9" x14ac:dyDescent="0.3">
      <c r="C105" s="38"/>
      <c r="D105" s="39"/>
      <c r="E105" s="39"/>
      <c r="F105" s="40"/>
      <c r="G105" s="41"/>
      <c r="H105" s="39" t="e">
        <f>MONTH(Libro_Diario[[#This Row],[Fecha]])</f>
        <v>#VALUE!</v>
      </c>
      <c r="I105" s="39" t="e">
        <f>YEAR(Libro_Diario[[#This Row],[Fecha]])</f>
        <v>#VALUE!</v>
      </c>
    </row>
    <row r="106" spans="3:9" x14ac:dyDescent="0.3">
      <c r="C106" s="38"/>
      <c r="D106" s="39"/>
      <c r="E106" s="39"/>
      <c r="F106" s="40"/>
      <c r="G106" s="41"/>
      <c r="H106" s="39" t="e">
        <f>MONTH(Libro_Diario[[#This Row],[Fecha]])</f>
        <v>#VALUE!</v>
      </c>
      <c r="I106" s="39" t="e">
        <f>YEAR(Libro_Diario[[#This Row],[Fecha]])</f>
        <v>#VALUE!</v>
      </c>
    </row>
    <row r="107" spans="3:9" x14ac:dyDescent="0.3">
      <c r="C107" s="38"/>
      <c r="D107" s="39"/>
      <c r="E107" s="39"/>
      <c r="F107" s="40"/>
      <c r="G107" s="41"/>
      <c r="H107" s="39" t="e">
        <f>MONTH(Libro_Diario[[#This Row],[Fecha]])</f>
        <v>#VALUE!</v>
      </c>
      <c r="I107" s="39" t="e">
        <f>YEAR(Libro_Diario[[#This Row],[Fecha]])</f>
        <v>#VALUE!</v>
      </c>
    </row>
    <row r="108" spans="3:9" x14ac:dyDescent="0.3">
      <c r="C108" s="38"/>
      <c r="D108" s="39"/>
      <c r="E108" s="39"/>
      <c r="F108" s="40"/>
      <c r="G108" s="41"/>
      <c r="H108" s="39" t="e">
        <f>MONTH(Libro_Diario[[#This Row],[Fecha]])</f>
        <v>#VALUE!</v>
      </c>
      <c r="I108" s="39" t="e">
        <f>YEAR(Libro_Diario[[#This Row],[Fecha]])</f>
        <v>#VALUE!</v>
      </c>
    </row>
    <row r="109" spans="3:9" x14ac:dyDescent="0.3">
      <c r="C109" s="38"/>
      <c r="D109" s="39"/>
      <c r="E109" s="39"/>
      <c r="F109" s="40"/>
      <c r="G109" s="41"/>
      <c r="H109" s="39" t="e">
        <f>MONTH(Libro_Diario[[#This Row],[Fecha]])</f>
        <v>#VALUE!</v>
      </c>
      <c r="I109" s="39" t="e">
        <f>YEAR(Libro_Diario[[#This Row],[Fecha]])</f>
        <v>#VALUE!</v>
      </c>
    </row>
    <row r="110" spans="3:9" x14ac:dyDescent="0.3">
      <c r="C110" s="38"/>
      <c r="D110" s="39"/>
      <c r="E110" s="39"/>
      <c r="F110" s="40"/>
      <c r="G110" s="41"/>
      <c r="H110" s="39" t="e">
        <f>MONTH(Libro_Diario[[#This Row],[Fecha]])</f>
        <v>#VALUE!</v>
      </c>
      <c r="I110" s="39" t="e">
        <f>YEAR(Libro_Diario[[#This Row],[Fecha]])</f>
        <v>#VALUE!</v>
      </c>
    </row>
    <row r="111" spans="3:9" x14ac:dyDescent="0.3">
      <c r="C111" s="38"/>
      <c r="D111" s="39"/>
      <c r="E111" s="39"/>
      <c r="F111" s="40"/>
      <c r="G111" s="41"/>
      <c r="H111" s="39" t="e">
        <f>MONTH(Libro_Diario[[#This Row],[Fecha]])</f>
        <v>#VALUE!</v>
      </c>
      <c r="I111" s="39" t="e">
        <f>YEAR(Libro_Diario[[#This Row],[Fecha]])</f>
        <v>#VALUE!</v>
      </c>
    </row>
    <row r="112" spans="3:9" x14ac:dyDescent="0.3">
      <c r="C112" s="38"/>
      <c r="D112" s="39"/>
      <c r="E112" s="39"/>
      <c r="F112" s="40"/>
      <c r="G112" s="41"/>
      <c r="H112" s="39" t="e">
        <f>MONTH(Libro_Diario[[#This Row],[Fecha]])</f>
        <v>#VALUE!</v>
      </c>
      <c r="I112" s="39" t="e">
        <f>YEAR(Libro_Diario[[#This Row],[Fecha]])</f>
        <v>#VALUE!</v>
      </c>
    </row>
    <row r="113" spans="3:9" x14ac:dyDescent="0.3">
      <c r="C113" s="38"/>
      <c r="D113" s="39"/>
      <c r="E113" s="39"/>
      <c r="F113" s="40"/>
      <c r="G113" s="41"/>
      <c r="H113" s="39" t="e">
        <f>MONTH(Libro_Diario[[#This Row],[Fecha]])</f>
        <v>#VALUE!</v>
      </c>
      <c r="I113" s="39" t="e">
        <f>YEAR(Libro_Diario[[#This Row],[Fecha]])</f>
        <v>#VALUE!</v>
      </c>
    </row>
    <row r="114" spans="3:9" x14ac:dyDescent="0.3">
      <c r="C114" s="38"/>
      <c r="D114" s="39"/>
      <c r="E114" s="39"/>
      <c r="F114" s="40"/>
      <c r="G114" s="41"/>
      <c r="H114" s="39" t="e">
        <f>MONTH(Libro_Diario[[#This Row],[Fecha]])</f>
        <v>#VALUE!</v>
      </c>
      <c r="I114" s="39" t="e">
        <f>YEAR(Libro_Diario[[#This Row],[Fecha]])</f>
        <v>#VALUE!</v>
      </c>
    </row>
    <row r="115" spans="3:9" x14ac:dyDescent="0.3">
      <c r="C115" s="38"/>
      <c r="D115" s="39"/>
      <c r="E115" s="39"/>
      <c r="F115" s="40"/>
      <c r="G115" s="41"/>
      <c r="H115" s="39" t="e">
        <f>MONTH(Libro_Diario[[#This Row],[Fecha]])</f>
        <v>#VALUE!</v>
      </c>
      <c r="I115" s="39" t="e">
        <f>YEAR(Libro_Diario[[#This Row],[Fecha]])</f>
        <v>#VALUE!</v>
      </c>
    </row>
    <row r="116" spans="3:9" x14ac:dyDescent="0.3">
      <c r="C116" s="38"/>
      <c r="D116" s="39"/>
      <c r="E116" s="39"/>
      <c r="F116" s="40"/>
      <c r="G116" s="41"/>
      <c r="H116" s="39" t="e">
        <f>MONTH(Libro_Diario[[#This Row],[Fecha]])</f>
        <v>#VALUE!</v>
      </c>
      <c r="I116" s="39" t="e">
        <f>YEAR(Libro_Diario[[#This Row],[Fecha]])</f>
        <v>#VALUE!</v>
      </c>
    </row>
    <row r="117" spans="3:9" x14ac:dyDescent="0.3">
      <c r="C117" s="38"/>
      <c r="D117" s="39"/>
      <c r="E117" s="39"/>
      <c r="F117" s="40"/>
      <c r="G117" s="41"/>
      <c r="H117" s="39" t="e">
        <f>MONTH(Libro_Diario[[#This Row],[Fecha]])</f>
        <v>#VALUE!</v>
      </c>
      <c r="I117" s="39" t="e">
        <f>YEAR(Libro_Diario[[#This Row],[Fecha]])</f>
        <v>#VALUE!</v>
      </c>
    </row>
    <row r="118" spans="3:9" x14ac:dyDescent="0.3">
      <c r="C118" s="38"/>
      <c r="D118" s="39"/>
      <c r="E118" s="39"/>
      <c r="F118" s="40"/>
      <c r="G118" s="41"/>
      <c r="H118" s="39" t="e">
        <f>MONTH(Libro_Diario[[#This Row],[Fecha]])</f>
        <v>#VALUE!</v>
      </c>
      <c r="I118" s="39" t="e">
        <f>YEAR(Libro_Diario[[#This Row],[Fecha]])</f>
        <v>#VALUE!</v>
      </c>
    </row>
    <row r="119" spans="3:9" x14ac:dyDescent="0.3">
      <c r="C119" s="38"/>
      <c r="D119" s="39"/>
      <c r="E119" s="39"/>
      <c r="F119" s="40"/>
      <c r="G119" s="41"/>
      <c r="H119" s="39" t="e">
        <f>MONTH(Libro_Diario[[#This Row],[Fecha]])</f>
        <v>#VALUE!</v>
      </c>
      <c r="I119" s="39" t="e">
        <f>YEAR(Libro_Diario[[#This Row],[Fecha]])</f>
        <v>#VALUE!</v>
      </c>
    </row>
    <row r="120" spans="3:9" x14ac:dyDescent="0.3">
      <c r="C120" s="38"/>
      <c r="D120" s="39"/>
      <c r="E120" s="39"/>
      <c r="F120" s="40"/>
      <c r="G120" s="41"/>
      <c r="H120" s="39" t="e">
        <f>MONTH(Libro_Diario[[#This Row],[Fecha]])</f>
        <v>#VALUE!</v>
      </c>
      <c r="I120" s="39" t="e">
        <f>YEAR(Libro_Diario[[#This Row],[Fecha]])</f>
        <v>#VALUE!</v>
      </c>
    </row>
    <row r="121" spans="3:9" x14ac:dyDescent="0.3">
      <c r="C121" s="38"/>
      <c r="D121" s="39"/>
      <c r="E121" s="39"/>
      <c r="F121" s="40"/>
      <c r="G121" s="41"/>
      <c r="H121" s="39" t="e">
        <f>MONTH(Libro_Diario[[#This Row],[Fecha]])</f>
        <v>#VALUE!</v>
      </c>
      <c r="I121" s="39" t="e">
        <f>YEAR(Libro_Diario[[#This Row],[Fecha]])</f>
        <v>#VALUE!</v>
      </c>
    </row>
    <row r="122" spans="3:9" x14ac:dyDescent="0.3">
      <c r="C122" s="38"/>
      <c r="D122" s="39"/>
      <c r="E122" s="39"/>
      <c r="F122" s="40"/>
      <c r="G122" s="41"/>
      <c r="H122" s="39" t="e">
        <f>MONTH(Libro_Diario[[#This Row],[Fecha]])</f>
        <v>#VALUE!</v>
      </c>
      <c r="I122" s="39" t="e">
        <f>YEAR(Libro_Diario[[#This Row],[Fecha]])</f>
        <v>#VALUE!</v>
      </c>
    </row>
    <row r="123" spans="3:9" x14ac:dyDescent="0.3">
      <c r="C123" s="38"/>
      <c r="D123" s="39"/>
      <c r="E123" s="39"/>
      <c r="F123" s="40"/>
      <c r="G123" s="41"/>
      <c r="H123" s="39" t="e">
        <f>MONTH(Libro_Diario[[#This Row],[Fecha]])</f>
        <v>#VALUE!</v>
      </c>
      <c r="I123" s="39" t="e">
        <f>YEAR(Libro_Diario[[#This Row],[Fecha]])</f>
        <v>#VALUE!</v>
      </c>
    </row>
    <row r="124" spans="3:9" x14ac:dyDescent="0.3">
      <c r="C124" s="38"/>
      <c r="D124" s="39"/>
      <c r="E124" s="39"/>
      <c r="F124" s="40"/>
      <c r="G124" s="41"/>
      <c r="H124" s="39" t="e">
        <f>MONTH(Libro_Diario[[#This Row],[Fecha]])</f>
        <v>#VALUE!</v>
      </c>
      <c r="I124" s="39" t="e">
        <f>YEAR(Libro_Diario[[#This Row],[Fecha]])</f>
        <v>#VALUE!</v>
      </c>
    </row>
    <row r="125" spans="3:9" x14ac:dyDescent="0.3">
      <c r="C125" s="38"/>
      <c r="D125" s="39"/>
      <c r="E125" s="39"/>
      <c r="F125" s="40"/>
      <c r="G125" s="41"/>
      <c r="H125" s="39" t="e">
        <f>MONTH(Libro_Diario[[#This Row],[Fecha]])</f>
        <v>#VALUE!</v>
      </c>
      <c r="I125" s="39" t="e">
        <f>YEAR(Libro_Diario[[#This Row],[Fecha]])</f>
        <v>#VALUE!</v>
      </c>
    </row>
    <row r="126" spans="3:9" x14ac:dyDescent="0.3">
      <c r="C126" s="38"/>
      <c r="D126" s="39"/>
      <c r="E126" s="39"/>
      <c r="F126" s="40"/>
      <c r="G126" s="41"/>
      <c r="H126" s="39" t="e">
        <f>MONTH(Libro_Diario[[#This Row],[Fecha]])</f>
        <v>#VALUE!</v>
      </c>
      <c r="I126" s="39" t="e">
        <f>YEAR(Libro_Diario[[#This Row],[Fecha]])</f>
        <v>#VALUE!</v>
      </c>
    </row>
    <row r="127" spans="3:9" x14ac:dyDescent="0.3">
      <c r="C127" s="38"/>
      <c r="D127" s="39"/>
      <c r="E127" s="39"/>
      <c r="F127" s="40"/>
      <c r="G127" s="41"/>
      <c r="H127" s="39" t="e">
        <f>MONTH(Libro_Diario[[#This Row],[Fecha]])</f>
        <v>#VALUE!</v>
      </c>
      <c r="I127" s="39" t="e">
        <f>YEAR(Libro_Diario[[#This Row],[Fecha]])</f>
        <v>#VALUE!</v>
      </c>
    </row>
    <row r="128" spans="3:9" x14ac:dyDescent="0.3">
      <c r="C128" s="38"/>
      <c r="D128" s="39"/>
      <c r="E128" s="39"/>
      <c r="F128" s="40"/>
      <c r="G128" s="41"/>
      <c r="H128" s="39" t="e">
        <f>MONTH(Libro_Diario[[#This Row],[Fecha]])</f>
        <v>#VALUE!</v>
      </c>
      <c r="I128" s="39" t="e">
        <f>YEAR(Libro_Diario[[#This Row],[Fecha]])</f>
        <v>#VALUE!</v>
      </c>
    </row>
    <row r="129" spans="3:9" x14ac:dyDescent="0.3">
      <c r="C129" s="38"/>
      <c r="D129" s="39"/>
      <c r="E129" s="39"/>
      <c r="F129" s="40"/>
      <c r="G129" s="41"/>
      <c r="H129" s="39" t="e">
        <f>MONTH(Libro_Diario[[#This Row],[Fecha]])</f>
        <v>#VALUE!</v>
      </c>
      <c r="I129" s="39" t="e">
        <f>YEAR(Libro_Diario[[#This Row],[Fecha]])</f>
        <v>#VALUE!</v>
      </c>
    </row>
    <row r="130" spans="3:9" x14ac:dyDescent="0.3">
      <c r="C130" s="38"/>
      <c r="D130" s="39"/>
      <c r="E130" s="39"/>
      <c r="F130" s="40"/>
      <c r="G130" s="41"/>
      <c r="H130" s="39" t="e">
        <f>MONTH(Libro_Diario[[#This Row],[Fecha]])</f>
        <v>#VALUE!</v>
      </c>
      <c r="I130" s="39" t="e">
        <f>YEAR(Libro_Diario[[#This Row],[Fecha]])</f>
        <v>#VALUE!</v>
      </c>
    </row>
    <row r="131" spans="3:9" x14ac:dyDescent="0.3">
      <c r="C131" s="38"/>
      <c r="D131" s="39"/>
      <c r="E131" s="39"/>
      <c r="F131" s="40"/>
      <c r="G131" s="41"/>
      <c r="H131" s="39" t="e">
        <f>MONTH(Libro_Diario[[#This Row],[Fecha]])</f>
        <v>#VALUE!</v>
      </c>
      <c r="I131" s="39" t="e">
        <f>YEAR(Libro_Diario[[#This Row],[Fecha]])</f>
        <v>#VALUE!</v>
      </c>
    </row>
    <row r="132" spans="3:9" x14ac:dyDescent="0.3">
      <c r="C132" s="38"/>
      <c r="D132" s="39"/>
      <c r="E132" s="39"/>
      <c r="F132" s="40"/>
      <c r="G132" s="41"/>
      <c r="H132" s="39" t="e">
        <f>MONTH(Libro_Diario[[#This Row],[Fecha]])</f>
        <v>#VALUE!</v>
      </c>
      <c r="I132" s="39" t="e">
        <f>YEAR(Libro_Diario[[#This Row],[Fecha]])</f>
        <v>#VALUE!</v>
      </c>
    </row>
    <row r="133" spans="3:9" x14ac:dyDescent="0.3">
      <c r="C133" s="38"/>
      <c r="D133" s="39"/>
      <c r="E133" s="39"/>
      <c r="F133" s="40"/>
      <c r="G133" s="41"/>
      <c r="H133" s="39" t="e">
        <f>MONTH(Libro_Diario[[#This Row],[Fecha]])</f>
        <v>#VALUE!</v>
      </c>
      <c r="I133" s="39" t="e">
        <f>YEAR(Libro_Diario[[#This Row],[Fecha]])</f>
        <v>#VALUE!</v>
      </c>
    </row>
    <row r="134" spans="3:9" x14ac:dyDescent="0.3">
      <c r="C134" s="38"/>
      <c r="D134" s="39"/>
      <c r="E134" s="39"/>
      <c r="F134" s="40"/>
      <c r="G134" s="41"/>
      <c r="H134" s="39" t="e">
        <f>MONTH(Libro_Diario[[#This Row],[Fecha]])</f>
        <v>#VALUE!</v>
      </c>
      <c r="I134" s="39" t="e">
        <f>YEAR(Libro_Diario[[#This Row],[Fecha]])</f>
        <v>#VALUE!</v>
      </c>
    </row>
    <row r="135" spans="3:9" x14ac:dyDescent="0.3">
      <c r="C135" s="38"/>
      <c r="D135" s="39"/>
      <c r="E135" s="39"/>
      <c r="F135" s="40"/>
      <c r="G135" s="41"/>
      <c r="H135" s="39" t="e">
        <f>MONTH(Libro_Diario[[#This Row],[Fecha]])</f>
        <v>#VALUE!</v>
      </c>
      <c r="I135" s="39" t="e">
        <f>YEAR(Libro_Diario[[#This Row],[Fecha]])</f>
        <v>#VALUE!</v>
      </c>
    </row>
    <row r="136" spans="3:9" x14ac:dyDescent="0.3">
      <c r="C136" s="38"/>
      <c r="D136" s="39"/>
      <c r="E136" s="39"/>
      <c r="F136" s="40"/>
      <c r="G136" s="41"/>
      <c r="H136" s="39" t="e">
        <f>MONTH(Libro_Diario[[#This Row],[Fecha]])</f>
        <v>#VALUE!</v>
      </c>
      <c r="I136" s="39" t="e">
        <f>YEAR(Libro_Diario[[#This Row],[Fecha]])</f>
        <v>#VALUE!</v>
      </c>
    </row>
    <row r="137" spans="3:9" x14ac:dyDescent="0.3">
      <c r="C137" s="38"/>
      <c r="D137" s="39"/>
      <c r="E137" s="39"/>
      <c r="F137" s="40"/>
      <c r="G137" s="41"/>
      <c r="H137" s="39" t="e">
        <f>MONTH(Libro_Diario[[#This Row],[Fecha]])</f>
        <v>#VALUE!</v>
      </c>
      <c r="I137" s="39" t="e">
        <f>YEAR(Libro_Diario[[#This Row],[Fecha]])</f>
        <v>#VALUE!</v>
      </c>
    </row>
    <row r="138" spans="3:9" x14ac:dyDescent="0.3">
      <c r="C138" s="38"/>
      <c r="D138" s="39"/>
      <c r="E138" s="39"/>
      <c r="F138" s="40"/>
      <c r="G138" s="41"/>
      <c r="H138" s="39" t="e">
        <f>MONTH(Libro_Diario[[#This Row],[Fecha]])</f>
        <v>#VALUE!</v>
      </c>
      <c r="I138" s="39" t="e">
        <f>YEAR(Libro_Diario[[#This Row],[Fecha]])</f>
        <v>#VALUE!</v>
      </c>
    </row>
    <row r="139" spans="3:9" x14ac:dyDescent="0.3">
      <c r="C139" s="38"/>
      <c r="D139" s="39"/>
      <c r="E139" s="39"/>
      <c r="F139" s="40"/>
      <c r="G139" s="41"/>
      <c r="H139" s="39" t="e">
        <f>MONTH(Libro_Diario[[#This Row],[Fecha]])</f>
        <v>#VALUE!</v>
      </c>
      <c r="I139" s="39" t="e">
        <f>YEAR(Libro_Diario[[#This Row],[Fecha]])</f>
        <v>#VALUE!</v>
      </c>
    </row>
    <row r="140" spans="3:9" x14ac:dyDescent="0.3">
      <c r="C140" s="38"/>
      <c r="D140" s="39"/>
      <c r="E140" s="39"/>
      <c r="F140" s="40"/>
      <c r="G140" s="41"/>
      <c r="H140" s="39" t="e">
        <f>MONTH(Libro_Diario[[#This Row],[Fecha]])</f>
        <v>#VALUE!</v>
      </c>
      <c r="I140" s="39" t="e">
        <f>YEAR(Libro_Diario[[#This Row],[Fecha]])</f>
        <v>#VALUE!</v>
      </c>
    </row>
    <row r="141" spans="3:9" x14ac:dyDescent="0.3">
      <c r="C141" s="38"/>
      <c r="D141" s="39"/>
      <c r="E141" s="39"/>
      <c r="F141" s="40"/>
      <c r="G141" s="41"/>
      <c r="H141" s="39" t="e">
        <f>MONTH(Libro_Diario[[#This Row],[Fecha]])</f>
        <v>#VALUE!</v>
      </c>
      <c r="I141" s="39" t="e">
        <f>YEAR(Libro_Diario[[#This Row],[Fecha]])</f>
        <v>#VALUE!</v>
      </c>
    </row>
    <row r="142" spans="3:9" x14ac:dyDescent="0.3">
      <c r="C142" s="38"/>
      <c r="D142" s="39"/>
      <c r="E142" s="39"/>
      <c r="F142" s="40"/>
      <c r="G142" s="41"/>
      <c r="H142" s="39" t="e">
        <f>MONTH(Libro_Diario[[#This Row],[Fecha]])</f>
        <v>#VALUE!</v>
      </c>
      <c r="I142" s="39" t="e">
        <f>YEAR(Libro_Diario[[#This Row],[Fecha]])</f>
        <v>#VALUE!</v>
      </c>
    </row>
    <row r="143" spans="3:9" x14ac:dyDescent="0.3">
      <c r="C143" s="38"/>
      <c r="D143" s="39"/>
      <c r="E143" s="39"/>
      <c r="F143" s="40"/>
      <c r="G143" s="41"/>
      <c r="H143" s="39" t="e">
        <f>MONTH(Libro_Diario[[#This Row],[Fecha]])</f>
        <v>#VALUE!</v>
      </c>
      <c r="I143" s="39" t="e">
        <f>YEAR(Libro_Diario[[#This Row],[Fecha]])</f>
        <v>#VALUE!</v>
      </c>
    </row>
    <row r="144" spans="3:9" x14ac:dyDescent="0.3">
      <c r="C144" s="38"/>
      <c r="D144" s="39"/>
      <c r="E144" s="39"/>
      <c r="F144" s="40"/>
      <c r="G144" s="41"/>
      <c r="H144" s="39" t="e">
        <f>MONTH(Libro_Diario[[#This Row],[Fecha]])</f>
        <v>#VALUE!</v>
      </c>
      <c r="I144" s="39" t="e">
        <f>YEAR(Libro_Diario[[#This Row],[Fecha]])</f>
        <v>#VALUE!</v>
      </c>
    </row>
    <row r="145" spans="3:9" x14ac:dyDescent="0.3">
      <c r="C145" s="38"/>
      <c r="D145" s="39"/>
      <c r="E145" s="39"/>
      <c r="F145" s="40"/>
      <c r="G145" s="41"/>
      <c r="H145" s="39" t="e">
        <f>MONTH(Libro_Diario[[#This Row],[Fecha]])</f>
        <v>#VALUE!</v>
      </c>
      <c r="I145" s="39" t="e">
        <f>YEAR(Libro_Diario[[#This Row],[Fecha]])</f>
        <v>#VALUE!</v>
      </c>
    </row>
    <row r="146" spans="3:9" x14ac:dyDescent="0.3">
      <c r="C146" s="38"/>
      <c r="D146" s="39"/>
      <c r="E146" s="39"/>
      <c r="F146" s="40"/>
      <c r="G146" s="41"/>
      <c r="H146" s="39" t="e">
        <f>MONTH(Libro_Diario[[#This Row],[Fecha]])</f>
        <v>#VALUE!</v>
      </c>
      <c r="I146" s="39" t="e">
        <f>YEAR(Libro_Diario[[#This Row],[Fecha]])</f>
        <v>#VALUE!</v>
      </c>
    </row>
    <row r="147" spans="3:9" x14ac:dyDescent="0.3">
      <c r="C147" s="38"/>
      <c r="D147" s="39"/>
      <c r="E147" s="39"/>
      <c r="F147" s="40"/>
      <c r="G147" s="41"/>
      <c r="H147" s="39" t="e">
        <f>MONTH(Libro_Diario[[#This Row],[Fecha]])</f>
        <v>#VALUE!</v>
      </c>
      <c r="I147" s="39" t="e">
        <f>YEAR(Libro_Diario[[#This Row],[Fecha]])</f>
        <v>#VALUE!</v>
      </c>
    </row>
    <row r="148" spans="3:9" x14ac:dyDescent="0.3">
      <c r="C148" s="38"/>
      <c r="D148" s="39"/>
      <c r="E148" s="39"/>
      <c r="F148" s="40"/>
      <c r="G148" s="41"/>
      <c r="H148" s="39" t="e">
        <f>MONTH(Libro_Diario[[#This Row],[Fecha]])</f>
        <v>#VALUE!</v>
      </c>
      <c r="I148" s="39" t="e">
        <f>YEAR(Libro_Diario[[#This Row],[Fecha]])</f>
        <v>#VALUE!</v>
      </c>
    </row>
    <row r="149" spans="3:9" x14ac:dyDescent="0.3">
      <c r="C149" s="38"/>
      <c r="D149" s="39"/>
      <c r="E149" s="39"/>
      <c r="F149" s="40"/>
      <c r="G149" s="41"/>
      <c r="H149" s="39" t="e">
        <f>MONTH(Libro_Diario[[#This Row],[Fecha]])</f>
        <v>#VALUE!</v>
      </c>
      <c r="I149" s="39" t="e">
        <f>YEAR(Libro_Diario[[#This Row],[Fecha]])</f>
        <v>#VALUE!</v>
      </c>
    </row>
    <row r="150" spans="3:9" x14ac:dyDescent="0.3">
      <c r="C150" s="38"/>
      <c r="D150" s="39"/>
      <c r="E150" s="39"/>
      <c r="F150" s="40"/>
      <c r="G150" s="41"/>
      <c r="H150" s="39" t="e">
        <f>MONTH(Libro_Diario[[#This Row],[Fecha]])</f>
        <v>#VALUE!</v>
      </c>
      <c r="I150" s="39" t="e">
        <f>YEAR(Libro_Diario[[#This Row],[Fecha]])</f>
        <v>#VALUE!</v>
      </c>
    </row>
    <row r="151" spans="3:9" x14ac:dyDescent="0.3">
      <c r="C151" s="38"/>
      <c r="D151" s="39"/>
      <c r="E151" s="39"/>
      <c r="F151" s="40"/>
      <c r="G151" s="41"/>
      <c r="H151" s="39" t="e">
        <f>MONTH(Libro_Diario[[#This Row],[Fecha]])</f>
        <v>#VALUE!</v>
      </c>
      <c r="I151" s="39" t="e">
        <f>YEAR(Libro_Diario[[#This Row],[Fecha]])</f>
        <v>#VALUE!</v>
      </c>
    </row>
    <row r="152" spans="3:9" x14ac:dyDescent="0.3">
      <c r="C152" s="38"/>
      <c r="D152" s="39"/>
      <c r="E152" s="39"/>
      <c r="F152" s="40"/>
      <c r="G152" s="41"/>
      <c r="H152" s="39" t="e">
        <f>MONTH(Libro_Diario[[#This Row],[Fecha]])</f>
        <v>#VALUE!</v>
      </c>
      <c r="I152" s="39" t="e">
        <f>YEAR(Libro_Diario[[#This Row],[Fecha]])</f>
        <v>#VALUE!</v>
      </c>
    </row>
    <row r="153" spans="3:9" x14ac:dyDescent="0.3">
      <c r="C153" s="38"/>
      <c r="D153" s="39"/>
      <c r="E153" s="39"/>
      <c r="F153" s="40"/>
      <c r="G153" s="41"/>
      <c r="H153" s="39" t="e">
        <f>MONTH(Libro_Diario[[#This Row],[Fecha]])</f>
        <v>#VALUE!</v>
      </c>
      <c r="I153" s="39" t="e">
        <f>YEAR(Libro_Diario[[#This Row],[Fecha]])</f>
        <v>#VALUE!</v>
      </c>
    </row>
    <row r="154" spans="3:9" x14ac:dyDescent="0.3">
      <c r="C154" s="38"/>
      <c r="D154" s="39"/>
      <c r="E154" s="39"/>
      <c r="F154" s="40"/>
      <c r="G154" s="41"/>
      <c r="H154" s="39" t="e">
        <f>MONTH(Libro_Diario[[#This Row],[Fecha]])</f>
        <v>#VALUE!</v>
      </c>
      <c r="I154" s="39" t="e">
        <f>YEAR(Libro_Diario[[#This Row],[Fecha]])</f>
        <v>#VALUE!</v>
      </c>
    </row>
    <row r="155" spans="3:9" x14ac:dyDescent="0.3">
      <c r="C155" s="38"/>
      <c r="D155" s="39"/>
      <c r="E155" s="39"/>
      <c r="F155" s="40"/>
      <c r="G155" s="41"/>
      <c r="H155" s="39" t="e">
        <f>MONTH(Libro_Diario[[#This Row],[Fecha]])</f>
        <v>#VALUE!</v>
      </c>
      <c r="I155" s="39" t="e">
        <f>YEAR(Libro_Diario[[#This Row],[Fecha]])</f>
        <v>#VALUE!</v>
      </c>
    </row>
    <row r="156" spans="3:9" x14ac:dyDescent="0.3">
      <c r="C156" s="38"/>
      <c r="D156" s="39"/>
      <c r="E156" s="39"/>
      <c r="F156" s="40"/>
      <c r="G156" s="41"/>
      <c r="H156" s="39" t="e">
        <f>MONTH(Libro_Diario[[#This Row],[Fecha]])</f>
        <v>#VALUE!</v>
      </c>
      <c r="I156" s="39" t="e">
        <f>YEAR(Libro_Diario[[#This Row],[Fecha]])</f>
        <v>#VALUE!</v>
      </c>
    </row>
    <row r="157" spans="3:9" x14ac:dyDescent="0.3">
      <c r="C157" s="38"/>
      <c r="D157" s="39"/>
      <c r="E157" s="39"/>
      <c r="F157" s="40"/>
      <c r="G157" s="41"/>
      <c r="H157" s="39" t="e">
        <f>MONTH(Libro_Diario[[#This Row],[Fecha]])</f>
        <v>#VALUE!</v>
      </c>
      <c r="I157" s="39" t="e">
        <f>YEAR(Libro_Diario[[#This Row],[Fecha]])</f>
        <v>#VALUE!</v>
      </c>
    </row>
    <row r="158" spans="3:9" x14ac:dyDescent="0.3">
      <c r="C158" s="38"/>
      <c r="D158" s="39"/>
      <c r="E158" s="39"/>
      <c r="F158" s="40"/>
      <c r="G158" s="41"/>
      <c r="H158" s="39" t="e">
        <f>MONTH(Libro_Diario[[#This Row],[Fecha]])</f>
        <v>#VALUE!</v>
      </c>
      <c r="I158" s="39" t="e">
        <f>YEAR(Libro_Diario[[#This Row],[Fecha]])</f>
        <v>#VALUE!</v>
      </c>
    </row>
    <row r="159" spans="3:9" x14ac:dyDescent="0.3">
      <c r="C159" s="38"/>
      <c r="D159" s="39"/>
      <c r="E159" s="39"/>
      <c r="F159" s="40"/>
      <c r="G159" s="41"/>
      <c r="H159" s="39" t="e">
        <f>MONTH(Libro_Diario[[#This Row],[Fecha]])</f>
        <v>#VALUE!</v>
      </c>
      <c r="I159" s="39" t="e">
        <f>YEAR(Libro_Diario[[#This Row],[Fecha]])</f>
        <v>#VALUE!</v>
      </c>
    </row>
    <row r="160" spans="3:9" x14ac:dyDescent="0.3">
      <c r="C160" s="38"/>
      <c r="D160" s="39"/>
      <c r="E160" s="39"/>
      <c r="F160" s="40"/>
      <c r="G160" s="41"/>
      <c r="H160" s="39" t="e">
        <f>MONTH(Libro_Diario[[#This Row],[Fecha]])</f>
        <v>#VALUE!</v>
      </c>
      <c r="I160" s="39" t="e">
        <f>YEAR(Libro_Diario[[#This Row],[Fecha]])</f>
        <v>#VALUE!</v>
      </c>
    </row>
    <row r="161" spans="3:9" x14ac:dyDescent="0.3">
      <c r="C161" s="38"/>
      <c r="D161" s="39"/>
      <c r="E161" s="39"/>
      <c r="F161" s="40"/>
      <c r="G161" s="41"/>
      <c r="H161" s="39" t="e">
        <f>MONTH(Libro_Diario[[#This Row],[Fecha]])</f>
        <v>#VALUE!</v>
      </c>
      <c r="I161" s="39" t="e">
        <f>YEAR(Libro_Diario[[#This Row],[Fecha]])</f>
        <v>#VALUE!</v>
      </c>
    </row>
    <row r="162" spans="3:9" x14ac:dyDescent="0.3">
      <c r="C162" s="38"/>
      <c r="D162" s="39"/>
      <c r="E162" s="39"/>
      <c r="F162" s="40"/>
      <c r="G162" s="41"/>
      <c r="H162" s="39" t="e">
        <f>MONTH(Libro_Diario[[#This Row],[Fecha]])</f>
        <v>#VALUE!</v>
      </c>
      <c r="I162" s="39" t="e">
        <f>YEAR(Libro_Diario[[#This Row],[Fecha]])</f>
        <v>#VALUE!</v>
      </c>
    </row>
    <row r="163" spans="3:9" x14ac:dyDescent="0.3">
      <c r="C163" s="38"/>
      <c r="D163" s="39"/>
      <c r="E163" s="39"/>
      <c r="F163" s="40"/>
      <c r="G163" s="41"/>
      <c r="H163" s="39" t="e">
        <f>MONTH(Libro_Diario[[#This Row],[Fecha]])</f>
        <v>#VALUE!</v>
      </c>
      <c r="I163" s="39" t="e">
        <f>YEAR(Libro_Diario[[#This Row],[Fecha]])</f>
        <v>#VALUE!</v>
      </c>
    </row>
    <row r="164" spans="3:9" x14ac:dyDescent="0.3">
      <c r="C164" s="38"/>
      <c r="D164" s="39"/>
      <c r="E164" s="39"/>
      <c r="F164" s="40"/>
      <c r="G164" s="41"/>
      <c r="H164" s="39" t="e">
        <f>MONTH(Libro_Diario[[#This Row],[Fecha]])</f>
        <v>#VALUE!</v>
      </c>
      <c r="I164" s="39" t="e">
        <f>YEAR(Libro_Diario[[#This Row],[Fecha]])</f>
        <v>#VALUE!</v>
      </c>
    </row>
    <row r="165" spans="3:9" x14ac:dyDescent="0.3">
      <c r="C165" s="38"/>
      <c r="D165" s="39"/>
      <c r="E165" s="39"/>
      <c r="F165" s="40"/>
      <c r="G165" s="41"/>
      <c r="H165" s="39" t="e">
        <f>MONTH(Libro_Diario[[#This Row],[Fecha]])</f>
        <v>#VALUE!</v>
      </c>
      <c r="I165" s="39" t="e">
        <f>YEAR(Libro_Diario[[#This Row],[Fecha]])</f>
        <v>#VALUE!</v>
      </c>
    </row>
    <row r="166" spans="3:9" x14ac:dyDescent="0.3">
      <c r="C166" s="38"/>
      <c r="D166" s="39"/>
      <c r="E166" s="39"/>
      <c r="F166" s="40"/>
      <c r="G166" s="41"/>
      <c r="H166" s="39" t="e">
        <f>MONTH(Libro_Diario[[#This Row],[Fecha]])</f>
        <v>#VALUE!</v>
      </c>
      <c r="I166" s="39" t="e">
        <f>YEAR(Libro_Diario[[#This Row],[Fecha]])</f>
        <v>#VALUE!</v>
      </c>
    </row>
    <row r="167" spans="3:9" x14ac:dyDescent="0.3">
      <c r="C167" s="38"/>
      <c r="D167" s="39"/>
      <c r="E167" s="39"/>
      <c r="F167" s="40"/>
      <c r="G167" s="41"/>
      <c r="H167" s="39" t="e">
        <f>MONTH(Libro_Diario[[#This Row],[Fecha]])</f>
        <v>#VALUE!</v>
      </c>
      <c r="I167" s="39" t="e">
        <f>YEAR(Libro_Diario[[#This Row],[Fecha]])</f>
        <v>#VALUE!</v>
      </c>
    </row>
    <row r="168" spans="3:9" x14ac:dyDescent="0.3">
      <c r="C168" s="38"/>
      <c r="D168" s="39"/>
      <c r="E168" s="39"/>
      <c r="F168" s="40"/>
      <c r="G168" s="41"/>
      <c r="H168" s="39" t="e">
        <f>MONTH(Libro_Diario[[#This Row],[Fecha]])</f>
        <v>#VALUE!</v>
      </c>
      <c r="I168" s="39" t="e">
        <f>YEAR(Libro_Diario[[#This Row],[Fecha]])</f>
        <v>#VALUE!</v>
      </c>
    </row>
    <row r="169" spans="3:9" x14ac:dyDescent="0.3">
      <c r="C169" s="38"/>
      <c r="D169" s="39"/>
      <c r="E169" s="39"/>
      <c r="F169" s="40"/>
      <c r="G169" s="41"/>
      <c r="H169" s="39" t="e">
        <f>MONTH(Libro_Diario[[#This Row],[Fecha]])</f>
        <v>#VALUE!</v>
      </c>
      <c r="I169" s="39" t="e">
        <f>YEAR(Libro_Diario[[#This Row],[Fecha]])</f>
        <v>#VALUE!</v>
      </c>
    </row>
    <row r="170" spans="3:9" x14ac:dyDescent="0.3">
      <c r="C170" s="38"/>
      <c r="D170" s="39"/>
      <c r="E170" s="39"/>
      <c r="F170" s="40"/>
      <c r="G170" s="41"/>
      <c r="H170" s="39" t="e">
        <f>MONTH(Libro_Diario[[#This Row],[Fecha]])</f>
        <v>#VALUE!</v>
      </c>
      <c r="I170" s="39" t="e">
        <f>YEAR(Libro_Diario[[#This Row],[Fecha]])</f>
        <v>#VALUE!</v>
      </c>
    </row>
    <row r="171" spans="3:9" x14ac:dyDescent="0.3">
      <c r="C171" s="38"/>
      <c r="D171" s="39"/>
      <c r="E171" s="39"/>
      <c r="F171" s="40"/>
      <c r="G171" s="41"/>
      <c r="H171" s="39" t="e">
        <f>MONTH(Libro_Diario[[#This Row],[Fecha]])</f>
        <v>#VALUE!</v>
      </c>
      <c r="I171" s="39" t="e">
        <f>YEAR(Libro_Diario[[#This Row],[Fecha]])</f>
        <v>#VALUE!</v>
      </c>
    </row>
    <row r="172" spans="3:9" x14ac:dyDescent="0.3">
      <c r="C172" s="38"/>
      <c r="D172" s="39"/>
      <c r="E172" s="39"/>
      <c r="F172" s="40"/>
      <c r="G172" s="41"/>
      <c r="H172" s="39" t="e">
        <f>MONTH(Libro_Diario[[#This Row],[Fecha]])</f>
        <v>#VALUE!</v>
      </c>
      <c r="I172" s="39" t="e">
        <f>YEAR(Libro_Diario[[#This Row],[Fecha]])</f>
        <v>#VALUE!</v>
      </c>
    </row>
    <row r="173" spans="3:9" x14ac:dyDescent="0.3">
      <c r="C173" s="38"/>
      <c r="D173" s="39"/>
      <c r="E173" s="39"/>
      <c r="F173" s="40"/>
      <c r="G173" s="41"/>
      <c r="H173" s="39" t="e">
        <f>MONTH(Libro_Diario[[#This Row],[Fecha]])</f>
        <v>#VALUE!</v>
      </c>
      <c r="I173" s="39" t="e">
        <f>YEAR(Libro_Diario[[#This Row],[Fecha]])</f>
        <v>#VALUE!</v>
      </c>
    </row>
    <row r="174" spans="3:9" x14ac:dyDescent="0.3">
      <c r="C174" s="38"/>
      <c r="D174" s="39"/>
      <c r="E174" s="39"/>
      <c r="F174" s="40"/>
      <c r="G174" s="41"/>
      <c r="H174" s="39" t="e">
        <f>MONTH(Libro_Diario[[#This Row],[Fecha]])</f>
        <v>#VALUE!</v>
      </c>
      <c r="I174" s="39" t="e">
        <f>YEAR(Libro_Diario[[#This Row],[Fecha]])</f>
        <v>#VALUE!</v>
      </c>
    </row>
    <row r="175" spans="3:9" x14ac:dyDescent="0.3">
      <c r="C175" s="38"/>
      <c r="D175" s="39"/>
      <c r="E175" s="39"/>
      <c r="F175" s="40"/>
      <c r="G175" s="41"/>
      <c r="H175" s="39" t="e">
        <f>MONTH(Libro_Diario[[#This Row],[Fecha]])</f>
        <v>#VALUE!</v>
      </c>
      <c r="I175" s="39" t="e">
        <f>YEAR(Libro_Diario[[#This Row],[Fecha]])</f>
        <v>#VALUE!</v>
      </c>
    </row>
    <row r="176" spans="3:9" x14ac:dyDescent="0.3">
      <c r="C176" s="38"/>
      <c r="D176" s="39"/>
      <c r="E176" s="39"/>
      <c r="F176" s="40"/>
      <c r="G176" s="41"/>
      <c r="H176" s="39" t="e">
        <f>MONTH(Libro_Diario[[#This Row],[Fecha]])</f>
        <v>#VALUE!</v>
      </c>
      <c r="I176" s="39" t="e">
        <f>YEAR(Libro_Diario[[#This Row],[Fecha]])</f>
        <v>#VALUE!</v>
      </c>
    </row>
    <row r="177" spans="3:9" x14ac:dyDescent="0.3">
      <c r="C177" s="38"/>
      <c r="D177" s="39"/>
      <c r="E177" s="39"/>
      <c r="F177" s="40"/>
      <c r="G177" s="41"/>
      <c r="H177" s="39" t="e">
        <f>MONTH(Libro_Diario[[#This Row],[Fecha]])</f>
        <v>#VALUE!</v>
      </c>
      <c r="I177" s="39" t="e">
        <f>YEAR(Libro_Diario[[#This Row],[Fecha]])</f>
        <v>#VALUE!</v>
      </c>
    </row>
    <row r="178" spans="3:9" x14ac:dyDescent="0.3">
      <c r="C178" s="38"/>
      <c r="D178" s="39"/>
      <c r="E178" s="39"/>
      <c r="F178" s="40"/>
      <c r="G178" s="41"/>
      <c r="H178" s="39" t="e">
        <f>MONTH(Libro_Diario[[#This Row],[Fecha]])</f>
        <v>#VALUE!</v>
      </c>
      <c r="I178" s="39" t="e">
        <f>YEAR(Libro_Diario[[#This Row],[Fecha]])</f>
        <v>#VALUE!</v>
      </c>
    </row>
    <row r="179" spans="3:9" x14ac:dyDescent="0.3">
      <c r="C179" s="38"/>
      <c r="D179" s="39"/>
      <c r="E179" s="39"/>
      <c r="F179" s="40"/>
      <c r="G179" s="41"/>
      <c r="H179" s="39" t="e">
        <f>MONTH(Libro_Diario[[#This Row],[Fecha]])</f>
        <v>#VALUE!</v>
      </c>
      <c r="I179" s="39" t="e">
        <f>YEAR(Libro_Diario[[#This Row],[Fecha]])</f>
        <v>#VALUE!</v>
      </c>
    </row>
    <row r="180" spans="3:9" x14ac:dyDescent="0.3">
      <c r="C180" s="38"/>
      <c r="D180" s="39"/>
      <c r="E180" s="39"/>
      <c r="F180" s="40"/>
      <c r="G180" s="41"/>
      <c r="H180" s="39" t="e">
        <f>MONTH(Libro_Diario[[#This Row],[Fecha]])</f>
        <v>#VALUE!</v>
      </c>
      <c r="I180" s="39" t="e">
        <f>YEAR(Libro_Diario[[#This Row],[Fecha]])</f>
        <v>#VALUE!</v>
      </c>
    </row>
    <row r="181" spans="3:9" x14ac:dyDescent="0.3">
      <c r="C181" s="38"/>
      <c r="D181" s="39"/>
      <c r="E181" s="39"/>
      <c r="F181" s="40"/>
      <c r="G181" s="41"/>
      <c r="H181" s="39" t="e">
        <f>MONTH(Libro_Diario[[#This Row],[Fecha]])</f>
        <v>#VALUE!</v>
      </c>
      <c r="I181" s="39" t="e">
        <f>YEAR(Libro_Diario[[#This Row],[Fecha]])</f>
        <v>#VALUE!</v>
      </c>
    </row>
    <row r="182" spans="3:9" x14ac:dyDescent="0.3">
      <c r="C182" s="38"/>
      <c r="D182" s="39"/>
      <c r="E182" s="39"/>
      <c r="F182" s="40"/>
      <c r="G182" s="41"/>
      <c r="H182" s="39" t="e">
        <f>MONTH(Libro_Diario[[#This Row],[Fecha]])</f>
        <v>#VALUE!</v>
      </c>
      <c r="I182" s="39" t="e">
        <f>YEAR(Libro_Diario[[#This Row],[Fecha]])</f>
        <v>#VALUE!</v>
      </c>
    </row>
    <row r="183" spans="3:9" x14ac:dyDescent="0.3">
      <c r="C183" s="38"/>
      <c r="D183" s="39"/>
      <c r="E183" s="39"/>
      <c r="F183" s="40"/>
      <c r="G183" s="41"/>
      <c r="H183" s="39" t="e">
        <f>MONTH(Libro_Diario[[#This Row],[Fecha]])</f>
        <v>#VALUE!</v>
      </c>
      <c r="I183" s="39" t="e">
        <f>YEAR(Libro_Diario[[#This Row],[Fecha]])</f>
        <v>#VALUE!</v>
      </c>
    </row>
    <row r="184" spans="3:9" x14ac:dyDescent="0.3">
      <c r="C184" s="38"/>
      <c r="D184" s="39"/>
      <c r="E184" s="39"/>
      <c r="F184" s="40"/>
      <c r="G184" s="41"/>
      <c r="H184" s="39" t="e">
        <f>MONTH(Libro_Diario[[#This Row],[Fecha]])</f>
        <v>#VALUE!</v>
      </c>
      <c r="I184" s="39" t="e">
        <f>YEAR(Libro_Diario[[#This Row],[Fecha]])</f>
        <v>#VALUE!</v>
      </c>
    </row>
    <row r="185" spans="3:9" x14ac:dyDescent="0.3">
      <c r="C185" s="38"/>
      <c r="D185" s="39"/>
      <c r="E185" s="39"/>
      <c r="F185" s="40"/>
      <c r="G185" s="41"/>
      <c r="H185" s="39" t="e">
        <f>MONTH(Libro_Diario[[#This Row],[Fecha]])</f>
        <v>#VALUE!</v>
      </c>
      <c r="I185" s="39" t="e">
        <f>YEAR(Libro_Diario[[#This Row],[Fecha]])</f>
        <v>#VALUE!</v>
      </c>
    </row>
    <row r="186" spans="3:9" x14ac:dyDescent="0.3">
      <c r="C186" s="38"/>
      <c r="D186" s="39"/>
      <c r="E186" s="39"/>
      <c r="F186" s="40"/>
      <c r="G186" s="41"/>
      <c r="H186" s="39" t="e">
        <f>MONTH(Libro_Diario[[#This Row],[Fecha]])</f>
        <v>#VALUE!</v>
      </c>
      <c r="I186" s="39" t="e">
        <f>YEAR(Libro_Diario[[#This Row],[Fecha]])</f>
        <v>#VALUE!</v>
      </c>
    </row>
    <row r="187" spans="3:9" x14ac:dyDescent="0.3">
      <c r="C187" s="38"/>
      <c r="D187" s="39"/>
      <c r="E187" s="39"/>
      <c r="F187" s="40"/>
      <c r="G187" s="41"/>
      <c r="H187" s="39" t="e">
        <f>MONTH(Libro_Diario[[#This Row],[Fecha]])</f>
        <v>#VALUE!</v>
      </c>
      <c r="I187" s="39" t="e">
        <f>YEAR(Libro_Diario[[#This Row],[Fecha]])</f>
        <v>#VALUE!</v>
      </c>
    </row>
    <row r="188" spans="3:9" x14ac:dyDescent="0.3">
      <c r="C188" s="38"/>
      <c r="D188" s="39"/>
      <c r="E188" s="39"/>
      <c r="F188" s="40"/>
      <c r="G188" s="41"/>
      <c r="H188" s="39" t="e">
        <f>MONTH(Libro_Diario[[#This Row],[Fecha]])</f>
        <v>#VALUE!</v>
      </c>
      <c r="I188" s="39" t="e">
        <f>YEAR(Libro_Diario[[#This Row],[Fecha]])</f>
        <v>#VALUE!</v>
      </c>
    </row>
    <row r="189" spans="3:9" x14ac:dyDescent="0.3">
      <c r="C189" s="38"/>
      <c r="D189" s="39"/>
      <c r="E189" s="39"/>
      <c r="F189" s="40"/>
      <c r="G189" s="41"/>
      <c r="H189" s="39" t="e">
        <f>MONTH(Libro_Diario[[#This Row],[Fecha]])</f>
        <v>#VALUE!</v>
      </c>
      <c r="I189" s="39" t="e">
        <f>YEAR(Libro_Diario[[#This Row],[Fecha]])</f>
        <v>#VALUE!</v>
      </c>
    </row>
    <row r="190" spans="3:9" x14ac:dyDescent="0.3">
      <c r="C190" s="38"/>
      <c r="D190" s="39"/>
      <c r="E190" s="39"/>
      <c r="F190" s="40"/>
      <c r="G190" s="41"/>
      <c r="H190" s="39" t="e">
        <f>MONTH(Libro_Diario[[#This Row],[Fecha]])</f>
        <v>#VALUE!</v>
      </c>
      <c r="I190" s="39" t="e">
        <f>YEAR(Libro_Diario[[#This Row],[Fecha]])</f>
        <v>#VALUE!</v>
      </c>
    </row>
    <row r="191" spans="3:9" x14ac:dyDescent="0.3">
      <c r="C191" s="38"/>
      <c r="D191" s="39"/>
      <c r="E191" s="39"/>
      <c r="F191" s="40"/>
      <c r="G191" s="41"/>
      <c r="H191" s="39" t="e">
        <f>MONTH(Libro_Diario[[#This Row],[Fecha]])</f>
        <v>#VALUE!</v>
      </c>
      <c r="I191" s="39" t="e">
        <f>YEAR(Libro_Diario[[#This Row],[Fecha]])</f>
        <v>#VALUE!</v>
      </c>
    </row>
    <row r="192" spans="3:9" x14ac:dyDescent="0.3">
      <c r="C192" s="38"/>
      <c r="D192" s="39"/>
      <c r="E192" s="39"/>
      <c r="F192" s="40"/>
      <c r="G192" s="41"/>
      <c r="H192" s="39" t="e">
        <f>MONTH(Libro_Diario[[#This Row],[Fecha]])</f>
        <v>#VALUE!</v>
      </c>
      <c r="I192" s="39" t="e">
        <f>YEAR(Libro_Diario[[#This Row],[Fecha]])</f>
        <v>#VALUE!</v>
      </c>
    </row>
    <row r="193" spans="3:9" x14ac:dyDescent="0.3">
      <c r="C193" s="38"/>
      <c r="D193" s="39"/>
      <c r="E193" s="39"/>
      <c r="F193" s="40"/>
      <c r="G193" s="41"/>
      <c r="H193" s="39" t="e">
        <f>MONTH(Libro_Diario[[#This Row],[Fecha]])</f>
        <v>#VALUE!</v>
      </c>
      <c r="I193" s="39" t="e">
        <f>YEAR(Libro_Diario[[#This Row],[Fecha]])</f>
        <v>#VALUE!</v>
      </c>
    </row>
    <row r="194" spans="3:9" x14ac:dyDescent="0.3">
      <c r="C194" s="38"/>
      <c r="D194" s="39"/>
      <c r="E194" s="39"/>
      <c r="F194" s="40"/>
      <c r="G194" s="41"/>
      <c r="H194" s="39" t="e">
        <f>MONTH(Libro_Diario[[#This Row],[Fecha]])</f>
        <v>#VALUE!</v>
      </c>
      <c r="I194" s="39" t="e">
        <f>YEAR(Libro_Diario[[#This Row],[Fecha]])</f>
        <v>#VALUE!</v>
      </c>
    </row>
    <row r="195" spans="3:9" x14ac:dyDescent="0.3">
      <c r="C195" s="38"/>
      <c r="D195" s="39"/>
      <c r="E195" s="39"/>
      <c r="F195" s="40"/>
      <c r="G195" s="41"/>
      <c r="H195" s="39" t="e">
        <f>MONTH(Libro_Diario[[#This Row],[Fecha]])</f>
        <v>#VALUE!</v>
      </c>
      <c r="I195" s="39" t="e">
        <f>YEAR(Libro_Diario[[#This Row],[Fecha]])</f>
        <v>#VALUE!</v>
      </c>
    </row>
    <row r="196" spans="3:9" x14ac:dyDescent="0.3">
      <c r="C196" s="38"/>
      <c r="D196" s="39"/>
      <c r="E196" s="39"/>
      <c r="F196" s="40"/>
      <c r="G196" s="41"/>
      <c r="H196" s="39" t="e">
        <f>MONTH(Libro_Diario[[#This Row],[Fecha]])</f>
        <v>#VALUE!</v>
      </c>
      <c r="I196" s="39" t="e">
        <f>YEAR(Libro_Diario[[#This Row],[Fecha]])</f>
        <v>#VALUE!</v>
      </c>
    </row>
    <row r="197" spans="3:9" x14ac:dyDescent="0.3">
      <c r="C197" s="38"/>
      <c r="D197" s="39"/>
      <c r="E197" s="39"/>
      <c r="F197" s="40"/>
      <c r="G197" s="41"/>
      <c r="H197" s="39" t="e">
        <f>MONTH(Libro_Diario[[#This Row],[Fecha]])</f>
        <v>#VALUE!</v>
      </c>
      <c r="I197" s="39" t="e">
        <f>YEAR(Libro_Diario[[#This Row],[Fecha]])</f>
        <v>#VALUE!</v>
      </c>
    </row>
    <row r="198" spans="3:9" x14ac:dyDescent="0.3">
      <c r="C198" s="38"/>
      <c r="D198" s="39"/>
      <c r="E198" s="39"/>
      <c r="F198" s="40"/>
      <c r="G198" s="41"/>
      <c r="H198" s="39" t="e">
        <f>MONTH(Libro_Diario[[#This Row],[Fecha]])</f>
        <v>#VALUE!</v>
      </c>
      <c r="I198" s="39" t="e">
        <f>YEAR(Libro_Diario[[#This Row],[Fecha]])</f>
        <v>#VALUE!</v>
      </c>
    </row>
    <row r="199" spans="3:9" x14ac:dyDescent="0.3">
      <c r="C199" s="38"/>
      <c r="D199" s="39"/>
      <c r="E199" s="39"/>
      <c r="F199" s="40"/>
      <c r="G199" s="41"/>
      <c r="H199" s="39" t="e">
        <f>MONTH(Libro_Diario[[#This Row],[Fecha]])</f>
        <v>#VALUE!</v>
      </c>
      <c r="I199" s="39" t="e">
        <f>YEAR(Libro_Diario[[#This Row],[Fecha]])</f>
        <v>#VALUE!</v>
      </c>
    </row>
    <row r="200" spans="3:9" x14ac:dyDescent="0.3">
      <c r="C200" s="38"/>
      <c r="D200" s="39"/>
      <c r="E200" s="39"/>
      <c r="F200" s="40"/>
      <c r="G200" s="41"/>
      <c r="H200" s="39" t="e">
        <f>MONTH(Libro_Diario[[#This Row],[Fecha]])</f>
        <v>#VALUE!</v>
      </c>
      <c r="I200" s="39" t="e">
        <f>YEAR(Libro_Diario[[#This Row],[Fecha]])</f>
        <v>#VALUE!</v>
      </c>
    </row>
    <row r="201" spans="3:9" x14ac:dyDescent="0.3">
      <c r="C201" s="38"/>
      <c r="D201" s="39"/>
      <c r="E201" s="39"/>
      <c r="F201" s="40"/>
      <c r="G201" s="41"/>
      <c r="H201" s="39" t="e">
        <f>MONTH(Libro_Diario[[#This Row],[Fecha]])</f>
        <v>#VALUE!</v>
      </c>
      <c r="I201" s="39" t="e">
        <f>YEAR(Libro_Diario[[#This Row],[Fecha]])</f>
        <v>#VALUE!</v>
      </c>
    </row>
    <row r="202" spans="3:9" x14ac:dyDescent="0.3">
      <c r="C202" s="38"/>
      <c r="D202" s="39"/>
      <c r="E202" s="39"/>
      <c r="F202" s="40"/>
      <c r="G202" s="41"/>
      <c r="H202" s="39" t="e">
        <f>MONTH(Libro_Diario[[#This Row],[Fecha]])</f>
        <v>#VALUE!</v>
      </c>
      <c r="I202" s="39" t="e">
        <f>YEAR(Libro_Diario[[#This Row],[Fecha]])</f>
        <v>#VALUE!</v>
      </c>
    </row>
    <row r="203" spans="3:9" x14ac:dyDescent="0.3">
      <c r="C203" s="38"/>
      <c r="D203" s="39"/>
      <c r="E203" s="39"/>
      <c r="F203" s="40"/>
      <c r="G203" s="41"/>
      <c r="H203" s="39" t="e">
        <f>MONTH(Libro_Diario[[#This Row],[Fecha]])</f>
        <v>#VALUE!</v>
      </c>
      <c r="I203" s="39" t="e">
        <f>YEAR(Libro_Diario[[#This Row],[Fecha]])</f>
        <v>#VALUE!</v>
      </c>
    </row>
    <row r="204" spans="3:9" x14ac:dyDescent="0.3">
      <c r="C204" s="38"/>
      <c r="D204" s="39"/>
      <c r="E204" s="39"/>
      <c r="F204" s="40"/>
      <c r="G204" s="41"/>
      <c r="H204" s="39" t="e">
        <f>MONTH(Libro_Diario[[#This Row],[Fecha]])</f>
        <v>#VALUE!</v>
      </c>
      <c r="I204" s="39" t="e">
        <f>YEAR(Libro_Diario[[#This Row],[Fecha]])</f>
        <v>#VALUE!</v>
      </c>
    </row>
    <row r="205" spans="3:9" x14ac:dyDescent="0.3">
      <c r="C205" s="38"/>
      <c r="D205" s="39"/>
      <c r="E205" s="39"/>
      <c r="F205" s="40"/>
      <c r="G205" s="41"/>
      <c r="H205" s="39" t="e">
        <f>MONTH(Libro_Diario[[#This Row],[Fecha]])</f>
        <v>#VALUE!</v>
      </c>
      <c r="I205" s="39" t="e">
        <f>YEAR(Libro_Diario[[#This Row],[Fecha]])</f>
        <v>#VALUE!</v>
      </c>
    </row>
    <row r="206" spans="3:9" x14ac:dyDescent="0.3">
      <c r="C206" s="38"/>
      <c r="D206" s="39"/>
      <c r="E206" s="39"/>
      <c r="F206" s="40"/>
      <c r="G206" s="41"/>
      <c r="H206" s="39" t="e">
        <f>MONTH(Libro_Diario[[#This Row],[Fecha]])</f>
        <v>#VALUE!</v>
      </c>
      <c r="I206" s="39" t="e">
        <f>YEAR(Libro_Diario[[#This Row],[Fecha]])</f>
        <v>#VALUE!</v>
      </c>
    </row>
    <row r="207" spans="3:9" x14ac:dyDescent="0.3">
      <c r="C207" s="38"/>
      <c r="D207" s="39"/>
      <c r="E207" s="39"/>
      <c r="F207" s="40"/>
      <c r="G207" s="41"/>
      <c r="H207" s="39" t="e">
        <f>MONTH(Libro_Diario[[#This Row],[Fecha]])</f>
        <v>#VALUE!</v>
      </c>
      <c r="I207" s="39" t="e">
        <f>YEAR(Libro_Diario[[#This Row],[Fecha]])</f>
        <v>#VALUE!</v>
      </c>
    </row>
    <row r="208" spans="3:9" x14ac:dyDescent="0.3">
      <c r="C208" s="38"/>
      <c r="D208" s="39"/>
      <c r="E208" s="39"/>
      <c r="F208" s="40"/>
      <c r="G208" s="41"/>
      <c r="H208" s="39" t="e">
        <f>MONTH(Libro_Diario[[#This Row],[Fecha]])</f>
        <v>#VALUE!</v>
      </c>
      <c r="I208" s="39" t="e">
        <f>YEAR(Libro_Diario[[#This Row],[Fecha]])</f>
        <v>#VALUE!</v>
      </c>
    </row>
    <row r="209" spans="3:9" x14ac:dyDescent="0.3">
      <c r="C209" s="38"/>
      <c r="D209" s="39"/>
      <c r="E209" s="39"/>
      <c r="F209" s="40"/>
      <c r="G209" s="41"/>
      <c r="H209" s="39" t="e">
        <f>MONTH(Libro_Diario[[#This Row],[Fecha]])</f>
        <v>#VALUE!</v>
      </c>
      <c r="I209" s="39" t="e">
        <f>YEAR(Libro_Diario[[#This Row],[Fecha]])</f>
        <v>#VALUE!</v>
      </c>
    </row>
    <row r="210" spans="3:9" x14ac:dyDescent="0.3">
      <c r="C210" s="38"/>
      <c r="D210" s="39"/>
      <c r="E210" s="39"/>
      <c r="F210" s="40"/>
      <c r="G210" s="41"/>
      <c r="H210" s="39" t="e">
        <f>MONTH(Libro_Diario[[#This Row],[Fecha]])</f>
        <v>#VALUE!</v>
      </c>
      <c r="I210" s="39" t="e">
        <f>YEAR(Libro_Diario[[#This Row],[Fecha]])</f>
        <v>#VALUE!</v>
      </c>
    </row>
    <row r="211" spans="3:9" x14ac:dyDescent="0.3">
      <c r="C211" s="38"/>
      <c r="D211" s="39"/>
      <c r="E211" s="39"/>
      <c r="F211" s="40"/>
      <c r="G211" s="41"/>
      <c r="H211" s="39" t="e">
        <f>MONTH(Libro_Diario[[#This Row],[Fecha]])</f>
        <v>#VALUE!</v>
      </c>
      <c r="I211" s="39" t="e">
        <f>YEAR(Libro_Diario[[#This Row],[Fecha]])</f>
        <v>#VALUE!</v>
      </c>
    </row>
    <row r="212" spans="3:9" x14ac:dyDescent="0.3">
      <c r="C212" s="38"/>
      <c r="D212" s="39"/>
      <c r="E212" s="39"/>
      <c r="F212" s="40"/>
      <c r="G212" s="41"/>
      <c r="H212" s="39" t="e">
        <f>MONTH(Libro_Diario[[#This Row],[Fecha]])</f>
        <v>#VALUE!</v>
      </c>
      <c r="I212" s="39" t="e">
        <f>YEAR(Libro_Diario[[#This Row],[Fecha]])</f>
        <v>#VALUE!</v>
      </c>
    </row>
    <row r="213" spans="3:9" x14ac:dyDescent="0.3">
      <c r="C213" s="38"/>
      <c r="D213" s="39"/>
      <c r="E213" s="39"/>
      <c r="F213" s="40"/>
      <c r="G213" s="41"/>
      <c r="H213" s="39" t="e">
        <f>MONTH(Libro_Diario[[#This Row],[Fecha]])</f>
        <v>#VALUE!</v>
      </c>
      <c r="I213" s="39" t="e">
        <f>YEAR(Libro_Diario[[#This Row],[Fecha]])</f>
        <v>#VALUE!</v>
      </c>
    </row>
    <row r="214" spans="3:9" x14ac:dyDescent="0.3">
      <c r="C214" s="38"/>
      <c r="D214" s="39"/>
      <c r="E214" s="39"/>
      <c r="F214" s="40"/>
      <c r="G214" s="41"/>
      <c r="H214" s="39" t="e">
        <f>MONTH(Libro_Diario[[#This Row],[Fecha]])</f>
        <v>#VALUE!</v>
      </c>
      <c r="I214" s="39" t="e">
        <f>YEAR(Libro_Diario[[#This Row],[Fecha]])</f>
        <v>#VALUE!</v>
      </c>
    </row>
    <row r="215" spans="3:9" x14ac:dyDescent="0.3">
      <c r="C215" s="38"/>
      <c r="D215" s="39"/>
      <c r="E215" s="39"/>
      <c r="F215" s="40"/>
      <c r="G215" s="41"/>
      <c r="H215" s="39" t="e">
        <f>MONTH(Libro_Diario[[#This Row],[Fecha]])</f>
        <v>#VALUE!</v>
      </c>
      <c r="I215" s="39" t="e">
        <f>YEAR(Libro_Diario[[#This Row],[Fecha]])</f>
        <v>#VALUE!</v>
      </c>
    </row>
    <row r="216" spans="3:9" x14ac:dyDescent="0.3">
      <c r="C216" s="38"/>
      <c r="D216" s="39"/>
      <c r="E216" s="39"/>
      <c r="F216" s="40"/>
      <c r="G216" s="41"/>
      <c r="H216" s="39" t="e">
        <f>MONTH(Libro_Diario[[#This Row],[Fecha]])</f>
        <v>#VALUE!</v>
      </c>
      <c r="I216" s="39" t="e">
        <f>YEAR(Libro_Diario[[#This Row],[Fecha]])</f>
        <v>#VALUE!</v>
      </c>
    </row>
    <row r="217" spans="3:9" x14ac:dyDescent="0.3">
      <c r="C217" s="38"/>
      <c r="D217" s="39"/>
      <c r="E217" s="39"/>
      <c r="F217" s="40"/>
      <c r="G217" s="41"/>
      <c r="H217" s="39" t="e">
        <f>MONTH(Libro_Diario[[#This Row],[Fecha]])</f>
        <v>#VALUE!</v>
      </c>
      <c r="I217" s="39" t="e">
        <f>YEAR(Libro_Diario[[#This Row],[Fecha]])</f>
        <v>#VALUE!</v>
      </c>
    </row>
    <row r="218" spans="3:9" x14ac:dyDescent="0.3">
      <c r="C218" s="38"/>
      <c r="D218" s="39"/>
      <c r="E218" s="39"/>
      <c r="F218" s="40"/>
      <c r="G218" s="41"/>
      <c r="H218" s="39" t="e">
        <f>MONTH(Libro_Diario[[#This Row],[Fecha]])</f>
        <v>#VALUE!</v>
      </c>
      <c r="I218" s="39" t="e">
        <f>YEAR(Libro_Diario[[#This Row],[Fecha]])</f>
        <v>#VALUE!</v>
      </c>
    </row>
    <row r="219" spans="3:9" x14ac:dyDescent="0.3">
      <c r="C219" s="38"/>
      <c r="D219" s="39"/>
      <c r="E219" s="39"/>
      <c r="F219" s="40"/>
      <c r="G219" s="41"/>
      <c r="H219" s="39" t="e">
        <f>MONTH(Libro_Diario[[#This Row],[Fecha]])</f>
        <v>#VALUE!</v>
      </c>
      <c r="I219" s="39" t="e">
        <f>YEAR(Libro_Diario[[#This Row],[Fecha]])</f>
        <v>#VALUE!</v>
      </c>
    </row>
    <row r="220" spans="3:9" x14ac:dyDescent="0.3">
      <c r="C220" s="38"/>
      <c r="D220" s="39"/>
      <c r="E220" s="39"/>
      <c r="F220" s="40"/>
      <c r="G220" s="41"/>
      <c r="H220" s="39" t="e">
        <f>MONTH(Libro_Diario[[#This Row],[Fecha]])</f>
        <v>#VALUE!</v>
      </c>
      <c r="I220" s="39" t="e">
        <f>YEAR(Libro_Diario[[#This Row],[Fecha]])</f>
        <v>#VALUE!</v>
      </c>
    </row>
    <row r="221" spans="3:9" x14ac:dyDescent="0.3">
      <c r="C221" s="38"/>
      <c r="D221" s="39"/>
      <c r="E221" s="39"/>
      <c r="F221" s="40"/>
      <c r="G221" s="41"/>
      <c r="H221" s="39" t="e">
        <f>MONTH(Libro_Diario[[#This Row],[Fecha]])</f>
        <v>#VALUE!</v>
      </c>
      <c r="I221" s="39" t="e">
        <f>YEAR(Libro_Diario[[#This Row],[Fecha]])</f>
        <v>#VALUE!</v>
      </c>
    </row>
    <row r="222" spans="3:9" x14ac:dyDescent="0.3">
      <c r="C222" s="38"/>
      <c r="D222" s="39"/>
      <c r="E222" s="39"/>
      <c r="F222" s="40"/>
      <c r="G222" s="41"/>
      <c r="H222" s="39" t="e">
        <f>MONTH(Libro_Diario[[#This Row],[Fecha]])</f>
        <v>#VALUE!</v>
      </c>
      <c r="I222" s="39" t="e">
        <f>YEAR(Libro_Diario[[#This Row],[Fecha]])</f>
        <v>#VALUE!</v>
      </c>
    </row>
    <row r="223" spans="3:9" x14ac:dyDescent="0.3">
      <c r="C223" s="38"/>
      <c r="D223" s="39"/>
      <c r="E223" s="39"/>
      <c r="F223" s="40"/>
      <c r="G223" s="41"/>
      <c r="H223" s="39" t="e">
        <f>MONTH(Libro_Diario[[#This Row],[Fecha]])</f>
        <v>#VALUE!</v>
      </c>
      <c r="I223" s="39" t="e">
        <f>YEAR(Libro_Diario[[#This Row],[Fecha]])</f>
        <v>#VALUE!</v>
      </c>
    </row>
    <row r="224" spans="3:9" x14ac:dyDescent="0.3">
      <c r="C224" s="38"/>
      <c r="D224" s="39"/>
      <c r="E224" s="39"/>
      <c r="F224" s="40"/>
      <c r="G224" s="41"/>
      <c r="H224" s="39" t="e">
        <f>MONTH(Libro_Diario[[#This Row],[Fecha]])</f>
        <v>#VALUE!</v>
      </c>
      <c r="I224" s="39" t="e">
        <f>YEAR(Libro_Diario[[#This Row],[Fecha]])</f>
        <v>#VALUE!</v>
      </c>
    </row>
    <row r="225" spans="3:9" x14ac:dyDescent="0.3">
      <c r="C225" s="38"/>
      <c r="D225" s="39"/>
      <c r="E225" s="39"/>
      <c r="F225" s="40"/>
      <c r="G225" s="41"/>
      <c r="H225" s="39" t="e">
        <f>MONTH(Libro_Diario[[#This Row],[Fecha]])</f>
        <v>#VALUE!</v>
      </c>
      <c r="I225" s="39" t="e">
        <f>YEAR(Libro_Diario[[#This Row],[Fecha]])</f>
        <v>#VALUE!</v>
      </c>
    </row>
    <row r="226" spans="3:9" x14ac:dyDescent="0.3">
      <c r="C226" s="38"/>
      <c r="D226" s="39"/>
      <c r="E226" s="39"/>
      <c r="F226" s="40"/>
      <c r="G226" s="41"/>
      <c r="H226" s="39" t="e">
        <f>MONTH(Libro_Diario[[#This Row],[Fecha]])</f>
        <v>#VALUE!</v>
      </c>
      <c r="I226" s="39" t="e">
        <f>YEAR(Libro_Diario[[#This Row],[Fecha]])</f>
        <v>#VALUE!</v>
      </c>
    </row>
    <row r="227" spans="3:9" x14ac:dyDescent="0.3">
      <c r="C227" s="38"/>
      <c r="D227" s="39"/>
      <c r="E227" s="39"/>
      <c r="F227" s="40"/>
      <c r="G227" s="41"/>
      <c r="H227" s="39" t="e">
        <f>MONTH(Libro_Diario[[#This Row],[Fecha]])</f>
        <v>#VALUE!</v>
      </c>
      <c r="I227" s="39" t="e">
        <f>YEAR(Libro_Diario[[#This Row],[Fecha]])</f>
        <v>#VALUE!</v>
      </c>
    </row>
    <row r="228" spans="3:9" x14ac:dyDescent="0.3">
      <c r="C228" s="38"/>
      <c r="D228" s="39"/>
      <c r="E228" s="39"/>
      <c r="F228" s="40"/>
      <c r="G228" s="41"/>
      <c r="H228" s="39" t="e">
        <f>MONTH(Libro_Diario[[#This Row],[Fecha]])</f>
        <v>#VALUE!</v>
      </c>
      <c r="I228" s="39" t="e">
        <f>YEAR(Libro_Diario[[#This Row],[Fecha]])</f>
        <v>#VALUE!</v>
      </c>
    </row>
    <row r="229" spans="3:9" x14ac:dyDescent="0.3">
      <c r="C229" s="38"/>
      <c r="D229" s="39"/>
      <c r="E229" s="39"/>
      <c r="F229" s="40"/>
      <c r="G229" s="41"/>
      <c r="H229" s="39" t="e">
        <f>MONTH(Libro_Diario[[#This Row],[Fecha]])</f>
        <v>#VALUE!</v>
      </c>
      <c r="I229" s="39" t="e">
        <f>YEAR(Libro_Diario[[#This Row],[Fecha]])</f>
        <v>#VALUE!</v>
      </c>
    </row>
    <row r="230" spans="3:9" x14ac:dyDescent="0.3">
      <c r="C230" s="38"/>
      <c r="D230" s="39"/>
      <c r="E230" s="39"/>
      <c r="F230" s="40"/>
      <c r="G230" s="41"/>
      <c r="H230" s="39" t="e">
        <f>MONTH(Libro_Diario[[#This Row],[Fecha]])</f>
        <v>#VALUE!</v>
      </c>
      <c r="I230" s="39" t="e">
        <f>YEAR(Libro_Diario[[#This Row],[Fecha]])</f>
        <v>#VALUE!</v>
      </c>
    </row>
    <row r="231" spans="3:9" x14ac:dyDescent="0.3">
      <c r="C231" s="38"/>
      <c r="D231" s="39"/>
      <c r="E231" s="39"/>
      <c r="F231" s="40"/>
      <c r="G231" s="41"/>
      <c r="H231" s="39" t="e">
        <f>MONTH(Libro_Diario[[#This Row],[Fecha]])</f>
        <v>#VALUE!</v>
      </c>
      <c r="I231" s="39" t="e">
        <f>YEAR(Libro_Diario[[#This Row],[Fecha]])</f>
        <v>#VALUE!</v>
      </c>
    </row>
    <row r="232" spans="3:9" x14ac:dyDescent="0.3">
      <c r="C232" s="38"/>
      <c r="D232" s="39"/>
      <c r="E232" s="39"/>
      <c r="F232" s="40"/>
      <c r="G232" s="41"/>
      <c r="H232" s="39" t="e">
        <f>MONTH(Libro_Diario[[#This Row],[Fecha]])</f>
        <v>#VALUE!</v>
      </c>
      <c r="I232" s="39" t="e">
        <f>YEAR(Libro_Diario[[#This Row],[Fecha]])</f>
        <v>#VALUE!</v>
      </c>
    </row>
    <row r="233" spans="3:9" x14ac:dyDescent="0.3">
      <c r="C233" s="38"/>
      <c r="D233" s="39"/>
      <c r="E233" s="39"/>
      <c r="F233" s="40"/>
      <c r="G233" s="41"/>
      <c r="H233" s="39" t="e">
        <f>MONTH(Libro_Diario[[#This Row],[Fecha]])</f>
        <v>#VALUE!</v>
      </c>
      <c r="I233" s="39" t="e">
        <f>YEAR(Libro_Diario[[#This Row],[Fecha]])</f>
        <v>#VALUE!</v>
      </c>
    </row>
    <row r="234" spans="3:9" x14ac:dyDescent="0.3">
      <c r="C234" s="38"/>
      <c r="D234" s="39"/>
      <c r="E234" s="39"/>
      <c r="F234" s="40"/>
      <c r="G234" s="41"/>
      <c r="H234" s="39" t="e">
        <f>MONTH(Libro_Diario[[#This Row],[Fecha]])</f>
        <v>#VALUE!</v>
      </c>
      <c r="I234" s="39" t="e">
        <f>YEAR(Libro_Diario[[#This Row],[Fecha]])</f>
        <v>#VALUE!</v>
      </c>
    </row>
    <row r="235" spans="3:9" x14ac:dyDescent="0.3">
      <c r="C235" s="38"/>
      <c r="D235" s="39"/>
      <c r="E235" s="39"/>
      <c r="F235" s="40"/>
      <c r="G235" s="41"/>
      <c r="H235" s="39" t="e">
        <f>MONTH(Libro_Diario[[#This Row],[Fecha]])</f>
        <v>#VALUE!</v>
      </c>
      <c r="I235" s="39" t="e">
        <f>YEAR(Libro_Diario[[#This Row],[Fecha]])</f>
        <v>#VALUE!</v>
      </c>
    </row>
    <row r="236" spans="3:9" x14ac:dyDescent="0.3">
      <c r="C236" s="38"/>
      <c r="D236" s="39"/>
      <c r="E236" s="39"/>
      <c r="F236" s="40"/>
      <c r="G236" s="41"/>
      <c r="H236" s="39" t="e">
        <f>MONTH(Libro_Diario[[#This Row],[Fecha]])</f>
        <v>#VALUE!</v>
      </c>
      <c r="I236" s="39" t="e">
        <f>YEAR(Libro_Diario[[#This Row],[Fecha]])</f>
        <v>#VALUE!</v>
      </c>
    </row>
    <row r="237" spans="3:9" x14ac:dyDescent="0.3">
      <c r="C237" s="38"/>
      <c r="D237" s="39"/>
      <c r="E237" s="39"/>
      <c r="F237" s="40"/>
      <c r="G237" s="41"/>
      <c r="H237" s="39" t="e">
        <f>MONTH(Libro_Diario[[#This Row],[Fecha]])</f>
        <v>#VALUE!</v>
      </c>
      <c r="I237" s="39" t="e">
        <f>YEAR(Libro_Diario[[#This Row],[Fecha]])</f>
        <v>#VALUE!</v>
      </c>
    </row>
    <row r="238" spans="3:9" x14ac:dyDescent="0.3">
      <c r="C238" s="38"/>
      <c r="D238" s="39"/>
      <c r="E238" s="39"/>
      <c r="F238" s="40"/>
      <c r="G238" s="41"/>
      <c r="H238" s="39" t="e">
        <f>MONTH(Libro_Diario[[#This Row],[Fecha]])</f>
        <v>#VALUE!</v>
      </c>
      <c r="I238" s="39" t="e">
        <f>YEAR(Libro_Diario[[#This Row],[Fecha]])</f>
        <v>#VALUE!</v>
      </c>
    </row>
    <row r="239" spans="3:9" x14ac:dyDescent="0.3">
      <c r="C239" s="38"/>
      <c r="D239" s="39"/>
      <c r="E239" s="39"/>
      <c r="F239" s="40"/>
      <c r="G239" s="41"/>
      <c r="H239" s="39" t="e">
        <f>MONTH(Libro_Diario[[#This Row],[Fecha]])</f>
        <v>#VALUE!</v>
      </c>
      <c r="I239" s="39" t="e">
        <f>YEAR(Libro_Diario[[#This Row],[Fecha]])</f>
        <v>#VALUE!</v>
      </c>
    </row>
    <row r="240" spans="3:9" x14ac:dyDescent="0.3">
      <c r="C240" s="38"/>
      <c r="D240" s="39"/>
      <c r="E240" s="39"/>
      <c r="F240" s="40"/>
      <c r="G240" s="41"/>
      <c r="H240" s="39" t="e">
        <f>MONTH(Libro_Diario[[#This Row],[Fecha]])</f>
        <v>#VALUE!</v>
      </c>
      <c r="I240" s="39" t="e">
        <f>YEAR(Libro_Diario[[#This Row],[Fecha]])</f>
        <v>#VALUE!</v>
      </c>
    </row>
    <row r="241" spans="3:9" x14ac:dyDescent="0.3">
      <c r="C241" s="38"/>
      <c r="D241" s="39"/>
      <c r="E241" s="39"/>
      <c r="F241" s="40"/>
      <c r="G241" s="41"/>
      <c r="H241" s="39" t="e">
        <f>MONTH(Libro_Diario[[#This Row],[Fecha]])</f>
        <v>#VALUE!</v>
      </c>
      <c r="I241" s="39" t="e">
        <f>YEAR(Libro_Diario[[#This Row],[Fecha]])</f>
        <v>#VALUE!</v>
      </c>
    </row>
    <row r="242" spans="3:9" x14ac:dyDescent="0.3">
      <c r="C242" s="38"/>
      <c r="D242" s="39"/>
      <c r="E242" s="39"/>
      <c r="F242" s="40"/>
      <c r="G242" s="41"/>
      <c r="H242" s="39" t="e">
        <f>MONTH(Libro_Diario[[#This Row],[Fecha]])</f>
        <v>#VALUE!</v>
      </c>
      <c r="I242" s="39" t="e">
        <f>YEAR(Libro_Diario[[#This Row],[Fecha]])</f>
        <v>#VALUE!</v>
      </c>
    </row>
    <row r="243" spans="3:9" x14ac:dyDescent="0.3">
      <c r="C243" s="38"/>
      <c r="D243" s="39"/>
      <c r="E243" s="39"/>
      <c r="F243" s="40"/>
      <c r="G243" s="41"/>
      <c r="H243" s="39" t="e">
        <f>MONTH(Libro_Diario[[#This Row],[Fecha]])</f>
        <v>#VALUE!</v>
      </c>
      <c r="I243" s="39" t="e">
        <f>YEAR(Libro_Diario[[#This Row],[Fecha]])</f>
        <v>#VALUE!</v>
      </c>
    </row>
    <row r="244" spans="3:9" x14ac:dyDescent="0.3">
      <c r="C244" s="38"/>
      <c r="D244" s="39"/>
      <c r="E244" s="39"/>
      <c r="F244" s="40"/>
      <c r="G244" s="41"/>
      <c r="H244" s="39" t="e">
        <f>MONTH(Libro_Diario[[#This Row],[Fecha]])</f>
        <v>#VALUE!</v>
      </c>
      <c r="I244" s="39" t="e">
        <f>YEAR(Libro_Diario[[#This Row],[Fecha]])</f>
        <v>#VALUE!</v>
      </c>
    </row>
    <row r="245" spans="3:9" x14ac:dyDescent="0.3">
      <c r="C245" s="38"/>
      <c r="D245" s="39"/>
      <c r="E245" s="39"/>
      <c r="F245" s="40"/>
      <c r="G245" s="41"/>
      <c r="H245" s="39" t="e">
        <f>MONTH(Libro_Diario[[#This Row],[Fecha]])</f>
        <v>#VALUE!</v>
      </c>
      <c r="I245" s="39" t="e">
        <f>YEAR(Libro_Diario[[#This Row],[Fecha]])</f>
        <v>#VALUE!</v>
      </c>
    </row>
    <row r="246" spans="3:9" x14ac:dyDescent="0.3">
      <c r="C246" s="38"/>
      <c r="D246" s="39"/>
      <c r="E246" s="39"/>
      <c r="F246" s="40"/>
      <c r="G246" s="41"/>
      <c r="H246" s="39" t="e">
        <f>MONTH(Libro_Diario[[#This Row],[Fecha]])</f>
        <v>#VALUE!</v>
      </c>
      <c r="I246" s="39" t="e">
        <f>YEAR(Libro_Diario[[#This Row],[Fecha]])</f>
        <v>#VALUE!</v>
      </c>
    </row>
    <row r="247" spans="3:9" x14ac:dyDescent="0.3">
      <c r="C247" s="38"/>
      <c r="D247" s="39"/>
      <c r="E247" s="39"/>
      <c r="F247" s="40"/>
      <c r="G247" s="41"/>
      <c r="H247" s="39" t="e">
        <f>MONTH(Libro_Diario[[#This Row],[Fecha]])</f>
        <v>#VALUE!</v>
      </c>
      <c r="I247" s="39" t="e">
        <f>YEAR(Libro_Diario[[#This Row],[Fecha]])</f>
        <v>#VALUE!</v>
      </c>
    </row>
    <row r="248" spans="3:9" x14ac:dyDescent="0.3">
      <c r="C248" s="38"/>
      <c r="D248" s="39"/>
      <c r="E248" s="39"/>
      <c r="F248" s="40"/>
      <c r="G248" s="41"/>
      <c r="H248" s="39" t="e">
        <f>MONTH(Libro_Diario[[#This Row],[Fecha]])</f>
        <v>#VALUE!</v>
      </c>
      <c r="I248" s="39" t="e">
        <f>YEAR(Libro_Diario[[#This Row],[Fecha]])</f>
        <v>#VALUE!</v>
      </c>
    </row>
    <row r="249" spans="3:9" x14ac:dyDescent="0.3">
      <c r="C249" s="38"/>
      <c r="D249" s="39"/>
      <c r="E249" s="39"/>
      <c r="F249" s="40"/>
      <c r="G249" s="41"/>
      <c r="H249" s="39" t="e">
        <f>MONTH(Libro_Diario[[#This Row],[Fecha]])</f>
        <v>#VALUE!</v>
      </c>
      <c r="I249" s="39" t="e">
        <f>YEAR(Libro_Diario[[#This Row],[Fecha]])</f>
        <v>#VALUE!</v>
      </c>
    </row>
    <row r="250" spans="3:9" x14ac:dyDescent="0.3">
      <c r="C250" s="38"/>
      <c r="D250" s="39"/>
      <c r="E250" s="39"/>
      <c r="F250" s="40"/>
      <c r="G250" s="41"/>
      <c r="H250" s="39" t="e">
        <f>MONTH(Libro_Diario[[#This Row],[Fecha]])</f>
        <v>#VALUE!</v>
      </c>
      <c r="I250" s="39" t="e">
        <f>YEAR(Libro_Diario[[#This Row],[Fecha]])</f>
        <v>#VALUE!</v>
      </c>
    </row>
    <row r="251" spans="3:9" x14ac:dyDescent="0.3">
      <c r="C251" s="38"/>
      <c r="D251" s="39"/>
      <c r="E251" s="39"/>
      <c r="F251" s="40"/>
      <c r="G251" s="41"/>
      <c r="H251" s="39" t="e">
        <f>MONTH(Libro_Diario[[#This Row],[Fecha]])</f>
        <v>#VALUE!</v>
      </c>
      <c r="I251" s="39" t="e">
        <f>YEAR(Libro_Diario[[#This Row],[Fecha]])</f>
        <v>#VALUE!</v>
      </c>
    </row>
    <row r="252" spans="3:9" x14ac:dyDescent="0.3">
      <c r="C252" s="38"/>
      <c r="D252" s="39"/>
      <c r="E252" s="39"/>
      <c r="F252" s="40"/>
      <c r="G252" s="41"/>
      <c r="H252" s="39" t="e">
        <f>MONTH(Libro_Diario[[#This Row],[Fecha]])</f>
        <v>#VALUE!</v>
      </c>
      <c r="I252" s="39" t="e">
        <f>YEAR(Libro_Diario[[#This Row],[Fecha]])</f>
        <v>#VALUE!</v>
      </c>
    </row>
    <row r="253" spans="3:9" x14ac:dyDescent="0.3">
      <c r="C253" s="38"/>
      <c r="D253" s="39"/>
      <c r="E253" s="39"/>
      <c r="F253" s="40"/>
      <c r="G253" s="41"/>
      <c r="H253" s="39" t="e">
        <f>MONTH(Libro_Diario[[#This Row],[Fecha]])</f>
        <v>#VALUE!</v>
      </c>
      <c r="I253" s="39" t="e">
        <f>YEAR(Libro_Diario[[#This Row],[Fecha]])</f>
        <v>#VALUE!</v>
      </c>
    </row>
    <row r="254" spans="3:9" x14ac:dyDescent="0.3">
      <c r="C254" s="38"/>
      <c r="D254" s="39"/>
      <c r="E254" s="39"/>
      <c r="F254" s="40"/>
      <c r="G254" s="41"/>
      <c r="H254" s="39" t="e">
        <f>MONTH(Libro_Diario[[#This Row],[Fecha]])</f>
        <v>#VALUE!</v>
      </c>
      <c r="I254" s="39" t="e">
        <f>YEAR(Libro_Diario[[#This Row],[Fecha]])</f>
        <v>#VALUE!</v>
      </c>
    </row>
    <row r="255" spans="3:9" x14ac:dyDescent="0.3">
      <c r="C255" s="38"/>
      <c r="D255" s="39"/>
      <c r="E255" s="39"/>
      <c r="F255" s="40"/>
      <c r="G255" s="41"/>
      <c r="H255" s="39" t="e">
        <f>MONTH(Libro_Diario[[#This Row],[Fecha]])</f>
        <v>#VALUE!</v>
      </c>
      <c r="I255" s="39" t="e">
        <f>YEAR(Libro_Diario[[#This Row],[Fecha]])</f>
        <v>#VALUE!</v>
      </c>
    </row>
    <row r="256" spans="3:9" x14ac:dyDescent="0.3">
      <c r="C256" s="38"/>
      <c r="D256" s="39"/>
      <c r="E256" s="39"/>
      <c r="F256" s="40"/>
      <c r="G256" s="41"/>
      <c r="H256" s="39" t="e">
        <f>MONTH(Libro_Diario[[#This Row],[Fecha]])</f>
        <v>#VALUE!</v>
      </c>
      <c r="I256" s="39" t="e">
        <f>YEAR(Libro_Diario[[#This Row],[Fecha]])</f>
        <v>#VALUE!</v>
      </c>
    </row>
    <row r="257" spans="3:9" x14ac:dyDescent="0.3">
      <c r="C257" s="38"/>
      <c r="D257" s="39"/>
      <c r="E257" s="39"/>
      <c r="F257" s="40"/>
      <c r="G257" s="41"/>
      <c r="H257" s="39" t="e">
        <f>MONTH(Libro_Diario[[#This Row],[Fecha]])</f>
        <v>#VALUE!</v>
      </c>
      <c r="I257" s="39" t="e">
        <f>YEAR(Libro_Diario[[#This Row],[Fecha]])</f>
        <v>#VALUE!</v>
      </c>
    </row>
    <row r="258" spans="3:9" x14ac:dyDescent="0.3">
      <c r="C258" s="38"/>
      <c r="D258" s="39"/>
      <c r="E258" s="39"/>
      <c r="F258" s="40"/>
      <c r="G258" s="41"/>
      <c r="H258" s="39" t="e">
        <f>MONTH(Libro_Diario[[#This Row],[Fecha]])</f>
        <v>#VALUE!</v>
      </c>
      <c r="I258" s="39" t="e">
        <f>YEAR(Libro_Diario[[#This Row],[Fecha]])</f>
        <v>#VALUE!</v>
      </c>
    </row>
    <row r="259" spans="3:9" x14ac:dyDescent="0.3">
      <c r="C259" s="38"/>
      <c r="D259" s="39"/>
      <c r="E259" s="39"/>
      <c r="F259" s="40"/>
      <c r="G259" s="41"/>
      <c r="H259" s="39" t="e">
        <f>MONTH(Libro_Diario[[#This Row],[Fecha]])</f>
        <v>#VALUE!</v>
      </c>
      <c r="I259" s="39" t="e">
        <f>YEAR(Libro_Diario[[#This Row],[Fecha]])</f>
        <v>#VALUE!</v>
      </c>
    </row>
    <row r="260" spans="3:9" x14ac:dyDescent="0.3">
      <c r="C260" s="38"/>
      <c r="D260" s="39"/>
      <c r="E260" s="39"/>
      <c r="F260" s="40"/>
      <c r="G260" s="41"/>
      <c r="H260" s="39" t="e">
        <f>MONTH(Libro_Diario[[#This Row],[Fecha]])</f>
        <v>#VALUE!</v>
      </c>
      <c r="I260" s="39" t="e">
        <f>YEAR(Libro_Diario[[#This Row],[Fecha]])</f>
        <v>#VALUE!</v>
      </c>
    </row>
    <row r="261" spans="3:9" x14ac:dyDescent="0.3">
      <c r="C261" s="38"/>
      <c r="D261" s="39"/>
      <c r="E261" s="39"/>
      <c r="F261" s="40"/>
      <c r="G261" s="41"/>
      <c r="H261" s="39" t="e">
        <f>MONTH(Libro_Diario[[#This Row],[Fecha]])</f>
        <v>#VALUE!</v>
      </c>
      <c r="I261" s="39" t="e">
        <f>YEAR(Libro_Diario[[#This Row],[Fecha]])</f>
        <v>#VALUE!</v>
      </c>
    </row>
    <row r="262" spans="3:9" x14ac:dyDescent="0.3">
      <c r="C262" s="38"/>
      <c r="D262" s="39"/>
      <c r="E262" s="39"/>
      <c r="F262" s="40"/>
      <c r="G262" s="41"/>
      <c r="H262" s="39" t="e">
        <f>MONTH(Libro_Diario[[#This Row],[Fecha]])</f>
        <v>#VALUE!</v>
      </c>
      <c r="I262" s="39" t="e">
        <f>YEAR(Libro_Diario[[#This Row],[Fecha]])</f>
        <v>#VALUE!</v>
      </c>
    </row>
    <row r="263" spans="3:9" x14ac:dyDescent="0.3">
      <c r="C263" s="38"/>
      <c r="D263" s="39"/>
      <c r="E263" s="39"/>
      <c r="F263" s="40"/>
      <c r="G263" s="41"/>
      <c r="H263" s="39" t="e">
        <f>MONTH(Libro_Diario[[#This Row],[Fecha]])</f>
        <v>#VALUE!</v>
      </c>
      <c r="I263" s="39" t="e">
        <f>YEAR(Libro_Diario[[#This Row],[Fecha]])</f>
        <v>#VALUE!</v>
      </c>
    </row>
    <row r="264" spans="3:9" x14ac:dyDescent="0.3">
      <c r="C264" s="38"/>
      <c r="D264" s="39"/>
      <c r="E264" s="39"/>
      <c r="F264" s="40"/>
      <c r="G264" s="41"/>
      <c r="H264" s="39" t="e">
        <f>MONTH(Libro_Diario[[#This Row],[Fecha]])</f>
        <v>#VALUE!</v>
      </c>
      <c r="I264" s="39" t="e">
        <f>YEAR(Libro_Diario[[#This Row],[Fecha]])</f>
        <v>#VALUE!</v>
      </c>
    </row>
    <row r="265" spans="3:9" x14ac:dyDescent="0.3">
      <c r="C265" s="38"/>
      <c r="D265" s="39"/>
      <c r="E265" s="39"/>
      <c r="F265" s="40"/>
      <c r="G265" s="41"/>
      <c r="H265" s="39" t="e">
        <f>MONTH(Libro_Diario[[#This Row],[Fecha]])</f>
        <v>#VALUE!</v>
      </c>
      <c r="I265" s="39" t="e">
        <f>YEAR(Libro_Diario[[#This Row],[Fecha]])</f>
        <v>#VALUE!</v>
      </c>
    </row>
    <row r="266" spans="3:9" x14ac:dyDescent="0.3">
      <c r="C266" s="38"/>
      <c r="D266" s="39"/>
      <c r="E266" s="39"/>
      <c r="F266" s="40"/>
      <c r="G266" s="41"/>
      <c r="H266" s="39" t="e">
        <f>MONTH(Libro_Diario[[#This Row],[Fecha]])</f>
        <v>#VALUE!</v>
      </c>
      <c r="I266" s="39" t="e">
        <f>YEAR(Libro_Diario[[#This Row],[Fecha]])</f>
        <v>#VALUE!</v>
      </c>
    </row>
    <row r="267" spans="3:9" x14ac:dyDescent="0.3">
      <c r="C267" s="38"/>
      <c r="D267" s="39"/>
      <c r="E267" s="39"/>
      <c r="F267" s="40"/>
      <c r="G267" s="41"/>
      <c r="H267" s="39" t="e">
        <f>MONTH(Libro_Diario[[#This Row],[Fecha]])</f>
        <v>#VALUE!</v>
      </c>
      <c r="I267" s="39" t="e">
        <f>YEAR(Libro_Diario[[#This Row],[Fecha]])</f>
        <v>#VALUE!</v>
      </c>
    </row>
    <row r="268" spans="3:9" x14ac:dyDescent="0.3">
      <c r="C268" s="38"/>
      <c r="D268" s="39"/>
      <c r="E268" s="39"/>
      <c r="F268" s="40"/>
      <c r="G268" s="41"/>
      <c r="H268" s="39" t="e">
        <f>MONTH(Libro_Diario[[#This Row],[Fecha]])</f>
        <v>#VALUE!</v>
      </c>
      <c r="I268" s="39" t="e">
        <f>YEAR(Libro_Diario[[#This Row],[Fecha]])</f>
        <v>#VALUE!</v>
      </c>
    </row>
    <row r="269" spans="3:9" x14ac:dyDescent="0.3">
      <c r="C269" s="38"/>
      <c r="D269" s="39"/>
      <c r="E269" s="39"/>
      <c r="F269" s="40"/>
      <c r="G269" s="41"/>
      <c r="H269" s="39" t="e">
        <f>MONTH(Libro_Diario[[#This Row],[Fecha]])</f>
        <v>#VALUE!</v>
      </c>
      <c r="I269" s="39" t="e">
        <f>YEAR(Libro_Diario[[#This Row],[Fecha]])</f>
        <v>#VALUE!</v>
      </c>
    </row>
    <row r="270" spans="3:9" x14ac:dyDescent="0.3">
      <c r="C270" s="38"/>
      <c r="D270" s="39"/>
      <c r="E270" s="39"/>
      <c r="F270" s="40"/>
      <c r="G270" s="41"/>
      <c r="H270" s="39" t="e">
        <f>MONTH(Libro_Diario[[#This Row],[Fecha]])</f>
        <v>#VALUE!</v>
      </c>
      <c r="I270" s="39" t="e">
        <f>YEAR(Libro_Diario[[#This Row],[Fecha]])</f>
        <v>#VALUE!</v>
      </c>
    </row>
    <row r="271" spans="3:9" x14ac:dyDescent="0.3">
      <c r="C271" s="38"/>
      <c r="D271" s="39"/>
      <c r="E271" s="39"/>
      <c r="F271" s="40"/>
      <c r="G271" s="41"/>
      <c r="H271" s="39" t="e">
        <f>MONTH(Libro_Diario[[#This Row],[Fecha]])</f>
        <v>#VALUE!</v>
      </c>
      <c r="I271" s="39" t="e">
        <f>YEAR(Libro_Diario[[#This Row],[Fecha]])</f>
        <v>#VALUE!</v>
      </c>
    </row>
    <row r="272" spans="3:9" x14ac:dyDescent="0.3">
      <c r="C272" s="38"/>
      <c r="D272" s="39"/>
      <c r="E272" s="39"/>
      <c r="F272" s="40"/>
      <c r="G272" s="41"/>
      <c r="H272" s="39" t="e">
        <f>MONTH(Libro_Diario[[#This Row],[Fecha]])</f>
        <v>#VALUE!</v>
      </c>
      <c r="I272" s="39" t="e">
        <f>YEAR(Libro_Diario[[#This Row],[Fecha]])</f>
        <v>#VALUE!</v>
      </c>
    </row>
    <row r="273" spans="3:9" x14ac:dyDescent="0.3">
      <c r="C273" s="38"/>
      <c r="D273" s="39"/>
      <c r="E273" s="39"/>
      <c r="F273" s="40"/>
      <c r="G273" s="41"/>
      <c r="H273" s="39" t="e">
        <f>MONTH(Libro_Diario[[#This Row],[Fecha]])</f>
        <v>#VALUE!</v>
      </c>
      <c r="I273" s="39" t="e">
        <f>YEAR(Libro_Diario[[#This Row],[Fecha]])</f>
        <v>#VALUE!</v>
      </c>
    </row>
    <row r="274" spans="3:9" x14ac:dyDescent="0.3">
      <c r="C274" s="38"/>
      <c r="D274" s="39"/>
      <c r="E274" s="39"/>
      <c r="F274" s="40"/>
      <c r="G274" s="41"/>
      <c r="H274" s="39" t="e">
        <f>MONTH(Libro_Diario[[#This Row],[Fecha]])</f>
        <v>#VALUE!</v>
      </c>
      <c r="I274" s="39" t="e">
        <f>YEAR(Libro_Diario[[#This Row],[Fecha]])</f>
        <v>#VALUE!</v>
      </c>
    </row>
    <row r="275" spans="3:9" x14ac:dyDescent="0.3">
      <c r="C275" s="38"/>
      <c r="D275" s="39"/>
      <c r="E275" s="39"/>
      <c r="F275" s="40"/>
      <c r="G275" s="41"/>
      <c r="H275" s="39" t="e">
        <f>MONTH(Libro_Diario[[#This Row],[Fecha]])</f>
        <v>#VALUE!</v>
      </c>
      <c r="I275" s="39" t="e">
        <f>YEAR(Libro_Diario[[#This Row],[Fecha]])</f>
        <v>#VALUE!</v>
      </c>
    </row>
    <row r="276" spans="3:9" x14ac:dyDescent="0.3">
      <c r="C276" s="38"/>
      <c r="D276" s="39"/>
      <c r="E276" s="39"/>
      <c r="F276" s="40"/>
      <c r="G276" s="41"/>
      <c r="H276" s="39" t="e">
        <f>MONTH(Libro_Diario[[#This Row],[Fecha]])</f>
        <v>#VALUE!</v>
      </c>
      <c r="I276" s="39" t="e">
        <f>YEAR(Libro_Diario[[#This Row],[Fecha]])</f>
        <v>#VALUE!</v>
      </c>
    </row>
    <row r="277" spans="3:9" x14ac:dyDescent="0.3">
      <c r="C277" s="38"/>
      <c r="D277" s="39"/>
      <c r="E277" s="39"/>
      <c r="F277" s="40"/>
      <c r="G277" s="41"/>
      <c r="H277" s="39" t="e">
        <f>MONTH(Libro_Diario[[#This Row],[Fecha]])</f>
        <v>#VALUE!</v>
      </c>
      <c r="I277" s="39" t="e">
        <f>YEAR(Libro_Diario[[#This Row],[Fecha]])</f>
        <v>#VALUE!</v>
      </c>
    </row>
    <row r="278" spans="3:9" x14ac:dyDescent="0.3">
      <c r="C278" s="38"/>
      <c r="D278" s="39"/>
      <c r="E278" s="39"/>
      <c r="F278" s="40"/>
      <c r="G278" s="41"/>
      <c r="H278" s="39" t="e">
        <f>MONTH(Libro_Diario[[#This Row],[Fecha]])</f>
        <v>#VALUE!</v>
      </c>
      <c r="I278" s="39" t="e">
        <f>YEAR(Libro_Diario[[#This Row],[Fecha]])</f>
        <v>#VALUE!</v>
      </c>
    </row>
    <row r="279" spans="3:9" x14ac:dyDescent="0.3">
      <c r="C279" s="38"/>
      <c r="D279" s="39"/>
      <c r="E279" s="39"/>
      <c r="F279" s="40"/>
      <c r="G279" s="41"/>
      <c r="H279" s="39" t="e">
        <f>MONTH(Libro_Diario[[#This Row],[Fecha]])</f>
        <v>#VALUE!</v>
      </c>
      <c r="I279" s="39" t="e">
        <f>YEAR(Libro_Diario[[#This Row],[Fecha]])</f>
        <v>#VALUE!</v>
      </c>
    </row>
    <row r="280" spans="3:9" x14ac:dyDescent="0.3">
      <c r="C280" s="38"/>
      <c r="D280" s="39"/>
      <c r="E280" s="39"/>
      <c r="F280" s="40"/>
      <c r="G280" s="41"/>
      <c r="H280" s="39" t="e">
        <f>MONTH(Libro_Diario[[#This Row],[Fecha]])</f>
        <v>#VALUE!</v>
      </c>
      <c r="I280" s="39" t="e">
        <f>YEAR(Libro_Diario[[#This Row],[Fecha]])</f>
        <v>#VALUE!</v>
      </c>
    </row>
    <row r="281" spans="3:9" x14ac:dyDescent="0.3">
      <c r="C281" s="38"/>
      <c r="D281" s="39"/>
      <c r="E281" s="39"/>
      <c r="F281" s="40"/>
      <c r="G281" s="41"/>
      <c r="H281" s="39" t="e">
        <f>MONTH(Libro_Diario[[#This Row],[Fecha]])</f>
        <v>#VALUE!</v>
      </c>
      <c r="I281" s="39" t="e">
        <f>YEAR(Libro_Diario[[#This Row],[Fecha]])</f>
        <v>#VALUE!</v>
      </c>
    </row>
    <row r="282" spans="3:9" x14ac:dyDescent="0.3">
      <c r="C282" s="38"/>
      <c r="D282" s="39"/>
      <c r="E282" s="39"/>
      <c r="F282" s="40"/>
      <c r="G282" s="41"/>
      <c r="H282" s="39" t="e">
        <f>MONTH(Libro_Diario[[#This Row],[Fecha]])</f>
        <v>#VALUE!</v>
      </c>
      <c r="I282" s="39" t="e">
        <f>YEAR(Libro_Diario[[#This Row],[Fecha]])</f>
        <v>#VALUE!</v>
      </c>
    </row>
    <row r="283" spans="3:9" x14ac:dyDescent="0.3">
      <c r="C283" s="38"/>
      <c r="D283" s="39"/>
      <c r="E283" s="39"/>
      <c r="F283" s="40"/>
      <c r="G283" s="41"/>
      <c r="H283" s="39" t="e">
        <f>MONTH(Libro_Diario[[#This Row],[Fecha]])</f>
        <v>#VALUE!</v>
      </c>
      <c r="I283" s="39" t="e">
        <f>YEAR(Libro_Diario[[#This Row],[Fecha]])</f>
        <v>#VALUE!</v>
      </c>
    </row>
    <row r="284" spans="3:9" x14ac:dyDescent="0.3">
      <c r="C284" s="38"/>
      <c r="D284" s="39"/>
      <c r="E284" s="39"/>
      <c r="F284" s="40"/>
      <c r="G284" s="41"/>
      <c r="H284" s="39" t="e">
        <f>MONTH(Libro_Diario[[#This Row],[Fecha]])</f>
        <v>#VALUE!</v>
      </c>
      <c r="I284" s="39" t="e">
        <f>YEAR(Libro_Diario[[#This Row],[Fecha]])</f>
        <v>#VALUE!</v>
      </c>
    </row>
    <row r="285" spans="3:9" x14ac:dyDescent="0.3">
      <c r="C285" s="38"/>
      <c r="D285" s="39"/>
      <c r="E285" s="39"/>
      <c r="F285" s="40"/>
      <c r="G285" s="41"/>
      <c r="H285" s="39" t="e">
        <f>MONTH(Libro_Diario[[#This Row],[Fecha]])</f>
        <v>#VALUE!</v>
      </c>
      <c r="I285" s="39" t="e">
        <f>YEAR(Libro_Diario[[#This Row],[Fecha]])</f>
        <v>#VALUE!</v>
      </c>
    </row>
    <row r="286" spans="3:9" x14ac:dyDescent="0.3">
      <c r="C286" s="38"/>
      <c r="D286" s="39"/>
      <c r="E286" s="39"/>
      <c r="F286" s="40"/>
      <c r="G286" s="41"/>
      <c r="H286" s="39" t="e">
        <f>MONTH(Libro_Diario[[#This Row],[Fecha]])</f>
        <v>#VALUE!</v>
      </c>
      <c r="I286" s="39" t="e">
        <f>YEAR(Libro_Diario[[#This Row],[Fecha]])</f>
        <v>#VALUE!</v>
      </c>
    </row>
    <row r="287" spans="3:9" x14ac:dyDescent="0.3">
      <c r="C287" s="38"/>
      <c r="D287" s="39"/>
      <c r="E287" s="39"/>
      <c r="F287" s="40"/>
      <c r="G287" s="41"/>
      <c r="H287" s="39" t="e">
        <f>MONTH(Libro_Diario[[#This Row],[Fecha]])</f>
        <v>#VALUE!</v>
      </c>
      <c r="I287" s="39" t="e">
        <f>YEAR(Libro_Diario[[#This Row],[Fecha]])</f>
        <v>#VALUE!</v>
      </c>
    </row>
    <row r="288" spans="3:9" x14ac:dyDescent="0.3">
      <c r="C288" s="38"/>
      <c r="D288" s="39"/>
      <c r="E288" s="39"/>
      <c r="F288" s="40"/>
      <c r="G288" s="41"/>
      <c r="H288" s="39" t="e">
        <f>MONTH(Libro_Diario[[#This Row],[Fecha]])</f>
        <v>#VALUE!</v>
      </c>
      <c r="I288" s="39" t="e">
        <f>YEAR(Libro_Diario[[#This Row],[Fecha]])</f>
        <v>#VALUE!</v>
      </c>
    </row>
    <row r="289" spans="3:9" x14ac:dyDescent="0.3">
      <c r="C289" s="38"/>
      <c r="D289" s="39"/>
      <c r="E289" s="39"/>
      <c r="F289" s="40"/>
      <c r="G289" s="41"/>
      <c r="H289" s="39" t="e">
        <f>MONTH(Libro_Diario[[#This Row],[Fecha]])</f>
        <v>#VALUE!</v>
      </c>
      <c r="I289" s="39" t="e">
        <f>YEAR(Libro_Diario[[#This Row],[Fecha]])</f>
        <v>#VALUE!</v>
      </c>
    </row>
    <row r="290" spans="3:9" x14ac:dyDescent="0.3">
      <c r="C290" s="38"/>
      <c r="D290" s="39"/>
      <c r="E290" s="39"/>
      <c r="F290" s="40"/>
      <c r="G290" s="41"/>
      <c r="H290" s="39" t="e">
        <f>MONTH(Libro_Diario[[#This Row],[Fecha]])</f>
        <v>#VALUE!</v>
      </c>
      <c r="I290" s="39" t="e">
        <f>YEAR(Libro_Diario[[#This Row],[Fecha]])</f>
        <v>#VALUE!</v>
      </c>
    </row>
    <row r="291" spans="3:9" x14ac:dyDescent="0.3">
      <c r="C291" s="38"/>
      <c r="D291" s="39"/>
      <c r="E291" s="39"/>
      <c r="F291" s="40"/>
      <c r="G291" s="41"/>
      <c r="H291" s="39" t="e">
        <f>MONTH(Libro_Diario[[#This Row],[Fecha]])</f>
        <v>#VALUE!</v>
      </c>
      <c r="I291" s="39" t="e">
        <f>YEAR(Libro_Diario[[#This Row],[Fecha]])</f>
        <v>#VALUE!</v>
      </c>
    </row>
    <row r="292" spans="3:9" x14ac:dyDescent="0.3">
      <c r="C292" s="38"/>
      <c r="D292" s="39"/>
      <c r="E292" s="39"/>
      <c r="F292" s="40"/>
      <c r="G292" s="41"/>
      <c r="H292" s="39" t="e">
        <f>MONTH(Libro_Diario[[#This Row],[Fecha]])</f>
        <v>#VALUE!</v>
      </c>
      <c r="I292" s="39" t="e">
        <f>YEAR(Libro_Diario[[#This Row],[Fecha]])</f>
        <v>#VALUE!</v>
      </c>
    </row>
    <row r="293" spans="3:9" x14ac:dyDescent="0.3">
      <c r="C293" s="38"/>
      <c r="D293" s="39"/>
      <c r="E293" s="39"/>
      <c r="F293" s="40"/>
      <c r="G293" s="41"/>
      <c r="H293" s="39" t="e">
        <f>MONTH(Libro_Diario[[#This Row],[Fecha]])</f>
        <v>#VALUE!</v>
      </c>
      <c r="I293" s="39" t="e">
        <f>YEAR(Libro_Diario[[#This Row],[Fecha]])</f>
        <v>#VALUE!</v>
      </c>
    </row>
    <row r="294" spans="3:9" x14ac:dyDescent="0.3">
      <c r="C294" s="38"/>
      <c r="D294" s="39"/>
      <c r="E294" s="39"/>
      <c r="F294" s="40"/>
      <c r="G294" s="41"/>
      <c r="H294" s="39" t="e">
        <f>MONTH(Libro_Diario[[#This Row],[Fecha]])</f>
        <v>#VALUE!</v>
      </c>
      <c r="I294" s="39" t="e">
        <f>YEAR(Libro_Diario[[#This Row],[Fecha]])</f>
        <v>#VALUE!</v>
      </c>
    </row>
    <row r="295" spans="3:9" x14ac:dyDescent="0.3">
      <c r="C295" s="38"/>
      <c r="D295" s="39"/>
      <c r="E295" s="39"/>
      <c r="F295" s="40"/>
      <c r="G295" s="41"/>
      <c r="H295" s="39" t="e">
        <f>MONTH(Libro_Diario[[#This Row],[Fecha]])</f>
        <v>#VALUE!</v>
      </c>
      <c r="I295" s="39" t="e">
        <f>YEAR(Libro_Diario[[#This Row],[Fecha]])</f>
        <v>#VALUE!</v>
      </c>
    </row>
    <row r="296" spans="3:9" x14ac:dyDescent="0.3">
      <c r="C296" s="38"/>
      <c r="D296" s="39"/>
      <c r="E296" s="39"/>
      <c r="F296" s="40"/>
      <c r="G296" s="41"/>
      <c r="H296" s="39" t="e">
        <f>MONTH(Libro_Diario[[#This Row],[Fecha]])</f>
        <v>#VALUE!</v>
      </c>
      <c r="I296" s="39" t="e">
        <f>YEAR(Libro_Diario[[#This Row],[Fecha]])</f>
        <v>#VALUE!</v>
      </c>
    </row>
    <row r="297" spans="3:9" x14ac:dyDescent="0.3">
      <c r="C297" s="38"/>
      <c r="D297" s="39"/>
      <c r="E297" s="39"/>
      <c r="F297" s="40"/>
      <c r="G297" s="41"/>
      <c r="H297" s="39" t="e">
        <f>MONTH(Libro_Diario[[#This Row],[Fecha]])</f>
        <v>#VALUE!</v>
      </c>
      <c r="I297" s="39" t="e">
        <f>YEAR(Libro_Diario[[#This Row],[Fecha]])</f>
        <v>#VALUE!</v>
      </c>
    </row>
    <row r="298" spans="3:9" x14ac:dyDescent="0.3">
      <c r="C298" s="38"/>
      <c r="D298" s="39"/>
      <c r="E298" s="39"/>
      <c r="F298" s="40"/>
      <c r="G298" s="41"/>
      <c r="H298" s="39" t="e">
        <f>MONTH(Libro_Diario[[#This Row],[Fecha]])</f>
        <v>#VALUE!</v>
      </c>
      <c r="I298" s="39" t="e">
        <f>YEAR(Libro_Diario[[#This Row],[Fecha]])</f>
        <v>#VALUE!</v>
      </c>
    </row>
    <row r="299" spans="3:9" x14ac:dyDescent="0.3">
      <c r="C299" s="38"/>
      <c r="D299" s="39"/>
      <c r="E299" s="39"/>
      <c r="F299" s="40"/>
      <c r="G299" s="41"/>
      <c r="H299" s="39" t="e">
        <f>MONTH(Libro_Diario[[#This Row],[Fecha]])</f>
        <v>#VALUE!</v>
      </c>
      <c r="I299" s="39" t="e">
        <f>YEAR(Libro_Diario[[#This Row],[Fecha]])</f>
        <v>#VALUE!</v>
      </c>
    </row>
    <row r="300" spans="3:9" x14ac:dyDescent="0.3">
      <c r="C300" s="38"/>
      <c r="D300" s="39"/>
      <c r="E300" s="39"/>
      <c r="F300" s="40"/>
      <c r="G300" s="41"/>
      <c r="H300" s="39" t="e">
        <f>MONTH(Libro_Diario[[#This Row],[Fecha]])</f>
        <v>#VALUE!</v>
      </c>
      <c r="I300" s="39" t="e">
        <f>YEAR(Libro_Diario[[#This Row],[Fecha]])</f>
        <v>#VALUE!</v>
      </c>
    </row>
    <row r="301" spans="3:9" x14ac:dyDescent="0.3">
      <c r="C301" s="38"/>
      <c r="D301" s="39"/>
      <c r="E301" s="39"/>
      <c r="F301" s="40"/>
      <c r="G301" s="41"/>
      <c r="H301" s="39" t="e">
        <f>MONTH(Libro_Diario[[#This Row],[Fecha]])</f>
        <v>#VALUE!</v>
      </c>
      <c r="I301" s="39" t="e">
        <f>YEAR(Libro_Diario[[#This Row],[Fecha]])</f>
        <v>#VALUE!</v>
      </c>
    </row>
    <row r="302" spans="3:9" x14ac:dyDescent="0.3">
      <c r="C302" s="38"/>
      <c r="D302" s="39"/>
      <c r="E302" s="39"/>
      <c r="F302" s="40"/>
      <c r="G302" s="41"/>
      <c r="H302" s="39" t="e">
        <f>MONTH(Libro_Diario[[#This Row],[Fecha]])</f>
        <v>#VALUE!</v>
      </c>
      <c r="I302" s="39" t="e">
        <f>YEAR(Libro_Diario[[#This Row],[Fecha]])</f>
        <v>#VALUE!</v>
      </c>
    </row>
    <row r="303" spans="3:9" x14ac:dyDescent="0.3">
      <c r="C303" s="38"/>
      <c r="D303" s="39"/>
      <c r="E303" s="39"/>
      <c r="F303" s="40"/>
      <c r="G303" s="41"/>
      <c r="H303" s="39" t="e">
        <f>MONTH(Libro_Diario[[#This Row],[Fecha]])</f>
        <v>#VALUE!</v>
      </c>
      <c r="I303" s="39" t="e">
        <f>YEAR(Libro_Diario[[#This Row],[Fecha]])</f>
        <v>#VALUE!</v>
      </c>
    </row>
    <row r="304" spans="3:9" x14ac:dyDescent="0.3">
      <c r="C304" s="38"/>
      <c r="D304" s="39"/>
      <c r="E304" s="39"/>
      <c r="F304" s="40"/>
      <c r="G304" s="41"/>
      <c r="H304" s="39" t="e">
        <f>MONTH(Libro_Diario[[#This Row],[Fecha]])</f>
        <v>#VALUE!</v>
      </c>
      <c r="I304" s="39" t="e">
        <f>YEAR(Libro_Diario[[#This Row],[Fecha]])</f>
        <v>#VALUE!</v>
      </c>
    </row>
    <row r="305" spans="3:9" x14ac:dyDescent="0.3">
      <c r="C305" s="38"/>
      <c r="D305" s="39"/>
      <c r="E305" s="39"/>
      <c r="F305" s="40"/>
      <c r="G305" s="41"/>
      <c r="H305" s="39" t="e">
        <f>MONTH(Libro_Diario[[#This Row],[Fecha]])</f>
        <v>#VALUE!</v>
      </c>
      <c r="I305" s="39" t="e">
        <f>YEAR(Libro_Diario[[#This Row],[Fecha]])</f>
        <v>#VALUE!</v>
      </c>
    </row>
    <row r="306" spans="3:9" x14ac:dyDescent="0.3">
      <c r="C306" s="38"/>
      <c r="D306" s="39"/>
      <c r="E306" s="39"/>
      <c r="F306" s="40"/>
      <c r="G306" s="41"/>
      <c r="H306" s="39" t="e">
        <f>MONTH(Libro_Diario[[#This Row],[Fecha]])</f>
        <v>#VALUE!</v>
      </c>
      <c r="I306" s="39" t="e">
        <f>YEAR(Libro_Diario[[#This Row],[Fecha]])</f>
        <v>#VALUE!</v>
      </c>
    </row>
    <row r="307" spans="3:9" x14ac:dyDescent="0.3">
      <c r="C307" s="38"/>
      <c r="D307" s="39"/>
      <c r="E307" s="39"/>
      <c r="F307" s="40"/>
      <c r="G307" s="41"/>
      <c r="H307" s="39" t="e">
        <f>MONTH(Libro_Diario[[#This Row],[Fecha]])</f>
        <v>#VALUE!</v>
      </c>
      <c r="I307" s="39" t="e">
        <f>YEAR(Libro_Diario[[#This Row],[Fecha]])</f>
        <v>#VALUE!</v>
      </c>
    </row>
    <row r="308" spans="3:9" x14ac:dyDescent="0.3">
      <c r="C308" s="38"/>
      <c r="D308" s="39"/>
      <c r="E308" s="39"/>
      <c r="F308" s="40"/>
      <c r="G308" s="41"/>
      <c r="H308" s="39" t="e">
        <f>MONTH(Libro_Diario[[#This Row],[Fecha]])</f>
        <v>#VALUE!</v>
      </c>
      <c r="I308" s="39" t="e">
        <f>YEAR(Libro_Diario[[#This Row],[Fecha]])</f>
        <v>#VALUE!</v>
      </c>
    </row>
    <row r="309" spans="3:9" x14ac:dyDescent="0.3">
      <c r="C309" s="38"/>
      <c r="D309" s="39"/>
      <c r="E309" s="39"/>
      <c r="F309" s="40"/>
      <c r="G309" s="41"/>
      <c r="H309" s="39" t="e">
        <f>MONTH(Libro_Diario[[#This Row],[Fecha]])</f>
        <v>#VALUE!</v>
      </c>
      <c r="I309" s="39" t="e">
        <f>YEAR(Libro_Diario[[#This Row],[Fecha]])</f>
        <v>#VALUE!</v>
      </c>
    </row>
    <row r="310" spans="3:9" x14ac:dyDescent="0.3">
      <c r="C310" s="38"/>
      <c r="D310" s="39"/>
      <c r="E310" s="39"/>
      <c r="F310" s="40"/>
      <c r="G310" s="41"/>
      <c r="H310" s="39" t="e">
        <f>MONTH(Libro_Diario[[#This Row],[Fecha]])</f>
        <v>#VALUE!</v>
      </c>
      <c r="I310" s="39" t="e">
        <f>YEAR(Libro_Diario[[#This Row],[Fecha]])</f>
        <v>#VALUE!</v>
      </c>
    </row>
    <row r="311" spans="3:9" x14ac:dyDescent="0.3">
      <c r="C311" s="38"/>
      <c r="D311" s="39"/>
      <c r="E311" s="39"/>
      <c r="F311" s="40"/>
      <c r="G311" s="41"/>
      <c r="H311" s="39" t="e">
        <f>MONTH(Libro_Diario[[#This Row],[Fecha]])</f>
        <v>#VALUE!</v>
      </c>
      <c r="I311" s="39" t="e">
        <f>YEAR(Libro_Diario[[#This Row],[Fecha]])</f>
        <v>#VALUE!</v>
      </c>
    </row>
    <row r="312" spans="3:9" x14ac:dyDescent="0.3">
      <c r="C312" s="38"/>
      <c r="D312" s="39"/>
      <c r="E312" s="39"/>
      <c r="F312" s="40"/>
      <c r="G312" s="41"/>
      <c r="H312" s="39" t="e">
        <f>MONTH(Libro_Diario[[#This Row],[Fecha]])</f>
        <v>#VALUE!</v>
      </c>
      <c r="I312" s="39" t="e">
        <f>YEAR(Libro_Diario[[#This Row],[Fecha]])</f>
        <v>#VALUE!</v>
      </c>
    </row>
    <row r="313" spans="3:9" x14ac:dyDescent="0.3">
      <c r="C313" s="38"/>
      <c r="D313" s="39"/>
      <c r="E313" s="39"/>
      <c r="F313" s="40"/>
      <c r="G313" s="41"/>
      <c r="H313" s="39" t="e">
        <f>MONTH(Libro_Diario[[#This Row],[Fecha]])</f>
        <v>#VALUE!</v>
      </c>
      <c r="I313" s="39" t="e">
        <f>YEAR(Libro_Diario[[#This Row],[Fecha]])</f>
        <v>#VALUE!</v>
      </c>
    </row>
    <row r="314" spans="3:9" x14ac:dyDescent="0.3">
      <c r="C314" s="38"/>
      <c r="D314" s="39"/>
      <c r="E314" s="39"/>
      <c r="F314" s="40"/>
      <c r="G314" s="41"/>
      <c r="H314" s="39" t="e">
        <f>MONTH(Libro_Diario[[#This Row],[Fecha]])</f>
        <v>#VALUE!</v>
      </c>
      <c r="I314" s="39" t="e">
        <f>YEAR(Libro_Diario[[#This Row],[Fecha]])</f>
        <v>#VALUE!</v>
      </c>
    </row>
    <row r="315" spans="3:9" x14ac:dyDescent="0.3">
      <c r="C315" s="38"/>
      <c r="D315" s="39"/>
      <c r="E315" s="39"/>
      <c r="F315" s="40"/>
      <c r="G315" s="41"/>
      <c r="H315" s="39" t="e">
        <f>MONTH(Libro_Diario[[#This Row],[Fecha]])</f>
        <v>#VALUE!</v>
      </c>
      <c r="I315" s="39" t="e">
        <f>YEAR(Libro_Diario[[#This Row],[Fecha]])</f>
        <v>#VALUE!</v>
      </c>
    </row>
    <row r="316" spans="3:9" x14ac:dyDescent="0.3">
      <c r="C316" s="38"/>
      <c r="D316" s="39"/>
      <c r="E316" s="39"/>
      <c r="F316" s="40"/>
      <c r="G316" s="41"/>
      <c r="H316" s="39" t="e">
        <f>MONTH(Libro_Diario[[#This Row],[Fecha]])</f>
        <v>#VALUE!</v>
      </c>
      <c r="I316" s="39" t="e">
        <f>YEAR(Libro_Diario[[#This Row],[Fecha]])</f>
        <v>#VALUE!</v>
      </c>
    </row>
    <row r="317" spans="3:9" x14ac:dyDescent="0.3">
      <c r="C317" s="38"/>
      <c r="D317" s="39"/>
      <c r="E317" s="39"/>
      <c r="F317" s="40"/>
      <c r="G317" s="41"/>
      <c r="H317" s="39" t="e">
        <f>MONTH(Libro_Diario[[#This Row],[Fecha]])</f>
        <v>#VALUE!</v>
      </c>
      <c r="I317" s="39" t="e">
        <f>YEAR(Libro_Diario[[#This Row],[Fecha]])</f>
        <v>#VALUE!</v>
      </c>
    </row>
    <row r="318" spans="3:9" x14ac:dyDescent="0.3">
      <c r="C318" s="38"/>
      <c r="D318" s="39"/>
      <c r="E318" s="39"/>
      <c r="F318" s="40"/>
      <c r="G318" s="41"/>
      <c r="H318" s="39" t="e">
        <f>MONTH(Libro_Diario[[#This Row],[Fecha]])</f>
        <v>#VALUE!</v>
      </c>
      <c r="I318" s="39" t="e">
        <f>YEAR(Libro_Diario[[#This Row],[Fecha]])</f>
        <v>#VALUE!</v>
      </c>
    </row>
    <row r="319" spans="3:9" x14ac:dyDescent="0.3">
      <c r="C319" s="38"/>
      <c r="D319" s="39"/>
      <c r="E319" s="39"/>
      <c r="F319" s="40"/>
      <c r="G319" s="41"/>
      <c r="H319" s="39" t="e">
        <f>MONTH(Libro_Diario[[#This Row],[Fecha]])</f>
        <v>#VALUE!</v>
      </c>
      <c r="I319" s="39" t="e">
        <f>YEAR(Libro_Diario[[#This Row],[Fecha]])</f>
        <v>#VALUE!</v>
      </c>
    </row>
    <row r="320" spans="3:9" x14ac:dyDescent="0.3">
      <c r="C320" s="38"/>
      <c r="D320" s="39"/>
      <c r="E320" s="39"/>
      <c r="F320" s="40"/>
      <c r="G320" s="41"/>
      <c r="H320" s="39" t="e">
        <f>MONTH(Libro_Diario[[#This Row],[Fecha]])</f>
        <v>#VALUE!</v>
      </c>
      <c r="I320" s="39" t="e">
        <f>YEAR(Libro_Diario[[#This Row],[Fecha]])</f>
        <v>#VALUE!</v>
      </c>
    </row>
    <row r="321" spans="2:9" x14ac:dyDescent="0.3">
      <c r="C321" s="38"/>
      <c r="D321" s="39"/>
      <c r="E321" s="39"/>
      <c r="F321" s="40"/>
      <c r="G321" s="41"/>
      <c r="H321" s="39" t="e">
        <f>MONTH(Libro_Diario[[#This Row],[Fecha]])</f>
        <v>#VALUE!</v>
      </c>
      <c r="I321" s="39" t="e">
        <f>YEAR(Libro_Diario[[#This Row],[Fecha]])</f>
        <v>#VALUE!</v>
      </c>
    </row>
    <row r="322" spans="2:9" x14ac:dyDescent="0.3">
      <c r="C322" s="38"/>
      <c r="D322" s="39"/>
      <c r="E322" s="39"/>
      <c r="F322" s="40"/>
      <c r="G322" s="41"/>
      <c r="H322" s="39" t="e">
        <f>MONTH(Libro_Diario[[#This Row],[Fecha]])</f>
        <v>#VALUE!</v>
      </c>
      <c r="I322" s="39" t="e">
        <f>YEAR(Libro_Diario[[#This Row],[Fecha]])</f>
        <v>#VALUE!</v>
      </c>
    </row>
    <row r="323" spans="2:9" x14ac:dyDescent="0.3">
      <c r="C323" s="38"/>
      <c r="D323" s="39"/>
      <c r="E323" s="39"/>
      <c r="F323" s="40"/>
      <c r="G323" s="41"/>
      <c r="H323" s="39" t="e">
        <f>MONTH(Libro_Diario[[#This Row],[Fecha]])</f>
        <v>#VALUE!</v>
      </c>
      <c r="I323" s="39" t="e">
        <f>YEAR(Libro_Diario[[#This Row],[Fecha]])</f>
        <v>#VALUE!</v>
      </c>
    </row>
    <row r="324" spans="2:9" x14ac:dyDescent="0.3">
      <c r="C324" s="38"/>
      <c r="D324" s="39"/>
      <c r="E324" s="39"/>
      <c r="F324" s="40"/>
      <c r="G324" s="41"/>
      <c r="H324" s="39" t="e">
        <f>MONTH(Libro_Diario[[#This Row],[Fecha]])</f>
        <v>#VALUE!</v>
      </c>
      <c r="I324" s="39" t="e">
        <f>YEAR(Libro_Diario[[#This Row],[Fecha]])</f>
        <v>#VALUE!</v>
      </c>
    </row>
    <row r="325" spans="2:9" x14ac:dyDescent="0.3">
      <c r="B325" s="38"/>
      <c r="C325" s="38"/>
      <c r="D325" s="39"/>
      <c r="E325" s="39"/>
      <c r="F325" s="40"/>
      <c r="G325" s="41"/>
      <c r="H325" s="39" t="e">
        <f>MONTH(Libro_Diario[[#This Row],[Fecha]])</f>
        <v>#VALUE!</v>
      </c>
      <c r="I325" s="39" t="e">
        <f>YEAR(Libro_Diario[[#This Row],[Fecha]])</f>
        <v>#VALUE!</v>
      </c>
    </row>
    <row r="326" spans="2:9" x14ac:dyDescent="0.3">
      <c r="C326" s="38"/>
      <c r="D326" s="39"/>
      <c r="E326" s="39"/>
      <c r="F326" s="40"/>
      <c r="G326" s="41"/>
      <c r="H326" s="39" t="e">
        <f>MONTH(Libro_Diario[[#This Row],[Fecha]])</f>
        <v>#VALUE!</v>
      </c>
      <c r="I326" s="39" t="e">
        <f>YEAR(Libro_Diario[[#This Row],[Fecha]])</f>
        <v>#VALUE!</v>
      </c>
    </row>
    <row r="327" spans="2:9" x14ac:dyDescent="0.3">
      <c r="C327" s="38"/>
      <c r="D327" s="39"/>
      <c r="E327" s="39"/>
      <c r="F327" s="40"/>
      <c r="G327" s="41"/>
      <c r="H327" s="39" t="e">
        <f>MONTH(Libro_Diario[[#This Row],[Fecha]])</f>
        <v>#VALUE!</v>
      </c>
      <c r="I327" s="39" t="e">
        <f>YEAR(Libro_Diario[[#This Row],[Fecha]])</f>
        <v>#VALUE!</v>
      </c>
    </row>
    <row r="328" spans="2:9" x14ac:dyDescent="0.3">
      <c r="C328" s="38"/>
      <c r="D328" s="39"/>
      <c r="E328" s="39"/>
      <c r="F328" s="40"/>
      <c r="G328" s="41"/>
      <c r="H328" s="39" t="e">
        <f>MONTH(Libro_Diario[[#This Row],[Fecha]])</f>
        <v>#VALUE!</v>
      </c>
      <c r="I328" s="39" t="e">
        <f>YEAR(Libro_Diario[[#This Row],[Fecha]])</f>
        <v>#VALUE!</v>
      </c>
    </row>
    <row r="329" spans="2:9" x14ac:dyDescent="0.3">
      <c r="C329" s="38"/>
      <c r="D329" s="39"/>
      <c r="E329" s="39"/>
      <c r="F329" s="40"/>
      <c r="G329" s="41"/>
      <c r="H329" s="39" t="e">
        <f>MONTH(Libro_Diario[[#This Row],[Fecha]])</f>
        <v>#VALUE!</v>
      </c>
      <c r="I329" s="39" t="e">
        <f>YEAR(Libro_Diario[[#This Row],[Fecha]])</f>
        <v>#VALUE!</v>
      </c>
    </row>
    <row r="330" spans="2:9" x14ac:dyDescent="0.3">
      <c r="C330" s="38"/>
      <c r="D330" s="39"/>
      <c r="E330" s="39"/>
      <c r="F330" s="40"/>
      <c r="G330" s="41"/>
      <c r="H330" s="39" t="e">
        <f>MONTH(Libro_Diario[[#This Row],[Fecha]])</f>
        <v>#VALUE!</v>
      </c>
      <c r="I330" s="39" t="e">
        <f>YEAR(Libro_Diario[[#This Row],[Fecha]])</f>
        <v>#VALUE!</v>
      </c>
    </row>
    <row r="331" spans="2:9" x14ac:dyDescent="0.3">
      <c r="C331" s="38"/>
      <c r="D331" s="39"/>
      <c r="E331" s="39"/>
      <c r="F331" s="40"/>
      <c r="G331" s="41"/>
      <c r="H331" s="39" t="e">
        <f>MONTH(Libro_Diario[[#This Row],[Fecha]])</f>
        <v>#VALUE!</v>
      </c>
      <c r="I331" s="39" t="e">
        <f>YEAR(Libro_Diario[[#This Row],[Fecha]])</f>
        <v>#VALUE!</v>
      </c>
    </row>
    <row r="332" spans="2:9" x14ac:dyDescent="0.3">
      <c r="C332" s="38"/>
      <c r="D332" s="39"/>
      <c r="E332" s="39"/>
      <c r="F332" s="40"/>
      <c r="G332" s="41"/>
      <c r="H332" s="39" t="e">
        <f>MONTH(Libro_Diario[[#This Row],[Fecha]])</f>
        <v>#VALUE!</v>
      </c>
      <c r="I332" s="39" t="e">
        <f>YEAR(Libro_Diario[[#This Row],[Fecha]])</f>
        <v>#VALUE!</v>
      </c>
    </row>
    <row r="333" spans="2:9" x14ac:dyDescent="0.3">
      <c r="C333" s="38"/>
      <c r="D333" s="39"/>
      <c r="E333" s="39"/>
      <c r="F333" s="40"/>
      <c r="G333" s="41"/>
      <c r="H333" s="39" t="e">
        <f>MONTH(Libro_Diario[[#This Row],[Fecha]])</f>
        <v>#VALUE!</v>
      </c>
      <c r="I333" s="39" t="e">
        <f>YEAR(Libro_Diario[[#This Row],[Fecha]])</f>
        <v>#VALUE!</v>
      </c>
    </row>
    <row r="334" spans="2:9" x14ac:dyDescent="0.3">
      <c r="C334" s="38"/>
      <c r="D334" s="39"/>
      <c r="E334" s="39"/>
      <c r="F334" s="40"/>
      <c r="G334" s="41"/>
      <c r="H334" s="39" t="e">
        <f>MONTH(Libro_Diario[[#This Row],[Fecha]])</f>
        <v>#VALUE!</v>
      </c>
      <c r="I334" s="39" t="e">
        <f>YEAR(Libro_Diario[[#This Row],[Fecha]])</f>
        <v>#VALUE!</v>
      </c>
    </row>
    <row r="335" spans="2:9" x14ac:dyDescent="0.3">
      <c r="C335" s="38"/>
      <c r="D335" s="39"/>
      <c r="E335" s="39"/>
      <c r="F335" s="40"/>
      <c r="G335" s="41"/>
      <c r="H335" s="39" t="e">
        <f>MONTH(Libro_Diario[[#This Row],[Fecha]])</f>
        <v>#VALUE!</v>
      </c>
      <c r="I335" s="39" t="e">
        <f>YEAR(Libro_Diario[[#This Row],[Fecha]])</f>
        <v>#VALUE!</v>
      </c>
    </row>
    <row r="336" spans="2:9" x14ac:dyDescent="0.3">
      <c r="C336" s="38"/>
      <c r="D336" s="39"/>
      <c r="E336" s="39"/>
      <c r="F336" s="40"/>
      <c r="G336" s="41"/>
      <c r="H336" s="39" t="e">
        <f>MONTH(Libro_Diario[[#This Row],[Fecha]])</f>
        <v>#VALUE!</v>
      </c>
      <c r="I336" s="39" t="e">
        <f>YEAR(Libro_Diario[[#This Row],[Fecha]])</f>
        <v>#VALUE!</v>
      </c>
    </row>
    <row r="337" spans="3:9" x14ac:dyDescent="0.3">
      <c r="C337" s="38"/>
      <c r="D337" s="39"/>
      <c r="E337" s="39"/>
      <c r="F337" s="40"/>
      <c r="G337" s="41"/>
      <c r="H337" s="39" t="e">
        <f>MONTH(Libro_Diario[[#This Row],[Fecha]])</f>
        <v>#VALUE!</v>
      </c>
      <c r="I337" s="39" t="e">
        <f>YEAR(Libro_Diario[[#This Row],[Fecha]])</f>
        <v>#VALUE!</v>
      </c>
    </row>
    <row r="338" spans="3:9" x14ac:dyDescent="0.3">
      <c r="C338" s="55"/>
      <c r="D338" s="39"/>
      <c r="E338" s="39"/>
      <c r="F338" s="40"/>
      <c r="G338" s="41"/>
      <c r="H338" s="39" t="e">
        <f>MONTH(Libro_Diario[[#This Row],[Fecha]])</f>
        <v>#VALUE!</v>
      </c>
      <c r="I338" s="39" t="e">
        <f>YEAR(Libro_Diario[[#This Row],[Fecha]])</f>
        <v>#VALUE!</v>
      </c>
    </row>
    <row r="339" spans="3:9" x14ac:dyDescent="0.3">
      <c r="C339" s="38"/>
      <c r="D339" s="39"/>
      <c r="E339" s="39"/>
      <c r="F339" s="40"/>
      <c r="G339" s="41"/>
      <c r="H339" s="39" t="e">
        <f>MONTH(Libro_Diario[[#This Row],[Fecha]])</f>
        <v>#VALUE!</v>
      </c>
      <c r="I339" s="39" t="e">
        <f>YEAR(Libro_Diario[[#This Row],[Fecha]])</f>
        <v>#VALUE!</v>
      </c>
    </row>
    <row r="340" spans="3:9" x14ac:dyDescent="0.3">
      <c r="C340" s="38"/>
      <c r="D340" s="39"/>
      <c r="E340" s="39"/>
      <c r="F340" s="40"/>
      <c r="G340" s="41"/>
      <c r="H340" s="39" t="e">
        <f>MONTH(Libro_Diario[[#This Row],[Fecha]])</f>
        <v>#VALUE!</v>
      </c>
      <c r="I340" s="39" t="e">
        <f>YEAR(Libro_Diario[[#This Row],[Fecha]])</f>
        <v>#VALUE!</v>
      </c>
    </row>
    <row r="341" spans="3:9" x14ac:dyDescent="0.3">
      <c r="C341" s="38"/>
      <c r="D341" s="39"/>
      <c r="E341" s="39"/>
      <c r="F341" s="40"/>
      <c r="G341" s="41"/>
      <c r="H341" s="39" t="e">
        <f>MONTH(Libro_Diario[[#This Row],[Fecha]])</f>
        <v>#VALUE!</v>
      </c>
      <c r="I341" s="39" t="e">
        <f>YEAR(Libro_Diario[[#This Row],[Fecha]])</f>
        <v>#VALUE!</v>
      </c>
    </row>
    <row r="342" spans="3:9" x14ac:dyDescent="0.3">
      <c r="C342" s="38"/>
      <c r="D342" s="39"/>
      <c r="E342" s="39"/>
      <c r="F342" s="40"/>
      <c r="G342" s="41"/>
      <c r="H342" s="39" t="e">
        <f>MONTH(Libro_Diario[[#This Row],[Fecha]])</f>
        <v>#VALUE!</v>
      </c>
      <c r="I342" s="39" t="e">
        <f>YEAR(Libro_Diario[[#This Row],[Fecha]])</f>
        <v>#VALUE!</v>
      </c>
    </row>
    <row r="343" spans="3:9" x14ac:dyDescent="0.3">
      <c r="C343" s="38"/>
      <c r="D343" s="39"/>
      <c r="E343" s="39"/>
      <c r="F343" s="40"/>
      <c r="G343" s="41"/>
      <c r="H343" s="39" t="e">
        <f>MONTH(Libro_Diario[[#This Row],[Fecha]])</f>
        <v>#VALUE!</v>
      </c>
      <c r="I343" s="39" t="e">
        <f>YEAR(Libro_Diario[[#This Row],[Fecha]])</f>
        <v>#VALUE!</v>
      </c>
    </row>
    <row r="344" spans="3:9" x14ac:dyDescent="0.3">
      <c r="C344" s="38"/>
      <c r="D344" s="39"/>
      <c r="E344" s="39"/>
      <c r="F344" s="40"/>
      <c r="G344" s="41"/>
      <c r="H344" s="39" t="e">
        <f>MONTH(Libro_Diario[[#This Row],[Fecha]])</f>
        <v>#VALUE!</v>
      </c>
      <c r="I344" s="39" t="e">
        <f>YEAR(Libro_Diario[[#This Row],[Fecha]])</f>
        <v>#VALUE!</v>
      </c>
    </row>
    <row r="345" spans="3:9" x14ac:dyDescent="0.3">
      <c r="C345" s="38"/>
      <c r="D345" s="39"/>
      <c r="E345" s="39"/>
      <c r="F345" s="40"/>
      <c r="G345" s="41"/>
      <c r="H345" s="39" t="e">
        <f>MONTH(Libro_Diario[[#This Row],[Fecha]])</f>
        <v>#VALUE!</v>
      </c>
      <c r="I345" s="39" t="e">
        <f>YEAR(Libro_Diario[[#This Row],[Fecha]])</f>
        <v>#VALUE!</v>
      </c>
    </row>
    <row r="346" spans="3:9" x14ac:dyDescent="0.3">
      <c r="C346" s="38"/>
      <c r="D346" s="39"/>
      <c r="E346" s="39"/>
      <c r="F346" s="40"/>
      <c r="G346" s="41"/>
      <c r="H346" s="39" t="e">
        <f>MONTH(Libro_Diario[[#This Row],[Fecha]])</f>
        <v>#VALUE!</v>
      </c>
      <c r="I346" s="39" t="e">
        <f>YEAR(Libro_Diario[[#This Row],[Fecha]])</f>
        <v>#VALUE!</v>
      </c>
    </row>
    <row r="347" spans="3:9" x14ac:dyDescent="0.3">
      <c r="C347" s="38"/>
      <c r="D347" s="39"/>
      <c r="E347" s="39"/>
      <c r="F347" s="40"/>
      <c r="G347" s="41"/>
      <c r="H347" s="39" t="e">
        <f>MONTH(Libro_Diario[[#This Row],[Fecha]])</f>
        <v>#VALUE!</v>
      </c>
      <c r="I347" s="39" t="e">
        <f>YEAR(Libro_Diario[[#This Row],[Fecha]])</f>
        <v>#VALUE!</v>
      </c>
    </row>
    <row r="348" spans="3:9" x14ac:dyDescent="0.3">
      <c r="C348" s="38"/>
      <c r="D348" s="39"/>
      <c r="E348" s="39"/>
      <c r="F348" s="40"/>
      <c r="G348" s="41"/>
      <c r="H348" s="39" t="e">
        <f>MONTH(Libro_Diario[[#This Row],[Fecha]])</f>
        <v>#VALUE!</v>
      </c>
      <c r="I348" s="39" t="e">
        <f>YEAR(Libro_Diario[[#This Row],[Fecha]])</f>
        <v>#VALUE!</v>
      </c>
    </row>
    <row r="349" spans="3:9" x14ac:dyDescent="0.3">
      <c r="C349" s="38"/>
      <c r="D349" s="39"/>
      <c r="E349" s="39"/>
      <c r="F349" s="40"/>
      <c r="G349" s="41"/>
      <c r="H349" s="39" t="e">
        <f>MONTH(Libro_Diario[[#This Row],[Fecha]])</f>
        <v>#VALUE!</v>
      </c>
      <c r="I349" s="39" t="e">
        <f>YEAR(Libro_Diario[[#This Row],[Fecha]])</f>
        <v>#VALUE!</v>
      </c>
    </row>
    <row r="350" spans="3:9" x14ac:dyDescent="0.3">
      <c r="C350" s="38"/>
      <c r="D350" s="39"/>
      <c r="E350" s="39"/>
      <c r="F350" s="40"/>
      <c r="G350" s="41"/>
      <c r="H350" s="39" t="e">
        <f>MONTH(Libro_Diario[[#This Row],[Fecha]])</f>
        <v>#VALUE!</v>
      </c>
      <c r="I350" s="39" t="e">
        <f>YEAR(Libro_Diario[[#This Row],[Fecha]])</f>
        <v>#VALUE!</v>
      </c>
    </row>
    <row r="351" spans="3:9" x14ac:dyDescent="0.3">
      <c r="C351" s="38"/>
      <c r="D351" s="39"/>
      <c r="E351" s="39"/>
      <c r="F351" s="40"/>
      <c r="G351" s="41"/>
      <c r="H351" s="39" t="e">
        <f>MONTH(Libro_Diario[[#This Row],[Fecha]])</f>
        <v>#VALUE!</v>
      </c>
      <c r="I351" s="39" t="e">
        <f>YEAR(Libro_Diario[[#This Row],[Fecha]])</f>
        <v>#VALUE!</v>
      </c>
    </row>
    <row r="352" spans="3:9" x14ac:dyDescent="0.3">
      <c r="C352" s="38"/>
      <c r="D352" s="39"/>
      <c r="E352" s="39"/>
      <c r="F352" s="40"/>
      <c r="G352" s="41"/>
      <c r="H352" s="39" t="e">
        <f>MONTH(Libro_Diario[[#This Row],[Fecha]])</f>
        <v>#VALUE!</v>
      </c>
      <c r="I352" s="39" t="e">
        <f>YEAR(Libro_Diario[[#This Row],[Fecha]])</f>
        <v>#VALUE!</v>
      </c>
    </row>
    <row r="353" spans="3:9" x14ac:dyDescent="0.3">
      <c r="C353" s="38"/>
      <c r="D353" s="39"/>
      <c r="E353" s="39"/>
      <c r="F353" s="40"/>
      <c r="G353" s="41"/>
      <c r="H353" s="39" t="e">
        <f>MONTH(Libro_Diario[[#This Row],[Fecha]])</f>
        <v>#VALUE!</v>
      </c>
      <c r="I353" s="39" t="e">
        <f>YEAR(Libro_Diario[[#This Row],[Fecha]])</f>
        <v>#VALUE!</v>
      </c>
    </row>
    <row r="354" spans="3:9" x14ac:dyDescent="0.3">
      <c r="C354" s="38"/>
      <c r="D354" s="39"/>
      <c r="E354" s="39"/>
      <c r="F354" s="40"/>
      <c r="G354" s="41"/>
      <c r="H354" s="39" t="e">
        <f>MONTH(Libro_Diario[[#This Row],[Fecha]])</f>
        <v>#VALUE!</v>
      </c>
      <c r="I354" s="39" t="e">
        <f>YEAR(Libro_Diario[[#This Row],[Fecha]])</f>
        <v>#VALUE!</v>
      </c>
    </row>
    <row r="355" spans="3:9" x14ac:dyDescent="0.3">
      <c r="C355" s="38"/>
      <c r="D355" s="39"/>
      <c r="E355" s="39"/>
      <c r="F355" s="40"/>
      <c r="G355" s="41"/>
      <c r="H355" s="39" t="e">
        <f>MONTH(Libro_Diario[[#This Row],[Fecha]])</f>
        <v>#VALUE!</v>
      </c>
      <c r="I355" s="39" t="e">
        <f>YEAR(Libro_Diario[[#This Row],[Fecha]])</f>
        <v>#VALUE!</v>
      </c>
    </row>
    <row r="356" spans="3:9" x14ac:dyDescent="0.3">
      <c r="C356" s="38"/>
      <c r="D356" s="39"/>
      <c r="E356" s="39"/>
      <c r="F356" s="40"/>
      <c r="G356" s="41"/>
      <c r="H356" s="39" t="e">
        <f>MONTH(Libro_Diario[[#This Row],[Fecha]])</f>
        <v>#VALUE!</v>
      </c>
      <c r="I356" s="39" t="e">
        <f>YEAR(Libro_Diario[[#This Row],[Fecha]])</f>
        <v>#VALUE!</v>
      </c>
    </row>
    <row r="357" spans="3:9" x14ac:dyDescent="0.3">
      <c r="C357" s="38"/>
      <c r="D357" s="39"/>
      <c r="E357" s="39"/>
      <c r="F357" s="40"/>
      <c r="G357" s="41"/>
      <c r="H357" s="39" t="e">
        <f>MONTH(Libro_Diario[[#This Row],[Fecha]])</f>
        <v>#VALUE!</v>
      </c>
      <c r="I357" s="39" t="e">
        <f>YEAR(Libro_Diario[[#This Row],[Fecha]])</f>
        <v>#VALUE!</v>
      </c>
    </row>
    <row r="358" spans="3:9" x14ac:dyDescent="0.3">
      <c r="C358" s="38"/>
      <c r="D358" s="39"/>
      <c r="E358" s="39"/>
      <c r="F358" s="40"/>
      <c r="G358" s="41"/>
      <c r="H358" s="39" t="e">
        <f>MONTH(Libro_Diario[[#This Row],[Fecha]])</f>
        <v>#VALUE!</v>
      </c>
      <c r="I358" s="39" t="e">
        <f>YEAR(Libro_Diario[[#This Row],[Fecha]])</f>
        <v>#VALUE!</v>
      </c>
    </row>
    <row r="359" spans="3:9" x14ac:dyDescent="0.3">
      <c r="C359" s="38"/>
      <c r="D359" s="39"/>
      <c r="E359" s="39"/>
      <c r="F359" s="40"/>
      <c r="G359" s="41"/>
      <c r="H359" s="39" t="e">
        <f>MONTH(Libro_Diario[[#This Row],[Fecha]])</f>
        <v>#VALUE!</v>
      </c>
      <c r="I359" s="39" t="e">
        <f>YEAR(Libro_Diario[[#This Row],[Fecha]])</f>
        <v>#VALUE!</v>
      </c>
    </row>
    <row r="360" spans="3:9" x14ac:dyDescent="0.3">
      <c r="C360" s="38"/>
      <c r="D360" s="39"/>
      <c r="E360" s="39"/>
      <c r="F360" s="40"/>
      <c r="G360" s="41"/>
      <c r="H360" s="39" t="e">
        <f>MONTH(Libro_Diario[[#This Row],[Fecha]])</f>
        <v>#VALUE!</v>
      </c>
      <c r="I360" s="39" t="e">
        <f>YEAR(Libro_Diario[[#This Row],[Fecha]])</f>
        <v>#VALUE!</v>
      </c>
    </row>
    <row r="361" spans="3:9" x14ac:dyDescent="0.3">
      <c r="C361" s="38"/>
      <c r="D361" s="39"/>
      <c r="E361" s="39"/>
      <c r="F361" s="40"/>
      <c r="G361" s="41"/>
      <c r="H361" s="39" t="e">
        <f>MONTH(Libro_Diario[[#This Row],[Fecha]])</f>
        <v>#VALUE!</v>
      </c>
      <c r="I361" s="39" t="e">
        <f>YEAR(Libro_Diario[[#This Row],[Fecha]])</f>
        <v>#VALUE!</v>
      </c>
    </row>
    <row r="362" spans="3:9" x14ac:dyDescent="0.3">
      <c r="C362" s="38"/>
      <c r="D362" s="39"/>
      <c r="E362" s="39"/>
      <c r="F362" s="40"/>
      <c r="G362" s="41"/>
      <c r="H362" s="39" t="e">
        <f>MONTH(Libro_Diario[[#This Row],[Fecha]])</f>
        <v>#VALUE!</v>
      </c>
      <c r="I362" s="39" t="e">
        <f>YEAR(Libro_Diario[[#This Row],[Fecha]])</f>
        <v>#VALUE!</v>
      </c>
    </row>
    <row r="363" spans="3:9" x14ac:dyDescent="0.3">
      <c r="C363" s="38"/>
      <c r="D363" s="39"/>
      <c r="E363" s="39"/>
      <c r="F363" s="40"/>
      <c r="G363" s="41"/>
      <c r="H363" s="39" t="e">
        <f>MONTH(Libro_Diario[[#This Row],[Fecha]])</f>
        <v>#VALUE!</v>
      </c>
      <c r="I363" s="39" t="e">
        <f>YEAR(Libro_Diario[[#This Row],[Fecha]])</f>
        <v>#VALUE!</v>
      </c>
    </row>
    <row r="364" spans="3:9" x14ac:dyDescent="0.3">
      <c r="C364" s="38"/>
      <c r="D364" s="39"/>
      <c r="E364" s="39"/>
      <c r="F364" s="40"/>
      <c r="G364" s="41"/>
      <c r="H364" s="39" t="e">
        <f>MONTH(Libro_Diario[[#This Row],[Fecha]])</f>
        <v>#VALUE!</v>
      </c>
      <c r="I364" s="39" t="e">
        <f>YEAR(Libro_Diario[[#This Row],[Fecha]])</f>
        <v>#VALUE!</v>
      </c>
    </row>
    <row r="365" spans="3:9" x14ac:dyDescent="0.3">
      <c r="C365" s="38"/>
      <c r="D365" s="39"/>
      <c r="E365" s="39"/>
      <c r="F365" s="40"/>
      <c r="G365" s="41"/>
      <c r="H365" s="39" t="e">
        <f>MONTH(Libro_Diario[[#This Row],[Fecha]])</f>
        <v>#VALUE!</v>
      </c>
      <c r="I365" s="39" t="e">
        <f>YEAR(Libro_Diario[[#This Row],[Fecha]])</f>
        <v>#VALUE!</v>
      </c>
    </row>
    <row r="366" spans="3:9" x14ac:dyDescent="0.3">
      <c r="C366" s="38"/>
      <c r="D366" s="39"/>
      <c r="E366" s="39"/>
      <c r="F366" s="40"/>
      <c r="G366" s="41"/>
      <c r="H366" s="39" t="e">
        <f>MONTH(Libro_Diario[[#This Row],[Fecha]])</f>
        <v>#VALUE!</v>
      </c>
      <c r="I366" s="39" t="e">
        <f>YEAR(Libro_Diario[[#This Row],[Fecha]])</f>
        <v>#VALUE!</v>
      </c>
    </row>
    <row r="367" spans="3:9" x14ac:dyDescent="0.3">
      <c r="C367" s="38"/>
      <c r="D367" s="39"/>
      <c r="E367" s="39"/>
      <c r="F367" s="40"/>
      <c r="G367" s="41"/>
      <c r="H367" s="39" t="e">
        <f>MONTH(Libro_Diario[[#This Row],[Fecha]])</f>
        <v>#VALUE!</v>
      </c>
      <c r="I367" s="39" t="e">
        <f>YEAR(Libro_Diario[[#This Row],[Fecha]])</f>
        <v>#VALUE!</v>
      </c>
    </row>
    <row r="368" spans="3:9" x14ac:dyDescent="0.3">
      <c r="C368" s="38"/>
      <c r="D368" s="39"/>
      <c r="E368" s="39"/>
      <c r="F368" s="40"/>
      <c r="G368" s="41"/>
      <c r="H368" s="39" t="e">
        <f>MONTH(Libro_Diario[[#This Row],[Fecha]])</f>
        <v>#VALUE!</v>
      </c>
      <c r="I368" s="39" t="e">
        <f>YEAR(Libro_Diario[[#This Row],[Fecha]])</f>
        <v>#VALUE!</v>
      </c>
    </row>
    <row r="369" spans="3:9" x14ac:dyDescent="0.3">
      <c r="C369" s="38"/>
      <c r="D369" s="39"/>
      <c r="E369" s="39"/>
      <c r="F369" s="40"/>
      <c r="G369" s="41"/>
      <c r="H369" s="39" t="e">
        <f>MONTH(Libro_Diario[[#This Row],[Fecha]])</f>
        <v>#VALUE!</v>
      </c>
      <c r="I369" s="39" t="e">
        <f>YEAR(Libro_Diario[[#This Row],[Fecha]])</f>
        <v>#VALUE!</v>
      </c>
    </row>
    <row r="370" spans="3:9" x14ac:dyDescent="0.3">
      <c r="C370" s="38"/>
      <c r="D370" s="39"/>
      <c r="E370" s="39"/>
      <c r="F370" s="40"/>
      <c r="G370" s="41"/>
      <c r="H370" s="39" t="e">
        <f>MONTH(Libro_Diario[[#This Row],[Fecha]])</f>
        <v>#VALUE!</v>
      </c>
      <c r="I370" s="39" t="e">
        <f>YEAR(Libro_Diario[[#This Row],[Fecha]])</f>
        <v>#VALUE!</v>
      </c>
    </row>
    <row r="371" spans="3:9" x14ac:dyDescent="0.3">
      <c r="C371" s="38"/>
      <c r="D371" s="39"/>
      <c r="E371" s="39"/>
      <c r="F371" s="40"/>
      <c r="G371" s="41"/>
      <c r="H371" s="39" t="e">
        <f>MONTH(Libro_Diario[[#This Row],[Fecha]])</f>
        <v>#VALUE!</v>
      </c>
      <c r="I371" s="39" t="e">
        <f>YEAR(Libro_Diario[[#This Row],[Fecha]])</f>
        <v>#VALUE!</v>
      </c>
    </row>
    <row r="372" spans="3:9" x14ac:dyDescent="0.3">
      <c r="C372" s="38"/>
      <c r="D372" s="39"/>
      <c r="E372" s="39"/>
      <c r="F372" s="40"/>
      <c r="G372" s="41"/>
      <c r="H372" s="39" t="e">
        <f>MONTH(Libro_Diario[[#This Row],[Fecha]])</f>
        <v>#VALUE!</v>
      </c>
      <c r="I372" s="39" t="e">
        <f>YEAR(Libro_Diario[[#This Row],[Fecha]])</f>
        <v>#VALUE!</v>
      </c>
    </row>
    <row r="373" spans="3:9" x14ac:dyDescent="0.3">
      <c r="C373" s="38"/>
      <c r="D373" s="39"/>
      <c r="E373" s="39"/>
      <c r="F373" s="40"/>
      <c r="G373" s="41"/>
      <c r="H373" s="39" t="e">
        <f>MONTH(Libro_Diario[[#This Row],[Fecha]])</f>
        <v>#VALUE!</v>
      </c>
      <c r="I373" s="39" t="e">
        <f>YEAR(Libro_Diario[[#This Row],[Fecha]])</f>
        <v>#VALUE!</v>
      </c>
    </row>
    <row r="374" spans="3:9" x14ac:dyDescent="0.3">
      <c r="C374" s="38"/>
      <c r="D374" s="39"/>
      <c r="E374" s="39"/>
      <c r="F374" s="40"/>
      <c r="G374" s="41"/>
      <c r="H374" s="39" t="e">
        <f>MONTH(Libro_Diario[[#This Row],[Fecha]])</f>
        <v>#VALUE!</v>
      </c>
      <c r="I374" s="39" t="e">
        <f>YEAR(Libro_Diario[[#This Row],[Fecha]])</f>
        <v>#VALUE!</v>
      </c>
    </row>
    <row r="375" spans="3:9" x14ac:dyDescent="0.3">
      <c r="C375" s="38"/>
      <c r="D375" s="39"/>
      <c r="E375" s="39"/>
      <c r="F375" s="40"/>
      <c r="G375" s="41"/>
      <c r="H375" s="39" t="e">
        <f>MONTH(Libro_Diario[[#This Row],[Fecha]])</f>
        <v>#VALUE!</v>
      </c>
      <c r="I375" s="39" t="e">
        <f>YEAR(Libro_Diario[[#This Row],[Fecha]])</f>
        <v>#VALUE!</v>
      </c>
    </row>
    <row r="376" spans="3:9" x14ac:dyDescent="0.3">
      <c r="C376" s="38"/>
      <c r="D376" s="39"/>
      <c r="E376" s="39"/>
      <c r="F376" s="40"/>
      <c r="G376" s="41"/>
      <c r="H376" s="39" t="e">
        <f>MONTH(Libro_Diario[[#This Row],[Fecha]])</f>
        <v>#VALUE!</v>
      </c>
      <c r="I376" s="39" t="e">
        <f>YEAR(Libro_Diario[[#This Row],[Fecha]])</f>
        <v>#VALUE!</v>
      </c>
    </row>
    <row r="377" spans="3:9" x14ac:dyDescent="0.3">
      <c r="C377" s="38"/>
      <c r="D377" s="39"/>
      <c r="E377" s="39"/>
      <c r="F377" s="40"/>
      <c r="G377" s="41"/>
      <c r="H377" s="39" t="e">
        <f>MONTH(Libro_Diario[[#This Row],[Fecha]])</f>
        <v>#VALUE!</v>
      </c>
      <c r="I377" s="39" t="e">
        <f>YEAR(Libro_Diario[[#This Row],[Fecha]])</f>
        <v>#VALUE!</v>
      </c>
    </row>
    <row r="378" spans="3:9" x14ac:dyDescent="0.3">
      <c r="C378" s="38"/>
      <c r="D378" s="39"/>
      <c r="E378" s="39"/>
      <c r="F378" s="40"/>
      <c r="G378" s="41"/>
      <c r="H378" s="39" t="e">
        <f>MONTH(Libro_Diario[[#This Row],[Fecha]])</f>
        <v>#VALUE!</v>
      </c>
      <c r="I378" s="39" t="e">
        <f>YEAR(Libro_Diario[[#This Row],[Fecha]])</f>
        <v>#VALUE!</v>
      </c>
    </row>
    <row r="379" spans="3:9" x14ac:dyDescent="0.3">
      <c r="C379" s="38"/>
      <c r="D379" s="39"/>
      <c r="E379" s="39"/>
      <c r="F379" s="40"/>
      <c r="G379" s="41"/>
      <c r="H379" s="39" t="e">
        <f>MONTH(Libro_Diario[[#This Row],[Fecha]])</f>
        <v>#VALUE!</v>
      </c>
      <c r="I379" s="39" t="e">
        <f>YEAR(Libro_Diario[[#This Row],[Fecha]])</f>
        <v>#VALUE!</v>
      </c>
    </row>
    <row r="380" spans="3:9" x14ac:dyDescent="0.3">
      <c r="C380" s="38"/>
      <c r="D380" s="39"/>
      <c r="E380" s="39"/>
      <c r="F380" s="40"/>
      <c r="G380" s="41"/>
      <c r="H380" s="39" t="e">
        <f>MONTH(Libro_Diario[[#This Row],[Fecha]])</f>
        <v>#VALUE!</v>
      </c>
      <c r="I380" s="39" t="e">
        <f>YEAR(Libro_Diario[[#This Row],[Fecha]])</f>
        <v>#VALUE!</v>
      </c>
    </row>
    <row r="381" spans="3:9" x14ac:dyDescent="0.3">
      <c r="C381" s="38"/>
      <c r="D381" s="39"/>
      <c r="E381" s="39"/>
      <c r="F381" s="40"/>
      <c r="G381" s="41"/>
      <c r="H381" s="39" t="e">
        <f>MONTH(Libro_Diario[[#This Row],[Fecha]])</f>
        <v>#VALUE!</v>
      </c>
      <c r="I381" s="39" t="e">
        <f>YEAR(Libro_Diario[[#This Row],[Fecha]])</f>
        <v>#VALUE!</v>
      </c>
    </row>
    <row r="382" spans="3:9" x14ac:dyDescent="0.3">
      <c r="C382" s="38"/>
      <c r="D382" s="39"/>
      <c r="E382" s="39"/>
      <c r="F382" s="40"/>
      <c r="G382" s="41"/>
      <c r="H382" s="39" t="e">
        <f>MONTH(Libro_Diario[[#This Row],[Fecha]])</f>
        <v>#VALUE!</v>
      </c>
      <c r="I382" s="39" t="e">
        <f>YEAR(Libro_Diario[[#This Row],[Fecha]])</f>
        <v>#VALUE!</v>
      </c>
    </row>
    <row r="383" spans="3:9" x14ac:dyDescent="0.3">
      <c r="C383" s="38"/>
      <c r="D383" s="39"/>
      <c r="E383" s="39"/>
      <c r="F383" s="40"/>
      <c r="G383" s="41"/>
      <c r="H383" s="39" t="e">
        <f>MONTH(Libro_Diario[[#This Row],[Fecha]])</f>
        <v>#VALUE!</v>
      </c>
      <c r="I383" s="39" t="e">
        <f>YEAR(Libro_Diario[[#This Row],[Fecha]])</f>
        <v>#VALUE!</v>
      </c>
    </row>
    <row r="384" spans="3:9" x14ac:dyDescent="0.3">
      <c r="C384" s="38"/>
      <c r="D384" s="39"/>
      <c r="E384" s="39"/>
      <c r="F384" s="40"/>
      <c r="G384" s="41"/>
      <c r="H384" s="39" t="e">
        <f>MONTH(Libro_Diario[[#This Row],[Fecha]])</f>
        <v>#VALUE!</v>
      </c>
      <c r="I384" s="39" t="e">
        <f>YEAR(Libro_Diario[[#This Row],[Fecha]])</f>
        <v>#VALUE!</v>
      </c>
    </row>
    <row r="385" spans="3:9" x14ac:dyDescent="0.3">
      <c r="C385" s="38"/>
      <c r="D385" s="39"/>
      <c r="E385" s="39"/>
      <c r="F385" s="40"/>
      <c r="G385" s="41"/>
      <c r="H385" s="39" t="e">
        <f>MONTH(Libro_Diario[[#This Row],[Fecha]])</f>
        <v>#VALUE!</v>
      </c>
      <c r="I385" s="39" t="e">
        <f>YEAR(Libro_Diario[[#This Row],[Fecha]])</f>
        <v>#VALUE!</v>
      </c>
    </row>
    <row r="386" spans="3:9" x14ac:dyDescent="0.3">
      <c r="C386" s="38"/>
      <c r="D386" s="39"/>
      <c r="E386" s="39"/>
      <c r="F386" s="40"/>
      <c r="G386" s="41"/>
      <c r="H386" s="39" t="e">
        <f>MONTH(Libro_Diario[[#This Row],[Fecha]])</f>
        <v>#VALUE!</v>
      </c>
      <c r="I386" s="39" t="e">
        <f>YEAR(Libro_Diario[[#This Row],[Fecha]])</f>
        <v>#VALUE!</v>
      </c>
    </row>
    <row r="387" spans="3:9" x14ac:dyDescent="0.3">
      <c r="C387" s="38"/>
      <c r="D387" s="39"/>
      <c r="E387" s="39"/>
      <c r="F387" s="40"/>
      <c r="G387" s="41"/>
      <c r="H387" s="39" t="e">
        <f>MONTH(Libro_Diario[[#This Row],[Fecha]])</f>
        <v>#VALUE!</v>
      </c>
      <c r="I387" s="39" t="e">
        <f>YEAR(Libro_Diario[[#This Row],[Fecha]])</f>
        <v>#VALUE!</v>
      </c>
    </row>
    <row r="388" spans="3:9" x14ac:dyDescent="0.3">
      <c r="C388" s="38"/>
      <c r="D388" s="39"/>
      <c r="E388" s="39"/>
      <c r="F388" s="40"/>
      <c r="G388" s="41"/>
      <c r="H388" s="39" t="e">
        <f>MONTH(Libro_Diario[[#This Row],[Fecha]])</f>
        <v>#VALUE!</v>
      </c>
      <c r="I388" s="39" t="e">
        <f>YEAR(Libro_Diario[[#This Row],[Fecha]])</f>
        <v>#VALUE!</v>
      </c>
    </row>
    <row r="389" spans="3:9" x14ac:dyDescent="0.3">
      <c r="C389" s="38"/>
      <c r="D389" s="39"/>
      <c r="E389" s="39"/>
      <c r="F389" s="40"/>
      <c r="G389" s="41"/>
      <c r="H389" s="39" t="e">
        <f>MONTH(Libro_Diario[[#This Row],[Fecha]])</f>
        <v>#VALUE!</v>
      </c>
      <c r="I389" s="39" t="e">
        <f>YEAR(Libro_Diario[[#This Row],[Fecha]])</f>
        <v>#VALUE!</v>
      </c>
    </row>
    <row r="390" spans="3:9" x14ac:dyDescent="0.3">
      <c r="C390" s="38"/>
      <c r="D390" s="39"/>
      <c r="E390" s="39"/>
      <c r="F390" s="40"/>
      <c r="G390" s="41"/>
      <c r="H390" s="39" t="e">
        <f>MONTH(Libro_Diario[[#This Row],[Fecha]])</f>
        <v>#VALUE!</v>
      </c>
      <c r="I390" s="39" t="e">
        <f>YEAR(Libro_Diario[[#This Row],[Fecha]])</f>
        <v>#VALUE!</v>
      </c>
    </row>
    <row r="391" spans="3:9" x14ac:dyDescent="0.3">
      <c r="C391" s="38"/>
      <c r="D391" s="39"/>
      <c r="E391" s="39"/>
      <c r="F391" s="40"/>
      <c r="G391" s="41"/>
      <c r="H391" s="39" t="e">
        <f>MONTH(Libro_Diario[[#This Row],[Fecha]])</f>
        <v>#VALUE!</v>
      </c>
      <c r="I391" s="39" t="e">
        <f>YEAR(Libro_Diario[[#This Row],[Fecha]])</f>
        <v>#VALUE!</v>
      </c>
    </row>
    <row r="392" spans="3:9" x14ac:dyDescent="0.3">
      <c r="C392" s="38"/>
      <c r="D392" s="39"/>
      <c r="E392" s="39"/>
      <c r="F392" s="40"/>
      <c r="G392" s="41"/>
      <c r="H392" s="39" t="e">
        <f>MONTH(Libro_Diario[[#This Row],[Fecha]])</f>
        <v>#VALUE!</v>
      </c>
      <c r="I392" s="39" t="e">
        <f>YEAR(Libro_Diario[[#This Row],[Fecha]])</f>
        <v>#VALUE!</v>
      </c>
    </row>
    <row r="393" spans="3:9" x14ac:dyDescent="0.3">
      <c r="C393" s="38"/>
      <c r="D393" s="39"/>
      <c r="E393" s="39"/>
      <c r="F393" s="40"/>
      <c r="G393" s="41"/>
      <c r="H393" s="39" t="e">
        <f>MONTH(Libro_Diario[[#This Row],[Fecha]])</f>
        <v>#VALUE!</v>
      </c>
      <c r="I393" s="39" t="e">
        <f>YEAR(Libro_Diario[[#This Row],[Fecha]])</f>
        <v>#VALUE!</v>
      </c>
    </row>
    <row r="394" spans="3:9" x14ac:dyDescent="0.3">
      <c r="C394" s="38"/>
      <c r="D394" s="39"/>
      <c r="E394" s="39"/>
      <c r="F394" s="40"/>
      <c r="G394" s="41"/>
      <c r="H394" s="39" t="e">
        <f>MONTH(Libro_Diario[[#This Row],[Fecha]])</f>
        <v>#VALUE!</v>
      </c>
      <c r="I394" s="39" t="e">
        <f>YEAR(Libro_Diario[[#This Row],[Fecha]])</f>
        <v>#VALUE!</v>
      </c>
    </row>
    <row r="395" spans="3:9" x14ac:dyDescent="0.3">
      <c r="C395" s="38"/>
      <c r="D395" s="39"/>
      <c r="E395" s="39"/>
      <c r="F395" s="40"/>
      <c r="G395" s="41"/>
      <c r="H395" s="39" t="e">
        <f>MONTH(Libro_Diario[[#This Row],[Fecha]])</f>
        <v>#VALUE!</v>
      </c>
      <c r="I395" s="39" t="e">
        <f>YEAR(Libro_Diario[[#This Row],[Fecha]])</f>
        <v>#VALUE!</v>
      </c>
    </row>
    <row r="396" spans="3:9" x14ac:dyDescent="0.3">
      <c r="C396" s="38"/>
      <c r="D396" s="39"/>
      <c r="E396" s="39"/>
      <c r="F396" s="40"/>
      <c r="G396" s="41"/>
      <c r="H396" s="39" t="e">
        <f>MONTH(Libro_Diario[[#This Row],[Fecha]])</f>
        <v>#VALUE!</v>
      </c>
      <c r="I396" s="39" t="e">
        <f>YEAR(Libro_Diario[[#This Row],[Fecha]])</f>
        <v>#VALUE!</v>
      </c>
    </row>
    <row r="397" spans="3:9" x14ac:dyDescent="0.3">
      <c r="C397" s="38"/>
      <c r="D397" s="39"/>
      <c r="E397" s="39"/>
      <c r="F397" s="40"/>
      <c r="G397" s="41"/>
      <c r="H397" s="39" t="e">
        <f>MONTH(Libro_Diario[[#This Row],[Fecha]])</f>
        <v>#VALUE!</v>
      </c>
      <c r="I397" s="39" t="e">
        <f>YEAR(Libro_Diario[[#This Row],[Fecha]])</f>
        <v>#VALUE!</v>
      </c>
    </row>
    <row r="398" spans="3:9" x14ac:dyDescent="0.3">
      <c r="C398" s="38"/>
      <c r="D398" s="39"/>
      <c r="E398" s="39"/>
      <c r="F398" s="40"/>
      <c r="G398" s="41"/>
      <c r="H398" s="39" t="e">
        <f>MONTH(Libro_Diario[[#This Row],[Fecha]])</f>
        <v>#VALUE!</v>
      </c>
      <c r="I398" s="39" t="e">
        <f>YEAR(Libro_Diario[[#This Row],[Fecha]])</f>
        <v>#VALUE!</v>
      </c>
    </row>
    <row r="399" spans="3:9" x14ac:dyDescent="0.3">
      <c r="C399" s="38"/>
      <c r="D399" s="39"/>
      <c r="E399" s="39"/>
      <c r="F399" s="40"/>
      <c r="G399" s="41"/>
      <c r="H399" s="39" t="e">
        <f>MONTH(Libro_Diario[[#This Row],[Fecha]])</f>
        <v>#VALUE!</v>
      </c>
      <c r="I399" s="39" t="e">
        <f>YEAR(Libro_Diario[[#This Row],[Fecha]])</f>
        <v>#VALUE!</v>
      </c>
    </row>
    <row r="400" spans="3:9" x14ac:dyDescent="0.3">
      <c r="C400" s="38"/>
      <c r="D400" s="39"/>
      <c r="E400" s="39"/>
      <c r="F400" s="40"/>
      <c r="G400" s="41"/>
      <c r="H400" s="39" t="e">
        <f>MONTH(Libro_Diario[[#This Row],[Fecha]])</f>
        <v>#VALUE!</v>
      </c>
      <c r="I400" s="39" t="e">
        <f>YEAR(Libro_Diario[[#This Row],[Fecha]])</f>
        <v>#VALUE!</v>
      </c>
    </row>
    <row r="401" spans="3:9" x14ac:dyDescent="0.3">
      <c r="C401" s="38"/>
      <c r="D401" s="39"/>
      <c r="E401" s="39"/>
      <c r="F401" s="40"/>
      <c r="G401" s="41"/>
      <c r="H401" s="39" t="e">
        <f>MONTH(Libro_Diario[[#This Row],[Fecha]])</f>
        <v>#VALUE!</v>
      </c>
      <c r="I401" s="39" t="e">
        <f>YEAR(Libro_Diario[[#This Row],[Fecha]])</f>
        <v>#VALUE!</v>
      </c>
    </row>
    <row r="402" spans="3:9" x14ac:dyDescent="0.3">
      <c r="C402" s="38"/>
      <c r="D402" s="39"/>
      <c r="E402" s="39"/>
      <c r="F402" s="40"/>
      <c r="G402" s="41"/>
      <c r="H402" s="39" t="e">
        <f>MONTH(Libro_Diario[[#This Row],[Fecha]])</f>
        <v>#VALUE!</v>
      </c>
      <c r="I402" s="39" t="e">
        <f>YEAR(Libro_Diario[[#This Row],[Fecha]])</f>
        <v>#VALUE!</v>
      </c>
    </row>
    <row r="403" spans="3:9" x14ac:dyDescent="0.3">
      <c r="C403" s="38"/>
      <c r="D403" s="39"/>
      <c r="E403" s="39"/>
      <c r="F403" s="40"/>
      <c r="G403" s="41"/>
      <c r="H403" s="39" t="e">
        <f>MONTH(Libro_Diario[[#This Row],[Fecha]])</f>
        <v>#VALUE!</v>
      </c>
      <c r="I403" s="39" t="e">
        <f>YEAR(Libro_Diario[[#This Row],[Fecha]])</f>
        <v>#VALUE!</v>
      </c>
    </row>
    <row r="404" spans="3:9" x14ac:dyDescent="0.3">
      <c r="C404" s="38"/>
      <c r="D404" s="39"/>
      <c r="E404" s="39"/>
      <c r="F404" s="40"/>
      <c r="G404" s="41"/>
      <c r="H404" s="39" t="e">
        <f>MONTH(Libro_Diario[[#This Row],[Fecha]])</f>
        <v>#VALUE!</v>
      </c>
      <c r="I404" s="39" t="e">
        <f>YEAR(Libro_Diario[[#This Row],[Fecha]])</f>
        <v>#VALUE!</v>
      </c>
    </row>
    <row r="405" spans="3:9" x14ac:dyDescent="0.3">
      <c r="C405" s="38"/>
      <c r="D405" s="39"/>
      <c r="E405" s="39"/>
      <c r="F405" s="40"/>
      <c r="G405" s="41"/>
      <c r="H405" s="39" t="e">
        <f>MONTH(Libro_Diario[[#This Row],[Fecha]])</f>
        <v>#VALUE!</v>
      </c>
      <c r="I405" s="39" t="e">
        <f>YEAR(Libro_Diario[[#This Row],[Fecha]])</f>
        <v>#VALUE!</v>
      </c>
    </row>
    <row r="406" spans="3:9" x14ac:dyDescent="0.3">
      <c r="C406" s="38"/>
      <c r="D406" s="39"/>
      <c r="E406" s="39"/>
      <c r="F406" s="40"/>
      <c r="G406" s="41"/>
      <c r="H406" s="39" t="e">
        <f>MONTH(Libro_Diario[[#This Row],[Fecha]])</f>
        <v>#VALUE!</v>
      </c>
      <c r="I406" s="39" t="e">
        <f>YEAR(Libro_Diario[[#This Row],[Fecha]])</f>
        <v>#VALUE!</v>
      </c>
    </row>
    <row r="407" spans="3:9" x14ac:dyDescent="0.3">
      <c r="C407" s="38"/>
      <c r="D407" s="39"/>
      <c r="E407" s="39"/>
      <c r="F407" s="40"/>
      <c r="G407" s="41"/>
      <c r="H407" s="39" t="e">
        <f>MONTH(Libro_Diario[[#This Row],[Fecha]])</f>
        <v>#VALUE!</v>
      </c>
      <c r="I407" s="39" t="e">
        <f>YEAR(Libro_Diario[[#This Row],[Fecha]])</f>
        <v>#VALUE!</v>
      </c>
    </row>
    <row r="408" spans="3:9" x14ac:dyDescent="0.3">
      <c r="C408" s="38"/>
      <c r="D408" s="39"/>
      <c r="E408" s="39"/>
      <c r="F408" s="40"/>
      <c r="G408" s="41"/>
      <c r="H408" s="39" t="e">
        <f>MONTH(Libro_Diario[[#This Row],[Fecha]])</f>
        <v>#VALUE!</v>
      </c>
      <c r="I408" s="39" t="e">
        <f>YEAR(Libro_Diario[[#This Row],[Fecha]])</f>
        <v>#VALUE!</v>
      </c>
    </row>
    <row r="409" spans="3:9" x14ac:dyDescent="0.3">
      <c r="C409" s="38"/>
      <c r="D409" s="39"/>
      <c r="E409" s="39"/>
      <c r="F409" s="40"/>
      <c r="G409" s="41"/>
      <c r="H409" s="39" t="e">
        <f>MONTH(Libro_Diario[[#This Row],[Fecha]])</f>
        <v>#VALUE!</v>
      </c>
      <c r="I409" s="39" t="e">
        <f>YEAR(Libro_Diario[[#This Row],[Fecha]])</f>
        <v>#VALUE!</v>
      </c>
    </row>
    <row r="410" spans="3:9" x14ac:dyDescent="0.3">
      <c r="C410" s="38"/>
      <c r="D410" s="39"/>
      <c r="E410" s="39"/>
      <c r="F410" s="40"/>
      <c r="G410" s="41"/>
      <c r="H410" s="39" t="e">
        <f>MONTH(Libro_Diario[[#This Row],[Fecha]])</f>
        <v>#VALUE!</v>
      </c>
      <c r="I410" s="39" t="e">
        <f>YEAR(Libro_Diario[[#This Row],[Fecha]])</f>
        <v>#VALUE!</v>
      </c>
    </row>
    <row r="411" spans="3:9" x14ac:dyDescent="0.3">
      <c r="C411" s="38"/>
      <c r="D411" s="39"/>
      <c r="E411" s="39"/>
      <c r="F411" s="40"/>
      <c r="G411" s="41"/>
      <c r="H411" s="39" t="e">
        <f>MONTH(Libro_Diario[[#This Row],[Fecha]])</f>
        <v>#VALUE!</v>
      </c>
      <c r="I411" s="39" t="e">
        <f>YEAR(Libro_Diario[[#This Row],[Fecha]])</f>
        <v>#VALUE!</v>
      </c>
    </row>
    <row r="412" spans="3:9" x14ac:dyDescent="0.3">
      <c r="C412" s="38"/>
      <c r="D412" s="39"/>
      <c r="E412" s="39"/>
      <c r="F412" s="40"/>
      <c r="G412" s="41"/>
      <c r="H412" s="39" t="e">
        <f>MONTH(Libro_Diario[[#This Row],[Fecha]])</f>
        <v>#VALUE!</v>
      </c>
      <c r="I412" s="39" t="e">
        <f>YEAR(Libro_Diario[[#This Row],[Fecha]])</f>
        <v>#VALUE!</v>
      </c>
    </row>
    <row r="413" spans="3:9" x14ac:dyDescent="0.3">
      <c r="C413" s="38"/>
      <c r="D413" s="39"/>
      <c r="E413" s="39"/>
      <c r="F413" s="40"/>
      <c r="G413" s="41"/>
      <c r="H413" s="39" t="e">
        <f>MONTH(Libro_Diario[[#This Row],[Fecha]])</f>
        <v>#VALUE!</v>
      </c>
      <c r="I413" s="39" t="e">
        <f>YEAR(Libro_Diario[[#This Row],[Fecha]])</f>
        <v>#VALUE!</v>
      </c>
    </row>
    <row r="414" spans="3:9" x14ac:dyDescent="0.3">
      <c r="C414" s="38"/>
      <c r="D414" s="39"/>
      <c r="E414" s="39"/>
      <c r="F414" s="40"/>
      <c r="G414" s="41"/>
      <c r="H414" s="39" t="e">
        <f>MONTH(Libro_Diario[[#This Row],[Fecha]])</f>
        <v>#VALUE!</v>
      </c>
      <c r="I414" s="39" t="e">
        <f>YEAR(Libro_Diario[[#This Row],[Fecha]])</f>
        <v>#VALUE!</v>
      </c>
    </row>
    <row r="415" spans="3:9" x14ac:dyDescent="0.3">
      <c r="C415" s="38"/>
      <c r="D415" s="39"/>
      <c r="E415" s="39"/>
      <c r="F415" s="40"/>
      <c r="G415" s="41"/>
      <c r="H415" s="39" t="e">
        <f>MONTH(Libro_Diario[[#This Row],[Fecha]])</f>
        <v>#VALUE!</v>
      </c>
      <c r="I415" s="39" t="e">
        <f>YEAR(Libro_Diario[[#This Row],[Fecha]])</f>
        <v>#VALUE!</v>
      </c>
    </row>
    <row r="416" spans="3:9" x14ac:dyDescent="0.3">
      <c r="C416" s="38"/>
      <c r="D416" s="39"/>
      <c r="E416" s="39"/>
      <c r="F416" s="40"/>
      <c r="G416" s="41"/>
      <c r="H416" s="39" t="e">
        <f>MONTH(Libro_Diario[[#This Row],[Fecha]])</f>
        <v>#VALUE!</v>
      </c>
      <c r="I416" s="39" t="e">
        <f>YEAR(Libro_Diario[[#This Row],[Fecha]])</f>
        <v>#VALUE!</v>
      </c>
    </row>
    <row r="417" spans="3:9" x14ac:dyDescent="0.3">
      <c r="C417" s="38"/>
      <c r="D417" s="39"/>
      <c r="E417" s="39"/>
      <c r="F417" s="40"/>
      <c r="G417" s="41"/>
      <c r="H417" s="39" t="e">
        <f>MONTH(Libro_Diario[[#This Row],[Fecha]])</f>
        <v>#VALUE!</v>
      </c>
      <c r="I417" s="39" t="e">
        <f>YEAR(Libro_Diario[[#This Row],[Fecha]])</f>
        <v>#VALUE!</v>
      </c>
    </row>
    <row r="418" spans="3:9" x14ac:dyDescent="0.3">
      <c r="C418" s="38"/>
      <c r="D418" s="39"/>
      <c r="E418" s="39"/>
      <c r="F418" s="40"/>
      <c r="G418" s="41"/>
      <c r="H418" s="39" t="e">
        <f>MONTH(Libro_Diario[[#This Row],[Fecha]])</f>
        <v>#VALUE!</v>
      </c>
      <c r="I418" s="39" t="e">
        <f>YEAR(Libro_Diario[[#This Row],[Fecha]])</f>
        <v>#VALUE!</v>
      </c>
    </row>
    <row r="419" spans="3:9" x14ac:dyDescent="0.3">
      <c r="C419" s="38"/>
      <c r="D419" s="39"/>
      <c r="E419" s="39"/>
      <c r="F419" s="40"/>
      <c r="G419" s="41"/>
      <c r="H419" s="39" t="e">
        <f>MONTH(Libro_Diario[[#This Row],[Fecha]])</f>
        <v>#VALUE!</v>
      </c>
      <c r="I419" s="39" t="e">
        <f>YEAR(Libro_Diario[[#This Row],[Fecha]])</f>
        <v>#VALUE!</v>
      </c>
    </row>
    <row r="420" spans="3:9" x14ac:dyDescent="0.3">
      <c r="C420" s="38"/>
      <c r="D420" s="39"/>
      <c r="E420" s="39"/>
      <c r="F420" s="40"/>
      <c r="G420" s="41"/>
      <c r="H420" s="39" t="e">
        <f>MONTH(Libro_Diario[[#This Row],[Fecha]])</f>
        <v>#VALUE!</v>
      </c>
      <c r="I420" s="39" t="e">
        <f>YEAR(Libro_Diario[[#This Row],[Fecha]])</f>
        <v>#VALUE!</v>
      </c>
    </row>
    <row r="421" spans="3:9" x14ac:dyDescent="0.3">
      <c r="C421" s="38"/>
      <c r="D421" s="39"/>
      <c r="E421" s="39"/>
      <c r="F421" s="40"/>
      <c r="G421" s="41"/>
      <c r="H421" s="39" t="e">
        <f>MONTH(Libro_Diario[[#This Row],[Fecha]])</f>
        <v>#VALUE!</v>
      </c>
      <c r="I421" s="39" t="e">
        <f>YEAR(Libro_Diario[[#This Row],[Fecha]])</f>
        <v>#VALUE!</v>
      </c>
    </row>
    <row r="422" spans="3:9" x14ac:dyDescent="0.3">
      <c r="C422" s="38"/>
      <c r="D422" s="39"/>
      <c r="E422" s="39"/>
      <c r="F422" s="40"/>
      <c r="G422" s="41"/>
      <c r="H422" s="39" t="e">
        <f>MONTH(Libro_Diario[[#This Row],[Fecha]])</f>
        <v>#VALUE!</v>
      </c>
      <c r="I422" s="39" t="e">
        <f>YEAR(Libro_Diario[[#This Row],[Fecha]])</f>
        <v>#VALUE!</v>
      </c>
    </row>
    <row r="423" spans="3:9" x14ac:dyDescent="0.3">
      <c r="C423" s="38"/>
      <c r="D423" s="39"/>
      <c r="E423" s="39"/>
      <c r="F423" s="40"/>
      <c r="G423" s="41"/>
      <c r="H423" s="39" t="e">
        <f>MONTH(Libro_Diario[[#This Row],[Fecha]])</f>
        <v>#VALUE!</v>
      </c>
      <c r="I423" s="39" t="e">
        <f>YEAR(Libro_Diario[[#This Row],[Fecha]])</f>
        <v>#VALUE!</v>
      </c>
    </row>
    <row r="424" spans="3:9" x14ac:dyDescent="0.3">
      <c r="C424" s="38"/>
      <c r="D424" s="39"/>
      <c r="E424" s="39"/>
      <c r="F424" s="40"/>
      <c r="G424" s="41"/>
      <c r="H424" s="39" t="e">
        <f>MONTH(Libro_Diario[[#This Row],[Fecha]])</f>
        <v>#VALUE!</v>
      </c>
      <c r="I424" s="39" t="e">
        <f>YEAR(Libro_Diario[[#This Row],[Fecha]])</f>
        <v>#VALUE!</v>
      </c>
    </row>
    <row r="425" spans="3:9" x14ac:dyDescent="0.3">
      <c r="C425" s="38"/>
      <c r="D425" s="39"/>
      <c r="E425" s="39"/>
      <c r="F425" s="40"/>
      <c r="G425" s="41"/>
      <c r="H425" s="39" t="e">
        <f>MONTH(Libro_Diario[[#This Row],[Fecha]])</f>
        <v>#VALUE!</v>
      </c>
      <c r="I425" s="39" t="e">
        <f>YEAR(Libro_Diario[[#This Row],[Fecha]])</f>
        <v>#VALUE!</v>
      </c>
    </row>
    <row r="426" spans="3:9" x14ac:dyDescent="0.3">
      <c r="C426" s="38"/>
      <c r="D426" s="39"/>
      <c r="E426" s="39"/>
      <c r="F426" s="40"/>
      <c r="G426" s="41"/>
      <c r="H426" s="39" t="e">
        <f>MONTH(Libro_Diario[[#This Row],[Fecha]])</f>
        <v>#VALUE!</v>
      </c>
      <c r="I426" s="39" t="e">
        <f>YEAR(Libro_Diario[[#This Row],[Fecha]])</f>
        <v>#VALUE!</v>
      </c>
    </row>
    <row r="427" spans="3:9" x14ac:dyDescent="0.3">
      <c r="C427" s="38"/>
      <c r="D427" s="39"/>
      <c r="E427" s="39"/>
      <c r="F427" s="40"/>
      <c r="G427" s="41"/>
      <c r="H427" s="39" t="e">
        <f>MONTH(Libro_Diario[[#This Row],[Fecha]])</f>
        <v>#VALUE!</v>
      </c>
      <c r="I427" s="39" t="e">
        <f>YEAR(Libro_Diario[[#This Row],[Fecha]])</f>
        <v>#VALUE!</v>
      </c>
    </row>
    <row r="428" spans="3:9" x14ac:dyDescent="0.3">
      <c r="C428" s="38"/>
      <c r="D428" s="39"/>
      <c r="E428" s="39"/>
      <c r="F428" s="40"/>
      <c r="G428" s="41"/>
      <c r="H428" s="39" t="e">
        <f>MONTH(Libro_Diario[[#This Row],[Fecha]])</f>
        <v>#VALUE!</v>
      </c>
      <c r="I428" s="39" t="e">
        <f>YEAR(Libro_Diario[[#This Row],[Fecha]])</f>
        <v>#VALUE!</v>
      </c>
    </row>
    <row r="429" spans="3:9" x14ac:dyDescent="0.3">
      <c r="C429" s="38"/>
      <c r="D429" s="39"/>
      <c r="E429" s="39"/>
      <c r="F429" s="40"/>
      <c r="G429" s="41"/>
      <c r="H429" s="39" t="e">
        <f>MONTH(Libro_Diario[[#This Row],[Fecha]])</f>
        <v>#VALUE!</v>
      </c>
      <c r="I429" s="39" t="e">
        <f>YEAR(Libro_Diario[[#This Row],[Fecha]])</f>
        <v>#VALUE!</v>
      </c>
    </row>
    <row r="430" spans="3:9" x14ac:dyDescent="0.3">
      <c r="C430" s="38"/>
      <c r="D430" s="39"/>
      <c r="E430" s="39"/>
      <c r="F430" s="40"/>
      <c r="G430" s="41"/>
      <c r="H430" s="39" t="e">
        <f>MONTH(Libro_Diario[[#This Row],[Fecha]])</f>
        <v>#VALUE!</v>
      </c>
      <c r="I430" s="39" t="e">
        <f>YEAR(Libro_Diario[[#This Row],[Fecha]])</f>
        <v>#VALUE!</v>
      </c>
    </row>
    <row r="431" spans="3:9" x14ac:dyDescent="0.3">
      <c r="C431" s="38"/>
      <c r="D431" s="39"/>
      <c r="E431" s="39"/>
      <c r="F431" s="40"/>
      <c r="G431" s="41"/>
      <c r="H431" s="39" t="e">
        <f>MONTH(Libro_Diario[[#This Row],[Fecha]])</f>
        <v>#VALUE!</v>
      </c>
      <c r="I431" s="39" t="e">
        <f>YEAR(Libro_Diario[[#This Row],[Fecha]])</f>
        <v>#VALUE!</v>
      </c>
    </row>
    <row r="432" spans="3:9" x14ac:dyDescent="0.3">
      <c r="C432" s="38"/>
      <c r="D432" s="39"/>
      <c r="E432" s="39"/>
      <c r="F432" s="40"/>
      <c r="G432" s="41"/>
      <c r="H432" s="39" t="e">
        <f>MONTH(Libro_Diario[[#This Row],[Fecha]])</f>
        <v>#VALUE!</v>
      </c>
      <c r="I432" s="39" t="e">
        <f>YEAR(Libro_Diario[[#This Row],[Fecha]])</f>
        <v>#VALUE!</v>
      </c>
    </row>
    <row r="433" spans="3:9" x14ac:dyDescent="0.3">
      <c r="C433" s="38"/>
      <c r="D433" s="39"/>
      <c r="E433" s="39"/>
      <c r="F433" s="40"/>
      <c r="G433" s="41"/>
      <c r="H433" s="39" t="e">
        <f>MONTH(Libro_Diario[[#This Row],[Fecha]])</f>
        <v>#VALUE!</v>
      </c>
      <c r="I433" s="39" t="e">
        <f>YEAR(Libro_Diario[[#This Row],[Fecha]])</f>
        <v>#VALUE!</v>
      </c>
    </row>
    <row r="434" spans="3:9" x14ac:dyDescent="0.3">
      <c r="C434" s="38"/>
      <c r="D434" s="39"/>
      <c r="E434" s="39"/>
      <c r="F434" s="40"/>
      <c r="G434" s="41"/>
      <c r="H434" s="39" t="e">
        <f>MONTH(Libro_Diario[[#This Row],[Fecha]])</f>
        <v>#VALUE!</v>
      </c>
      <c r="I434" s="39" t="e">
        <f>YEAR(Libro_Diario[[#This Row],[Fecha]])</f>
        <v>#VALUE!</v>
      </c>
    </row>
    <row r="435" spans="3:9" x14ac:dyDescent="0.3">
      <c r="C435" s="38"/>
      <c r="D435" s="39"/>
      <c r="E435" s="39"/>
      <c r="F435" s="40"/>
      <c r="G435" s="41"/>
      <c r="H435" s="39" t="e">
        <f>MONTH(Libro_Diario[[#This Row],[Fecha]])</f>
        <v>#VALUE!</v>
      </c>
      <c r="I435" s="39" t="e">
        <f>YEAR(Libro_Diario[[#This Row],[Fecha]])</f>
        <v>#VALUE!</v>
      </c>
    </row>
    <row r="436" spans="3:9" x14ac:dyDescent="0.3">
      <c r="C436" s="38"/>
      <c r="D436" s="39"/>
      <c r="E436" s="39"/>
      <c r="F436" s="40"/>
      <c r="G436" s="41"/>
      <c r="H436" s="39" t="e">
        <f>MONTH(Libro_Diario[[#This Row],[Fecha]])</f>
        <v>#VALUE!</v>
      </c>
      <c r="I436" s="39" t="e">
        <f>YEAR(Libro_Diario[[#This Row],[Fecha]])</f>
        <v>#VALUE!</v>
      </c>
    </row>
    <row r="437" spans="3:9" x14ac:dyDescent="0.3">
      <c r="C437" s="38"/>
      <c r="D437" s="39"/>
      <c r="E437" s="39"/>
      <c r="F437" s="40"/>
      <c r="G437" s="41"/>
      <c r="H437" s="39" t="e">
        <f>MONTH(Libro_Diario[[#This Row],[Fecha]])</f>
        <v>#VALUE!</v>
      </c>
      <c r="I437" s="39" t="e">
        <f>YEAR(Libro_Diario[[#This Row],[Fecha]])</f>
        <v>#VALUE!</v>
      </c>
    </row>
    <row r="438" spans="3:9" x14ac:dyDescent="0.3">
      <c r="C438" s="38"/>
      <c r="D438" s="39"/>
      <c r="E438" s="39"/>
      <c r="F438" s="40"/>
      <c r="G438" s="41"/>
      <c r="H438" s="39" t="e">
        <f>MONTH(Libro_Diario[[#This Row],[Fecha]])</f>
        <v>#VALUE!</v>
      </c>
      <c r="I438" s="39" t="e">
        <f>YEAR(Libro_Diario[[#This Row],[Fecha]])</f>
        <v>#VALUE!</v>
      </c>
    </row>
    <row r="439" spans="3:9" x14ac:dyDescent="0.3">
      <c r="C439" s="38"/>
      <c r="D439" s="39"/>
      <c r="E439" s="39"/>
      <c r="F439" s="40"/>
      <c r="G439" s="41"/>
      <c r="H439" s="39" t="e">
        <f>MONTH(Libro_Diario[[#This Row],[Fecha]])</f>
        <v>#VALUE!</v>
      </c>
      <c r="I439" s="39" t="e">
        <f>YEAR(Libro_Diario[[#This Row],[Fecha]])</f>
        <v>#VALUE!</v>
      </c>
    </row>
    <row r="440" spans="3:9" x14ac:dyDescent="0.3">
      <c r="C440" s="38"/>
      <c r="D440" s="39"/>
      <c r="E440" s="39"/>
      <c r="F440" s="40"/>
      <c r="G440" s="41"/>
      <c r="H440" s="39" t="e">
        <f>MONTH(Libro_Diario[[#This Row],[Fecha]])</f>
        <v>#VALUE!</v>
      </c>
      <c r="I440" s="39" t="e">
        <f>YEAR(Libro_Diario[[#This Row],[Fecha]])</f>
        <v>#VALUE!</v>
      </c>
    </row>
    <row r="441" spans="3:9" x14ac:dyDescent="0.3">
      <c r="C441" s="38"/>
      <c r="D441" s="39"/>
      <c r="E441" s="39"/>
      <c r="F441" s="40"/>
      <c r="G441" s="41"/>
      <c r="H441" s="39" t="e">
        <f>MONTH(Libro_Diario[[#This Row],[Fecha]])</f>
        <v>#VALUE!</v>
      </c>
      <c r="I441" s="39" t="e">
        <f>YEAR(Libro_Diario[[#This Row],[Fecha]])</f>
        <v>#VALUE!</v>
      </c>
    </row>
    <row r="442" spans="3:9" x14ac:dyDescent="0.3">
      <c r="C442" s="38"/>
      <c r="D442" s="39"/>
      <c r="E442" s="39"/>
      <c r="F442" s="40"/>
      <c r="G442" s="41"/>
      <c r="H442" s="39" t="e">
        <f>MONTH(Libro_Diario[[#This Row],[Fecha]])</f>
        <v>#VALUE!</v>
      </c>
      <c r="I442" s="39" t="e">
        <f>YEAR(Libro_Diario[[#This Row],[Fecha]])</f>
        <v>#VALUE!</v>
      </c>
    </row>
    <row r="443" spans="3:9" x14ac:dyDescent="0.3">
      <c r="C443" s="38"/>
      <c r="D443" s="39"/>
      <c r="E443" s="39"/>
      <c r="F443" s="40"/>
      <c r="G443" s="41"/>
      <c r="H443" s="39" t="e">
        <f>MONTH(Libro_Diario[[#This Row],[Fecha]])</f>
        <v>#VALUE!</v>
      </c>
      <c r="I443" s="39" t="e">
        <f>YEAR(Libro_Diario[[#This Row],[Fecha]])</f>
        <v>#VALUE!</v>
      </c>
    </row>
    <row r="444" spans="3:9" x14ac:dyDescent="0.3">
      <c r="C444" s="38"/>
      <c r="D444" s="39"/>
      <c r="E444" s="39"/>
      <c r="F444" s="40"/>
      <c r="G444" s="41"/>
      <c r="H444" s="39" t="e">
        <f>MONTH(Libro_Diario[[#This Row],[Fecha]])</f>
        <v>#VALUE!</v>
      </c>
      <c r="I444" s="39" t="e">
        <f>YEAR(Libro_Diario[[#This Row],[Fecha]])</f>
        <v>#VALUE!</v>
      </c>
    </row>
    <row r="445" spans="3:9" x14ac:dyDescent="0.3">
      <c r="C445" s="38"/>
      <c r="D445" s="39"/>
      <c r="E445" s="39"/>
      <c r="F445" s="40"/>
      <c r="G445" s="41"/>
      <c r="H445" s="39" t="e">
        <f>MONTH(Libro_Diario[[#This Row],[Fecha]])</f>
        <v>#VALUE!</v>
      </c>
      <c r="I445" s="39" t="e">
        <f>YEAR(Libro_Diario[[#This Row],[Fecha]])</f>
        <v>#VALUE!</v>
      </c>
    </row>
    <row r="446" spans="3:9" x14ac:dyDescent="0.3">
      <c r="C446" s="38"/>
      <c r="D446" s="39"/>
      <c r="E446" s="39"/>
      <c r="F446" s="40"/>
      <c r="G446" s="41"/>
      <c r="H446" s="39" t="e">
        <f>MONTH(Libro_Diario[[#This Row],[Fecha]])</f>
        <v>#VALUE!</v>
      </c>
      <c r="I446" s="39" t="e">
        <f>YEAR(Libro_Diario[[#This Row],[Fecha]])</f>
        <v>#VALUE!</v>
      </c>
    </row>
    <row r="447" spans="3:9" x14ac:dyDescent="0.3">
      <c r="C447" s="38"/>
      <c r="D447" s="39"/>
      <c r="E447" s="39"/>
      <c r="F447" s="40"/>
      <c r="G447" s="41"/>
      <c r="H447" s="39" t="e">
        <f>MONTH(Libro_Diario[[#This Row],[Fecha]])</f>
        <v>#VALUE!</v>
      </c>
      <c r="I447" s="39" t="e">
        <f>YEAR(Libro_Diario[[#This Row],[Fecha]])</f>
        <v>#VALUE!</v>
      </c>
    </row>
    <row r="448" spans="3:9" x14ac:dyDescent="0.3">
      <c r="C448" s="38"/>
      <c r="D448" s="39"/>
      <c r="E448" s="39"/>
      <c r="F448" s="40"/>
      <c r="G448" s="41"/>
      <c r="H448" s="39" t="e">
        <f>MONTH(Libro_Diario[[#This Row],[Fecha]])</f>
        <v>#VALUE!</v>
      </c>
      <c r="I448" s="39" t="e">
        <f>YEAR(Libro_Diario[[#This Row],[Fecha]])</f>
        <v>#VALUE!</v>
      </c>
    </row>
    <row r="449" spans="3:9" x14ac:dyDescent="0.3">
      <c r="C449" s="38"/>
      <c r="D449" s="39"/>
      <c r="E449" s="39"/>
      <c r="F449" s="40"/>
      <c r="G449" s="41"/>
      <c r="H449" s="39" t="e">
        <f>MONTH(Libro_Diario[[#This Row],[Fecha]])</f>
        <v>#VALUE!</v>
      </c>
      <c r="I449" s="39" t="e">
        <f>YEAR(Libro_Diario[[#This Row],[Fecha]])</f>
        <v>#VALUE!</v>
      </c>
    </row>
    <row r="450" spans="3:9" x14ac:dyDescent="0.3">
      <c r="C450" s="38"/>
      <c r="D450" s="39"/>
      <c r="E450" s="39"/>
      <c r="F450" s="40"/>
      <c r="G450" s="41"/>
      <c r="H450" s="39" t="e">
        <f>MONTH(Libro_Diario[[#This Row],[Fecha]])</f>
        <v>#VALUE!</v>
      </c>
      <c r="I450" s="39" t="e">
        <f>YEAR(Libro_Diario[[#This Row],[Fecha]])</f>
        <v>#VALUE!</v>
      </c>
    </row>
    <row r="451" spans="3:9" x14ac:dyDescent="0.3">
      <c r="C451" s="38"/>
      <c r="D451" s="39"/>
      <c r="E451" s="39"/>
      <c r="F451" s="40"/>
      <c r="G451" s="41"/>
      <c r="H451" s="39" t="e">
        <f>MONTH(Libro_Diario[[#This Row],[Fecha]])</f>
        <v>#VALUE!</v>
      </c>
      <c r="I451" s="39" t="e">
        <f>YEAR(Libro_Diario[[#This Row],[Fecha]])</f>
        <v>#VALUE!</v>
      </c>
    </row>
    <row r="452" spans="3:9" x14ac:dyDescent="0.3">
      <c r="C452" s="38"/>
      <c r="D452" s="39"/>
      <c r="E452" s="39"/>
      <c r="F452" s="40"/>
      <c r="G452" s="41"/>
      <c r="H452" s="39" t="e">
        <f>MONTH(Libro_Diario[[#This Row],[Fecha]])</f>
        <v>#VALUE!</v>
      </c>
      <c r="I452" s="39" t="e">
        <f>YEAR(Libro_Diario[[#This Row],[Fecha]])</f>
        <v>#VALUE!</v>
      </c>
    </row>
    <row r="453" spans="3:9" x14ac:dyDescent="0.3">
      <c r="C453" s="38"/>
      <c r="D453" s="39"/>
      <c r="E453" s="39"/>
      <c r="F453" s="40"/>
      <c r="G453" s="41"/>
      <c r="H453" s="39" t="e">
        <f>MONTH(Libro_Diario[[#This Row],[Fecha]])</f>
        <v>#VALUE!</v>
      </c>
      <c r="I453" s="39" t="e">
        <f>YEAR(Libro_Diario[[#This Row],[Fecha]])</f>
        <v>#VALUE!</v>
      </c>
    </row>
    <row r="454" spans="3:9" x14ac:dyDescent="0.3">
      <c r="C454" s="38"/>
      <c r="D454" s="39"/>
      <c r="E454" s="39"/>
      <c r="F454" s="40"/>
      <c r="G454" s="41"/>
      <c r="H454" s="39" t="e">
        <f>MONTH(Libro_Diario[[#This Row],[Fecha]])</f>
        <v>#VALUE!</v>
      </c>
      <c r="I454" s="39" t="e">
        <f>YEAR(Libro_Diario[[#This Row],[Fecha]])</f>
        <v>#VALUE!</v>
      </c>
    </row>
    <row r="455" spans="3:9" x14ac:dyDescent="0.3">
      <c r="C455" s="38"/>
      <c r="D455" s="39"/>
      <c r="E455" s="39"/>
      <c r="F455" s="40"/>
      <c r="G455" s="41"/>
      <c r="H455" s="39" t="e">
        <f>MONTH(Libro_Diario[[#This Row],[Fecha]])</f>
        <v>#VALUE!</v>
      </c>
      <c r="I455" s="39" t="e">
        <f>YEAR(Libro_Diario[[#This Row],[Fecha]])</f>
        <v>#VALUE!</v>
      </c>
    </row>
    <row r="456" spans="3:9" x14ac:dyDescent="0.3">
      <c r="C456" s="38"/>
      <c r="D456" s="39"/>
      <c r="E456" s="39"/>
      <c r="F456" s="40"/>
      <c r="G456" s="41"/>
      <c r="H456" s="39" t="e">
        <f>MONTH(Libro_Diario[[#This Row],[Fecha]])</f>
        <v>#VALUE!</v>
      </c>
      <c r="I456" s="39" t="e">
        <f>YEAR(Libro_Diario[[#This Row],[Fecha]])</f>
        <v>#VALUE!</v>
      </c>
    </row>
    <row r="457" spans="3:9" x14ac:dyDescent="0.3">
      <c r="C457" s="38"/>
      <c r="D457" s="39"/>
      <c r="E457" s="39"/>
      <c r="F457" s="40"/>
      <c r="G457" s="41"/>
      <c r="H457" s="39" t="e">
        <f>MONTH(Libro_Diario[[#This Row],[Fecha]])</f>
        <v>#VALUE!</v>
      </c>
      <c r="I457" s="39" t="e">
        <f>YEAR(Libro_Diario[[#This Row],[Fecha]])</f>
        <v>#VALUE!</v>
      </c>
    </row>
    <row r="458" spans="3:9" x14ac:dyDescent="0.3">
      <c r="C458" s="38"/>
      <c r="D458" s="39"/>
      <c r="E458" s="39"/>
      <c r="F458" s="40"/>
      <c r="G458" s="41"/>
      <c r="H458" s="39" t="e">
        <f>MONTH(Libro_Diario[[#This Row],[Fecha]])</f>
        <v>#VALUE!</v>
      </c>
      <c r="I458" s="39" t="e">
        <f>YEAR(Libro_Diario[[#This Row],[Fecha]])</f>
        <v>#VALUE!</v>
      </c>
    </row>
    <row r="459" spans="3:9" x14ac:dyDescent="0.3">
      <c r="C459" s="38"/>
      <c r="D459" s="39"/>
      <c r="E459" s="39"/>
      <c r="F459" s="40"/>
      <c r="G459" s="41"/>
      <c r="H459" s="39" t="e">
        <f>MONTH(Libro_Diario[[#This Row],[Fecha]])</f>
        <v>#VALUE!</v>
      </c>
      <c r="I459" s="39" t="e">
        <f>YEAR(Libro_Diario[[#This Row],[Fecha]])</f>
        <v>#VALUE!</v>
      </c>
    </row>
    <row r="460" spans="3:9" x14ac:dyDescent="0.3">
      <c r="C460" s="38"/>
      <c r="D460" s="39"/>
      <c r="E460" s="39"/>
      <c r="F460" s="40"/>
      <c r="G460" s="41"/>
      <c r="H460" s="39" t="e">
        <f>MONTH(Libro_Diario[[#This Row],[Fecha]])</f>
        <v>#VALUE!</v>
      </c>
      <c r="I460" s="39" t="e">
        <f>YEAR(Libro_Diario[[#This Row],[Fecha]])</f>
        <v>#VALUE!</v>
      </c>
    </row>
    <row r="461" spans="3:9" x14ac:dyDescent="0.3">
      <c r="C461" s="38"/>
      <c r="D461" s="39"/>
      <c r="E461" s="39"/>
      <c r="F461" s="40"/>
      <c r="G461" s="41"/>
      <c r="H461" s="39" t="e">
        <f>MONTH(Libro_Diario[[#This Row],[Fecha]])</f>
        <v>#VALUE!</v>
      </c>
      <c r="I461" s="39" t="e">
        <f>YEAR(Libro_Diario[[#This Row],[Fecha]])</f>
        <v>#VALUE!</v>
      </c>
    </row>
    <row r="462" spans="3:9" x14ac:dyDescent="0.3">
      <c r="C462" s="38"/>
      <c r="D462" s="39"/>
      <c r="E462" s="39"/>
      <c r="F462" s="40"/>
      <c r="G462" s="41"/>
      <c r="H462" s="39" t="e">
        <f>MONTH(Libro_Diario[[#This Row],[Fecha]])</f>
        <v>#VALUE!</v>
      </c>
      <c r="I462" s="39" t="e">
        <f>YEAR(Libro_Diario[[#This Row],[Fecha]])</f>
        <v>#VALUE!</v>
      </c>
    </row>
    <row r="463" spans="3:9" x14ac:dyDescent="0.3">
      <c r="C463" s="38"/>
      <c r="D463" s="39"/>
      <c r="E463" s="39"/>
      <c r="F463" s="40"/>
      <c r="G463" s="41"/>
      <c r="H463" s="39" t="e">
        <f>MONTH(Libro_Diario[[#This Row],[Fecha]])</f>
        <v>#VALUE!</v>
      </c>
      <c r="I463" s="39" t="e">
        <f>YEAR(Libro_Diario[[#This Row],[Fecha]])</f>
        <v>#VALUE!</v>
      </c>
    </row>
    <row r="464" spans="3:9" x14ac:dyDescent="0.3">
      <c r="C464" s="38"/>
      <c r="D464" s="39"/>
      <c r="E464" s="39"/>
      <c r="F464" s="40"/>
      <c r="G464" s="41"/>
      <c r="H464" s="39" t="e">
        <f>MONTH(Libro_Diario[[#This Row],[Fecha]])</f>
        <v>#VALUE!</v>
      </c>
      <c r="I464" s="39" t="e">
        <f>YEAR(Libro_Diario[[#This Row],[Fecha]])</f>
        <v>#VALUE!</v>
      </c>
    </row>
    <row r="465" spans="3:9" x14ac:dyDescent="0.3">
      <c r="C465" s="38"/>
      <c r="D465" s="39"/>
      <c r="E465" s="39"/>
      <c r="F465" s="40"/>
      <c r="G465" s="41"/>
      <c r="H465" s="39" t="e">
        <f>MONTH(Libro_Diario[[#This Row],[Fecha]])</f>
        <v>#VALUE!</v>
      </c>
      <c r="I465" s="39" t="e">
        <f>YEAR(Libro_Diario[[#This Row],[Fecha]])</f>
        <v>#VALUE!</v>
      </c>
    </row>
    <row r="466" spans="3:9" x14ac:dyDescent="0.3">
      <c r="C466" s="38"/>
      <c r="D466" s="39"/>
      <c r="E466" s="39"/>
      <c r="F466" s="40"/>
      <c r="G466" s="41"/>
      <c r="H466" s="39" t="e">
        <f>MONTH(Libro_Diario[[#This Row],[Fecha]])</f>
        <v>#VALUE!</v>
      </c>
      <c r="I466" s="39" t="e">
        <f>YEAR(Libro_Diario[[#This Row],[Fecha]])</f>
        <v>#VALUE!</v>
      </c>
    </row>
    <row r="467" spans="3:9" x14ac:dyDescent="0.3">
      <c r="C467" s="38"/>
      <c r="D467" s="39"/>
      <c r="E467" s="39"/>
      <c r="F467" s="40"/>
      <c r="G467" s="41"/>
      <c r="H467" s="39" t="e">
        <f>MONTH(Libro_Diario[[#This Row],[Fecha]])</f>
        <v>#VALUE!</v>
      </c>
      <c r="I467" s="39" t="e">
        <f>YEAR(Libro_Diario[[#This Row],[Fecha]])</f>
        <v>#VALUE!</v>
      </c>
    </row>
    <row r="468" spans="3:9" x14ac:dyDescent="0.3">
      <c r="C468" s="38"/>
      <c r="D468" s="39"/>
      <c r="E468" s="39"/>
      <c r="F468" s="40"/>
      <c r="G468" s="41"/>
      <c r="H468" s="39" t="e">
        <f>MONTH(Libro_Diario[[#This Row],[Fecha]])</f>
        <v>#VALUE!</v>
      </c>
      <c r="I468" s="39" t="e">
        <f>YEAR(Libro_Diario[[#This Row],[Fecha]])</f>
        <v>#VALUE!</v>
      </c>
    </row>
    <row r="469" spans="3:9" x14ac:dyDescent="0.3">
      <c r="C469" s="56"/>
      <c r="D469" s="39"/>
      <c r="E469" s="39"/>
      <c r="F469" s="40"/>
      <c r="G469" s="41"/>
      <c r="H469" s="39" t="e">
        <f>MONTH(Libro_Diario[[#This Row],[Fecha]])</f>
        <v>#VALUE!</v>
      </c>
      <c r="I469" s="39" t="e">
        <f>YEAR(Libro_Diario[[#This Row],[Fecha]])</f>
        <v>#VALUE!</v>
      </c>
    </row>
    <row r="470" spans="3:9" x14ac:dyDescent="0.3">
      <c r="C470" s="56"/>
      <c r="D470" s="39"/>
      <c r="E470" s="39"/>
      <c r="F470" s="40"/>
      <c r="G470" s="41"/>
      <c r="H470" s="39" t="e">
        <f>MONTH(Libro_Diario[[#This Row],[Fecha]])</f>
        <v>#VALUE!</v>
      </c>
      <c r="I470" s="39" t="e">
        <f>YEAR(Libro_Diario[[#This Row],[Fecha]])</f>
        <v>#VALUE!</v>
      </c>
    </row>
    <row r="471" spans="3:9" x14ac:dyDescent="0.3">
      <c r="C471" s="56"/>
      <c r="D471" s="39"/>
      <c r="E471" s="39"/>
      <c r="F471" s="40"/>
      <c r="G471" s="41"/>
      <c r="H471" s="39" t="e">
        <f>MONTH(Libro_Diario[[#This Row],[Fecha]])</f>
        <v>#VALUE!</v>
      </c>
      <c r="I471" s="39" t="e">
        <f>YEAR(Libro_Diario[[#This Row],[Fecha]])</f>
        <v>#VALUE!</v>
      </c>
    </row>
    <row r="472" spans="3:9" x14ac:dyDescent="0.3">
      <c r="C472" s="56"/>
      <c r="D472" s="39"/>
      <c r="E472" s="39"/>
      <c r="F472" s="40"/>
      <c r="G472" s="41"/>
      <c r="H472" s="39" t="e">
        <f>MONTH(Libro_Diario[[#This Row],[Fecha]])</f>
        <v>#VALUE!</v>
      </c>
      <c r="I472" s="39" t="e">
        <f>YEAR(Libro_Diario[[#This Row],[Fecha]])</f>
        <v>#VALUE!</v>
      </c>
    </row>
    <row r="473" spans="3:9" x14ac:dyDescent="0.3">
      <c r="C473" s="56"/>
      <c r="D473" s="39"/>
      <c r="E473" s="39"/>
      <c r="F473" s="40"/>
      <c r="G473" s="41"/>
      <c r="H473" s="39" t="e">
        <f>MONTH(Libro_Diario[[#This Row],[Fecha]])</f>
        <v>#VALUE!</v>
      </c>
      <c r="I473" s="39" t="e">
        <f>YEAR(Libro_Diario[[#This Row],[Fecha]])</f>
        <v>#VALUE!</v>
      </c>
    </row>
    <row r="474" spans="3:9" x14ac:dyDescent="0.3">
      <c r="C474" s="56"/>
      <c r="D474" s="39"/>
      <c r="E474" s="39"/>
      <c r="F474" s="40"/>
      <c r="G474" s="41"/>
      <c r="H474" s="39" t="e">
        <f>MONTH(Libro_Diario[[#This Row],[Fecha]])</f>
        <v>#VALUE!</v>
      </c>
      <c r="I474" s="39" t="e">
        <f>YEAR(Libro_Diario[[#This Row],[Fecha]])</f>
        <v>#VALUE!</v>
      </c>
    </row>
    <row r="475" spans="3:9" x14ac:dyDescent="0.3">
      <c r="C475" s="56"/>
      <c r="D475" s="39"/>
      <c r="E475" s="39"/>
      <c r="F475" s="40"/>
      <c r="G475" s="41"/>
      <c r="H475" s="39" t="e">
        <f>MONTH(Libro_Diario[[#This Row],[Fecha]])</f>
        <v>#VALUE!</v>
      </c>
      <c r="I475" s="39" t="e">
        <f>YEAR(Libro_Diario[[#This Row],[Fecha]])</f>
        <v>#VALUE!</v>
      </c>
    </row>
    <row r="476" spans="3:9" x14ac:dyDescent="0.3">
      <c r="C476" s="56"/>
      <c r="D476" s="39"/>
      <c r="E476" s="39"/>
      <c r="F476" s="40"/>
      <c r="G476" s="41"/>
      <c r="H476" s="39" t="e">
        <f>MONTH(Libro_Diario[[#This Row],[Fecha]])</f>
        <v>#VALUE!</v>
      </c>
      <c r="I476" s="39" t="e">
        <f>YEAR(Libro_Diario[[#This Row],[Fecha]])</f>
        <v>#VALUE!</v>
      </c>
    </row>
    <row r="477" spans="3:9" x14ac:dyDescent="0.3">
      <c r="C477" s="56"/>
      <c r="D477" s="39"/>
      <c r="E477" s="39"/>
      <c r="F477" s="40"/>
      <c r="G477" s="41"/>
      <c r="H477" s="39" t="e">
        <f>MONTH(Libro_Diario[[#This Row],[Fecha]])</f>
        <v>#VALUE!</v>
      </c>
      <c r="I477" s="39" t="e">
        <f>YEAR(Libro_Diario[[#This Row],[Fecha]])</f>
        <v>#VALUE!</v>
      </c>
    </row>
    <row r="478" spans="3:9" x14ac:dyDescent="0.3">
      <c r="C478" s="56"/>
      <c r="D478" s="39"/>
      <c r="E478" s="39"/>
      <c r="F478" s="40"/>
      <c r="G478" s="41"/>
      <c r="H478" s="39" t="e">
        <f>MONTH(Libro_Diario[[#This Row],[Fecha]])</f>
        <v>#VALUE!</v>
      </c>
      <c r="I478" s="39" t="e">
        <f>YEAR(Libro_Diario[[#This Row],[Fecha]])</f>
        <v>#VALUE!</v>
      </c>
    </row>
    <row r="479" spans="3:9" x14ac:dyDescent="0.3">
      <c r="C479" s="56"/>
      <c r="D479" s="39"/>
      <c r="E479" s="39"/>
      <c r="F479" s="40"/>
      <c r="G479" s="41"/>
      <c r="H479" s="39" t="e">
        <f>MONTH(Libro_Diario[[#This Row],[Fecha]])</f>
        <v>#VALUE!</v>
      </c>
      <c r="I479" s="39" t="e">
        <f>YEAR(Libro_Diario[[#This Row],[Fecha]])</f>
        <v>#VALUE!</v>
      </c>
    </row>
    <row r="480" spans="3:9" x14ac:dyDescent="0.3">
      <c r="C480" s="56"/>
      <c r="D480" s="39"/>
      <c r="E480" s="39"/>
      <c r="F480" s="40"/>
      <c r="G480" s="41"/>
      <c r="H480" s="39" t="e">
        <f>MONTH(Libro_Diario[[#This Row],[Fecha]])</f>
        <v>#VALUE!</v>
      </c>
      <c r="I480" s="39" t="e">
        <f>YEAR(Libro_Diario[[#This Row],[Fecha]])</f>
        <v>#VALUE!</v>
      </c>
    </row>
    <row r="481" spans="3:9" x14ac:dyDescent="0.3">
      <c r="C481" s="56"/>
      <c r="D481" s="39"/>
      <c r="E481" s="39"/>
      <c r="F481" s="40"/>
      <c r="G481" s="41"/>
      <c r="H481" s="39" t="e">
        <f>MONTH(Libro_Diario[[#This Row],[Fecha]])</f>
        <v>#VALUE!</v>
      </c>
      <c r="I481" s="39" t="e">
        <f>YEAR(Libro_Diario[[#This Row],[Fecha]])</f>
        <v>#VALUE!</v>
      </c>
    </row>
    <row r="482" spans="3:9" x14ac:dyDescent="0.3">
      <c r="C482" s="56"/>
      <c r="D482" s="39"/>
      <c r="E482" s="39"/>
      <c r="F482" s="40"/>
      <c r="G482" s="41"/>
      <c r="H482" s="39" t="e">
        <f>MONTH(Libro_Diario[[#This Row],[Fecha]])</f>
        <v>#VALUE!</v>
      </c>
      <c r="I482" s="39" t="e">
        <f>YEAR(Libro_Diario[[#This Row],[Fecha]])</f>
        <v>#VALUE!</v>
      </c>
    </row>
    <row r="483" spans="3:9" x14ac:dyDescent="0.3">
      <c r="C483" s="56"/>
      <c r="D483" s="39"/>
      <c r="E483" s="39"/>
      <c r="F483" s="40"/>
      <c r="G483" s="41"/>
      <c r="H483" s="39" t="e">
        <f>MONTH(Libro_Diario[[#This Row],[Fecha]])</f>
        <v>#VALUE!</v>
      </c>
      <c r="I483" s="39" t="e">
        <f>YEAR(Libro_Diario[[#This Row],[Fecha]])</f>
        <v>#VALUE!</v>
      </c>
    </row>
    <row r="484" spans="3:9" x14ac:dyDescent="0.3">
      <c r="C484" s="56"/>
      <c r="D484" s="39"/>
      <c r="E484" s="39"/>
      <c r="F484" s="40"/>
      <c r="G484" s="41"/>
      <c r="H484" s="39" t="e">
        <f>MONTH(Libro_Diario[[#This Row],[Fecha]])</f>
        <v>#VALUE!</v>
      </c>
      <c r="I484" s="39" t="e">
        <f>YEAR(Libro_Diario[[#This Row],[Fecha]])</f>
        <v>#VALUE!</v>
      </c>
    </row>
    <row r="485" spans="3:9" x14ac:dyDescent="0.3">
      <c r="C485" s="56"/>
      <c r="D485" s="39"/>
      <c r="E485" s="39"/>
      <c r="F485" s="40"/>
      <c r="G485" s="41"/>
      <c r="H485" s="39" t="e">
        <f>MONTH(Libro_Diario[[#This Row],[Fecha]])</f>
        <v>#VALUE!</v>
      </c>
      <c r="I485" s="39" t="e">
        <f>YEAR(Libro_Diario[[#This Row],[Fecha]])</f>
        <v>#VALUE!</v>
      </c>
    </row>
    <row r="486" spans="3:9" x14ac:dyDescent="0.3">
      <c r="C486" s="56"/>
      <c r="D486" s="39"/>
      <c r="E486" s="39"/>
      <c r="F486" s="40"/>
      <c r="G486" s="41"/>
      <c r="H486" s="39" t="e">
        <f>MONTH(Libro_Diario[[#This Row],[Fecha]])</f>
        <v>#VALUE!</v>
      </c>
      <c r="I486" s="39" t="e">
        <f>YEAR(Libro_Diario[[#This Row],[Fecha]])</f>
        <v>#VALUE!</v>
      </c>
    </row>
    <row r="487" spans="3:9" x14ac:dyDescent="0.3">
      <c r="C487" s="56"/>
      <c r="D487" s="39"/>
      <c r="E487" s="39"/>
      <c r="F487" s="40"/>
      <c r="G487" s="41"/>
      <c r="H487" s="39" t="e">
        <f>MONTH(Libro_Diario[[#This Row],[Fecha]])</f>
        <v>#VALUE!</v>
      </c>
      <c r="I487" s="39" t="e">
        <f>YEAR(Libro_Diario[[#This Row],[Fecha]])</f>
        <v>#VALUE!</v>
      </c>
    </row>
    <row r="488" spans="3:9" x14ac:dyDescent="0.3">
      <c r="C488" s="56"/>
      <c r="D488" s="39"/>
      <c r="E488" s="39"/>
      <c r="F488" s="40"/>
      <c r="G488" s="41"/>
      <c r="H488" s="39" t="e">
        <f>MONTH(Libro_Diario[[#This Row],[Fecha]])</f>
        <v>#VALUE!</v>
      </c>
      <c r="I488" s="39" t="e">
        <f>YEAR(Libro_Diario[[#This Row],[Fecha]])</f>
        <v>#VALUE!</v>
      </c>
    </row>
    <row r="489" spans="3:9" x14ac:dyDescent="0.3">
      <c r="C489" s="56"/>
      <c r="D489" s="39"/>
      <c r="E489" s="39"/>
      <c r="F489" s="40"/>
      <c r="G489" s="41"/>
      <c r="H489" s="39" t="e">
        <f>MONTH(Libro_Diario[[#This Row],[Fecha]])</f>
        <v>#VALUE!</v>
      </c>
      <c r="I489" s="39" t="e">
        <f>YEAR(Libro_Diario[[#This Row],[Fecha]])</f>
        <v>#VALUE!</v>
      </c>
    </row>
    <row r="490" spans="3:9" x14ac:dyDescent="0.3">
      <c r="C490" s="56"/>
      <c r="D490" s="39"/>
      <c r="E490" s="39"/>
      <c r="F490" s="40"/>
      <c r="G490" s="41"/>
      <c r="H490" s="39" t="e">
        <f>MONTH(Libro_Diario[[#This Row],[Fecha]])</f>
        <v>#VALUE!</v>
      </c>
      <c r="I490" s="39" t="e">
        <f>YEAR(Libro_Diario[[#This Row],[Fecha]])</f>
        <v>#VALUE!</v>
      </c>
    </row>
    <row r="491" spans="3:9" x14ac:dyDescent="0.3">
      <c r="C491" s="56"/>
      <c r="D491" s="39"/>
      <c r="E491" s="39"/>
      <c r="F491" s="40"/>
      <c r="G491" s="41"/>
      <c r="H491" s="39" t="e">
        <f>MONTH(Libro_Diario[[#This Row],[Fecha]])</f>
        <v>#VALUE!</v>
      </c>
      <c r="I491" s="39" t="e">
        <f>YEAR(Libro_Diario[[#This Row],[Fecha]])</f>
        <v>#VALUE!</v>
      </c>
    </row>
    <row r="492" spans="3:9" x14ac:dyDescent="0.3">
      <c r="C492" s="56"/>
      <c r="D492" s="39"/>
      <c r="E492" s="39"/>
      <c r="F492" s="40"/>
      <c r="G492" s="41"/>
      <c r="H492" s="39" t="e">
        <f>MONTH(Libro_Diario[[#This Row],[Fecha]])</f>
        <v>#VALUE!</v>
      </c>
      <c r="I492" s="39" t="e">
        <f>YEAR(Libro_Diario[[#This Row],[Fecha]])</f>
        <v>#VALUE!</v>
      </c>
    </row>
    <row r="493" spans="3:9" x14ac:dyDescent="0.3">
      <c r="C493" s="56"/>
      <c r="D493" s="39"/>
      <c r="E493" s="39"/>
      <c r="F493" s="40"/>
      <c r="G493" s="41"/>
      <c r="H493" s="39" t="e">
        <f>MONTH(Libro_Diario[[#This Row],[Fecha]])</f>
        <v>#VALUE!</v>
      </c>
      <c r="I493" s="39" t="e">
        <f>YEAR(Libro_Diario[[#This Row],[Fecha]])</f>
        <v>#VALUE!</v>
      </c>
    </row>
    <row r="494" spans="3:9" x14ac:dyDescent="0.3">
      <c r="C494" s="56"/>
      <c r="D494" s="39"/>
      <c r="E494" s="39"/>
      <c r="F494" s="40"/>
      <c r="G494" s="41"/>
      <c r="H494" s="39" t="e">
        <f>MONTH(Libro_Diario[[#This Row],[Fecha]])</f>
        <v>#VALUE!</v>
      </c>
      <c r="I494" s="39" t="e">
        <f>YEAR(Libro_Diario[[#This Row],[Fecha]])</f>
        <v>#VALUE!</v>
      </c>
    </row>
    <row r="495" spans="3:9" x14ac:dyDescent="0.3">
      <c r="C495" s="56"/>
      <c r="D495" s="39"/>
      <c r="E495" s="39"/>
      <c r="F495" s="40"/>
      <c r="G495" s="41"/>
      <c r="H495" s="39" t="e">
        <f>MONTH(Libro_Diario[[#This Row],[Fecha]])</f>
        <v>#VALUE!</v>
      </c>
      <c r="I495" s="39" t="e">
        <f>YEAR(Libro_Diario[[#This Row],[Fecha]])</f>
        <v>#VALUE!</v>
      </c>
    </row>
    <row r="496" spans="3:9" x14ac:dyDescent="0.3">
      <c r="C496" s="56"/>
      <c r="D496" s="39"/>
      <c r="E496" s="39"/>
      <c r="F496" s="40"/>
      <c r="G496" s="41"/>
      <c r="H496" s="39" t="e">
        <f>MONTH(Libro_Diario[[#This Row],[Fecha]])</f>
        <v>#VALUE!</v>
      </c>
      <c r="I496" s="39" t="e">
        <f>YEAR(Libro_Diario[[#This Row],[Fecha]])</f>
        <v>#VALUE!</v>
      </c>
    </row>
    <row r="497" spans="3:9" x14ac:dyDescent="0.3">
      <c r="C497" s="56"/>
      <c r="D497" s="39"/>
      <c r="E497" s="39"/>
      <c r="F497" s="40"/>
      <c r="G497" s="41"/>
      <c r="H497" s="39" t="e">
        <f>MONTH(Libro_Diario[[#This Row],[Fecha]])</f>
        <v>#VALUE!</v>
      </c>
      <c r="I497" s="39" t="e">
        <f>YEAR(Libro_Diario[[#This Row],[Fecha]])</f>
        <v>#VALUE!</v>
      </c>
    </row>
    <row r="498" spans="3:9" x14ac:dyDescent="0.3">
      <c r="C498" s="56"/>
      <c r="D498" s="39"/>
      <c r="E498" s="39"/>
      <c r="F498" s="40"/>
      <c r="G498" s="41"/>
      <c r="H498" s="39" t="e">
        <f>MONTH(Libro_Diario[[#This Row],[Fecha]])</f>
        <v>#VALUE!</v>
      </c>
      <c r="I498" s="39" t="e">
        <f>YEAR(Libro_Diario[[#This Row],[Fecha]])</f>
        <v>#VALUE!</v>
      </c>
    </row>
    <row r="499" spans="3:9" x14ac:dyDescent="0.3">
      <c r="C499" s="56"/>
      <c r="D499" s="39"/>
      <c r="E499" s="39"/>
      <c r="F499" s="40"/>
      <c r="G499" s="41"/>
      <c r="H499" s="39" t="e">
        <f>MONTH(Libro_Diario[[#This Row],[Fecha]])</f>
        <v>#VALUE!</v>
      </c>
      <c r="I499" s="39" t="e">
        <f>YEAR(Libro_Diario[[#This Row],[Fecha]])</f>
        <v>#VALUE!</v>
      </c>
    </row>
    <row r="500" spans="3:9" x14ac:dyDescent="0.3">
      <c r="C500" s="56"/>
      <c r="D500" s="39"/>
      <c r="E500" s="39"/>
      <c r="F500" s="40"/>
      <c r="G500" s="41"/>
      <c r="H500" s="39" t="e">
        <f>MONTH(Libro_Diario[[#This Row],[Fecha]])</f>
        <v>#VALUE!</v>
      </c>
      <c r="I500" s="39" t="e">
        <f>YEAR(Libro_Diario[[#This Row],[Fecha]])</f>
        <v>#VALUE!</v>
      </c>
    </row>
    <row r="501" spans="3:9" x14ac:dyDescent="0.3">
      <c r="C501" s="56"/>
      <c r="D501" s="39"/>
      <c r="E501" s="39"/>
      <c r="F501" s="40"/>
      <c r="G501" s="41"/>
      <c r="H501" s="39" t="e">
        <f>MONTH(Libro_Diario[[#This Row],[Fecha]])</f>
        <v>#VALUE!</v>
      </c>
      <c r="I501" s="39" t="e">
        <f>YEAR(Libro_Diario[[#This Row],[Fecha]])</f>
        <v>#VALUE!</v>
      </c>
    </row>
    <row r="502" spans="3:9" x14ac:dyDescent="0.3">
      <c r="C502" s="56"/>
      <c r="D502" s="39"/>
      <c r="E502" s="39"/>
      <c r="F502" s="40"/>
      <c r="G502" s="41"/>
      <c r="H502" s="39" t="e">
        <f>MONTH(Libro_Diario[[#This Row],[Fecha]])</f>
        <v>#VALUE!</v>
      </c>
      <c r="I502" s="39" t="e">
        <f>YEAR(Libro_Diario[[#This Row],[Fecha]])</f>
        <v>#VALUE!</v>
      </c>
    </row>
    <row r="503" spans="3:9" x14ac:dyDescent="0.3">
      <c r="C503" s="56"/>
      <c r="D503" s="39"/>
      <c r="E503" s="39"/>
      <c r="F503" s="40"/>
      <c r="G503" s="41"/>
      <c r="H503" s="39" t="e">
        <f>MONTH(Libro_Diario[[#This Row],[Fecha]])</f>
        <v>#VALUE!</v>
      </c>
      <c r="I503" s="39" t="e">
        <f>YEAR(Libro_Diario[[#This Row],[Fecha]])</f>
        <v>#VALUE!</v>
      </c>
    </row>
    <row r="504" spans="3:9" x14ac:dyDescent="0.3">
      <c r="C504" s="56"/>
      <c r="D504" s="39"/>
      <c r="E504" s="39"/>
      <c r="F504" s="40"/>
      <c r="G504" s="41"/>
      <c r="H504" s="39" t="e">
        <f>MONTH(Libro_Diario[[#This Row],[Fecha]])</f>
        <v>#VALUE!</v>
      </c>
      <c r="I504" s="39" t="e">
        <f>YEAR(Libro_Diario[[#This Row],[Fecha]])</f>
        <v>#VALUE!</v>
      </c>
    </row>
    <row r="505" spans="3:9" x14ac:dyDescent="0.3">
      <c r="C505" s="56"/>
      <c r="D505" s="39"/>
      <c r="E505" s="39"/>
      <c r="F505" s="40"/>
      <c r="G505" s="41"/>
      <c r="H505" s="39" t="e">
        <f>MONTH(Libro_Diario[[#This Row],[Fecha]])</f>
        <v>#VALUE!</v>
      </c>
      <c r="I505" s="39" t="e">
        <f>YEAR(Libro_Diario[[#This Row],[Fecha]])</f>
        <v>#VALUE!</v>
      </c>
    </row>
    <row r="506" spans="3:9" x14ac:dyDescent="0.3">
      <c r="C506" s="56"/>
      <c r="D506" s="39"/>
      <c r="E506" s="39"/>
      <c r="F506" s="40"/>
      <c r="G506" s="41"/>
      <c r="H506" s="39" t="e">
        <f>MONTH(Libro_Diario[[#This Row],[Fecha]])</f>
        <v>#VALUE!</v>
      </c>
      <c r="I506" s="39" t="e">
        <f>YEAR(Libro_Diario[[#This Row],[Fecha]])</f>
        <v>#VALUE!</v>
      </c>
    </row>
    <row r="507" spans="3:9" x14ac:dyDescent="0.3">
      <c r="C507" s="56"/>
      <c r="D507" s="39"/>
      <c r="E507" s="39"/>
      <c r="F507" s="40"/>
      <c r="G507" s="41"/>
      <c r="H507" s="39" t="e">
        <f>MONTH(Libro_Diario[[#This Row],[Fecha]])</f>
        <v>#VALUE!</v>
      </c>
      <c r="I507" s="39" t="e">
        <f>YEAR(Libro_Diario[[#This Row],[Fecha]])</f>
        <v>#VALUE!</v>
      </c>
    </row>
    <row r="508" spans="3:9" x14ac:dyDescent="0.3">
      <c r="C508" s="56"/>
      <c r="D508" s="39"/>
      <c r="E508" s="39"/>
      <c r="F508" s="40"/>
      <c r="G508" s="41"/>
      <c r="H508" s="39" t="e">
        <f>MONTH(Libro_Diario[[#This Row],[Fecha]])</f>
        <v>#VALUE!</v>
      </c>
      <c r="I508" s="39" t="e">
        <f>YEAR(Libro_Diario[[#This Row],[Fecha]])</f>
        <v>#VALUE!</v>
      </c>
    </row>
    <row r="509" spans="3:9" x14ac:dyDescent="0.3">
      <c r="C509" s="56"/>
      <c r="D509" s="39"/>
      <c r="E509" s="39"/>
      <c r="F509" s="40"/>
      <c r="G509" s="41"/>
      <c r="H509" s="39" t="e">
        <f>MONTH(Libro_Diario[[#This Row],[Fecha]])</f>
        <v>#VALUE!</v>
      </c>
      <c r="I509" s="39" t="e">
        <f>YEAR(Libro_Diario[[#This Row],[Fecha]])</f>
        <v>#VALUE!</v>
      </c>
    </row>
  </sheetData>
  <conditionalFormatting sqref="E13:E19">
    <cfRule type="expression" dxfId="80" priority="4">
      <formula>ISNA(MATCH(E13,INDIRECT(D13),0))</formula>
    </cfRule>
  </conditionalFormatting>
  <conditionalFormatting sqref="F12">
    <cfRule type="expression" dxfId="79" priority="1">
      <formula>D12="Ahorros"</formula>
    </cfRule>
    <cfRule type="expression" dxfId="78" priority="2">
      <formula>D12="Gastos"</formula>
    </cfRule>
    <cfRule type="expression" dxfId="77" priority="3">
      <formula>D12="Ingresos"</formula>
    </cfRule>
  </conditionalFormatting>
  <dataValidations count="4">
    <dataValidation type="date" allowBlank="1" showInputMessage="1" showErrorMessage="1" sqref="C12" xr:uid="{359501F9-55CD-C242-BAA5-77212E5E3E35}">
      <formula1>44927</formula1>
      <formula2>73415</formula2>
    </dataValidation>
    <dataValidation type="list" allowBlank="1" showInputMessage="1" showErrorMessage="1" sqref="D12" xr:uid="{6C764E39-7F97-384F-9E04-57D1E1409714}">
      <formula1>"Ingresos,Gastos"</formula1>
    </dataValidation>
    <dataValidation type="list" allowBlank="1" showInputMessage="1" showErrorMessage="1" sqref="E12" xr:uid="{60FF933A-8204-344D-93CB-DBACB1F108A2}">
      <formula1>INDIRECT(D12)</formula1>
    </dataValidation>
    <dataValidation type="custom" allowBlank="1" showInputMessage="1" showErrorMessage="1" sqref="F12" xr:uid="{955D516E-FEAF-6A42-BCCA-D611F39544FF}">
      <formula1>ISNUMBER(F12)</formula1>
    </dataValidation>
  </dataValidation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793A4-4A84-1E47-AF18-46A6BF7B7F67}">
  <sheetPr codeName="Hoja5"/>
  <dimension ref="C1:FA48"/>
  <sheetViews>
    <sheetView showGridLines="0" topLeftCell="A6" zoomScaleNormal="100" workbookViewId="0">
      <selection activeCell="G26" sqref="G26"/>
    </sheetView>
  </sheetViews>
  <sheetFormatPr baseColWidth="10" defaultRowHeight="15.6" outlineLevelCol="1" x14ac:dyDescent="0.3"/>
  <cols>
    <col min="3" max="3" width="33.19921875" customWidth="1"/>
    <col min="4" max="4" width="3.69921875" customWidth="1"/>
    <col min="5" max="5" width="11.69921875" customWidth="1" outlineLevel="1"/>
    <col min="6" max="16" width="10.69921875" customWidth="1" outlineLevel="1"/>
    <col min="18" max="18" width="5.19921875" customWidth="1"/>
    <col min="19" max="30" width="10.69921875" hidden="1" customWidth="1" outlineLevel="1"/>
    <col min="31" max="31" width="10.69921875" collapsed="1"/>
    <col min="32" max="32" width="5.19921875" customWidth="1"/>
    <col min="33" max="44" width="10.69921875" hidden="1" customWidth="1" outlineLevel="1"/>
    <col min="45" max="45" width="10.69921875" collapsed="1"/>
    <col min="46" max="46" width="5.19921875" customWidth="1"/>
    <col min="47" max="58" width="10.69921875" hidden="1" customWidth="1" outlineLevel="1"/>
    <col min="59" max="59" width="10.69921875" collapsed="1"/>
    <col min="60" max="60" width="5.19921875" customWidth="1"/>
    <col min="61" max="72" width="10.69921875" hidden="1" customWidth="1" outlineLevel="1"/>
    <col min="73" max="73" width="10.69921875" collapsed="1"/>
    <col min="74" max="74" width="5.19921875" customWidth="1"/>
    <col min="75" max="86" width="10.69921875" hidden="1" customWidth="1" outlineLevel="1"/>
    <col min="87" max="87" width="10.69921875" collapsed="1"/>
    <col min="88" max="88" width="5.19921875" customWidth="1"/>
    <col min="89" max="100" width="10.69921875" hidden="1" customWidth="1" outlineLevel="1"/>
    <col min="101" max="101" width="10.69921875" collapsed="1"/>
    <col min="102" max="102" width="5.19921875" customWidth="1"/>
    <col min="103" max="114" width="10.69921875" hidden="1" customWidth="1" outlineLevel="1"/>
    <col min="115" max="115" width="10.69921875" collapsed="1"/>
    <col min="116" max="116" width="5.19921875" customWidth="1"/>
    <col min="117" max="128" width="10.69921875" hidden="1" customWidth="1" outlineLevel="1"/>
    <col min="129" max="129" width="10.69921875" collapsed="1"/>
    <col min="130" max="130" width="5.19921875" customWidth="1"/>
    <col min="131" max="142" width="10.69921875" hidden="1" customWidth="1" outlineLevel="1"/>
    <col min="143" max="143" width="10.69921875" collapsed="1"/>
    <col min="144" max="144" width="6.19921875" customWidth="1"/>
    <col min="145" max="156" width="10.69921875" hidden="1" customWidth="1" outlineLevel="1"/>
    <col min="157" max="157" width="10.69921875" collapsed="1"/>
    <col min="158" max="158" width="5.19921875" customWidth="1"/>
  </cols>
  <sheetData>
    <row r="1" spans="3:157" s="1" customFormat="1" x14ac:dyDescent="0.3">
      <c r="C1" s="18"/>
    </row>
    <row r="2" spans="3:157" s="1" customFormat="1" ht="28.8" x14ac:dyDescent="0.55000000000000004">
      <c r="C2" s="13" t="s">
        <v>26</v>
      </c>
    </row>
    <row r="3" spans="3:157" s="1" customFormat="1" x14ac:dyDescent="0.3"/>
    <row r="5" spans="3:157" x14ac:dyDescent="0.3">
      <c r="C5" s="14" t="s">
        <v>4</v>
      </c>
      <c r="E5" s="84">
        <f>Año_de_inicio</f>
        <v>2023</v>
      </c>
      <c r="F5" s="84"/>
      <c r="G5" s="84"/>
      <c r="H5" s="84"/>
      <c r="I5" s="84"/>
      <c r="J5" s="84"/>
      <c r="K5" s="84"/>
      <c r="L5" s="84"/>
      <c r="M5" s="84"/>
      <c r="N5" s="84"/>
      <c r="O5" s="84"/>
      <c r="P5" s="84"/>
      <c r="Q5" s="84"/>
      <c r="S5" s="84">
        <f>E5+1</f>
        <v>2024</v>
      </c>
      <c r="T5" s="84"/>
      <c r="U5" s="84"/>
      <c r="V5" s="84"/>
      <c r="W5" s="84"/>
      <c r="X5" s="84"/>
      <c r="Y5" s="84"/>
      <c r="Z5" s="84"/>
      <c r="AA5" s="84"/>
      <c r="AB5" s="84"/>
      <c r="AC5" s="84"/>
      <c r="AD5" s="84"/>
      <c r="AE5" s="84"/>
      <c r="AG5" s="84">
        <f>S5+1</f>
        <v>2025</v>
      </c>
      <c r="AH5" s="84"/>
      <c r="AI5" s="84"/>
      <c r="AJ5" s="84"/>
      <c r="AK5" s="84"/>
      <c r="AL5" s="84"/>
      <c r="AM5" s="84"/>
      <c r="AN5" s="84"/>
      <c r="AO5" s="84"/>
      <c r="AP5" s="84"/>
      <c r="AQ5" s="84"/>
      <c r="AR5" s="84"/>
      <c r="AS5" s="84"/>
      <c r="AU5" s="84">
        <f>AG5+1</f>
        <v>2026</v>
      </c>
      <c r="AV5" s="84"/>
      <c r="AW5" s="84"/>
      <c r="AX5" s="84"/>
      <c r="AY5" s="84"/>
      <c r="AZ5" s="84"/>
      <c r="BA5" s="84"/>
      <c r="BB5" s="84"/>
      <c r="BC5" s="84"/>
      <c r="BD5" s="84"/>
      <c r="BE5" s="84"/>
      <c r="BF5" s="84"/>
      <c r="BG5" s="84"/>
      <c r="BI5" s="84">
        <f>AU5+1</f>
        <v>2027</v>
      </c>
      <c r="BJ5" s="84"/>
      <c r="BK5" s="84"/>
      <c r="BL5" s="84"/>
      <c r="BM5" s="84"/>
      <c r="BN5" s="84"/>
      <c r="BO5" s="84"/>
      <c r="BP5" s="84"/>
      <c r="BQ5" s="84"/>
      <c r="BR5" s="84"/>
      <c r="BS5" s="84"/>
      <c r="BT5" s="84"/>
      <c r="BU5" s="84"/>
      <c r="BW5" s="84">
        <f>BI5+1</f>
        <v>2028</v>
      </c>
      <c r="BX5" s="84"/>
      <c r="BY5" s="84"/>
      <c r="BZ5" s="84"/>
      <c r="CA5" s="84"/>
      <c r="CB5" s="84"/>
      <c r="CC5" s="84"/>
      <c r="CD5" s="84"/>
      <c r="CE5" s="84"/>
      <c r="CF5" s="84"/>
      <c r="CG5" s="84"/>
      <c r="CH5" s="84"/>
      <c r="CI5" s="84"/>
      <c r="CK5" s="84">
        <f>BW5+1</f>
        <v>2029</v>
      </c>
      <c r="CL5" s="84"/>
      <c r="CM5" s="84"/>
      <c r="CN5" s="84"/>
      <c r="CO5" s="84"/>
      <c r="CP5" s="84"/>
      <c r="CQ5" s="84"/>
      <c r="CR5" s="84"/>
      <c r="CS5" s="84"/>
      <c r="CT5" s="84"/>
      <c r="CU5" s="84"/>
      <c r="CV5" s="84"/>
      <c r="CW5" s="84"/>
      <c r="CY5" s="84">
        <f>CK5+1</f>
        <v>2030</v>
      </c>
      <c r="CZ5" s="84"/>
      <c r="DA5" s="84"/>
      <c r="DB5" s="84"/>
      <c r="DC5" s="84"/>
      <c r="DD5" s="84"/>
      <c r="DE5" s="84"/>
      <c r="DF5" s="84"/>
      <c r="DG5" s="84"/>
      <c r="DH5" s="84"/>
      <c r="DI5" s="84"/>
      <c r="DJ5" s="84"/>
      <c r="DK5" s="84"/>
      <c r="DM5" s="84">
        <f>CY5+1</f>
        <v>2031</v>
      </c>
      <c r="DN5" s="84"/>
      <c r="DO5" s="84"/>
      <c r="DP5" s="84"/>
      <c r="DQ5" s="84"/>
      <c r="DR5" s="84"/>
      <c r="DS5" s="84"/>
      <c r="DT5" s="84"/>
      <c r="DU5" s="84"/>
      <c r="DV5" s="84"/>
      <c r="DW5" s="84"/>
      <c r="DX5" s="84"/>
      <c r="DY5" s="84"/>
      <c r="EA5" s="84">
        <f>DM5+1</f>
        <v>2032</v>
      </c>
      <c r="EB5" s="84"/>
      <c r="EC5" s="84"/>
      <c r="ED5" s="84"/>
      <c r="EE5" s="84"/>
      <c r="EF5" s="84"/>
      <c r="EG5" s="84"/>
      <c r="EH5" s="84"/>
      <c r="EI5" s="84"/>
      <c r="EJ5" s="84"/>
      <c r="EK5" s="84"/>
      <c r="EL5" s="84"/>
      <c r="EM5" s="84"/>
      <c r="EO5" s="84">
        <f>EA5+1</f>
        <v>2033</v>
      </c>
      <c r="EP5" s="84"/>
      <c r="EQ5" s="84"/>
      <c r="ER5" s="84"/>
      <c r="ES5" s="84"/>
      <c r="ET5" s="84"/>
      <c r="EU5" s="84"/>
      <c r="EV5" s="84"/>
      <c r="EW5" s="84"/>
      <c r="EX5" s="84"/>
      <c r="EY5" s="84"/>
      <c r="EZ5" s="84"/>
      <c r="FA5" s="84"/>
    </row>
    <row r="6" spans="3:157" x14ac:dyDescent="0.3">
      <c r="E6" s="37" t="s">
        <v>10</v>
      </c>
      <c r="F6" s="37" t="s">
        <v>29</v>
      </c>
      <c r="G6" s="37" t="s">
        <v>30</v>
      </c>
      <c r="H6" s="37" t="s">
        <v>31</v>
      </c>
      <c r="I6" s="37" t="s">
        <v>32</v>
      </c>
      <c r="J6" s="37" t="s">
        <v>33</v>
      </c>
      <c r="K6" s="37" t="s">
        <v>34</v>
      </c>
      <c r="L6" s="37" t="s">
        <v>35</v>
      </c>
      <c r="M6" s="37" t="s">
        <v>36</v>
      </c>
      <c r="N6" s="37" t="s">
        <v>37</v>
      </c>
      <c r="O6" s="37" t="s">
        <v>38</v>
      </c>
      <c r="P6" s="37" t="s">
        <v>39</v>
      </c>
      <c r="Q6" s="37" t="s">
        <v>7</v>
      </c>
      <c r="S6" s="37" t="s">
        <v>10</v>
      </c>
      <c r="T6" s="37" t="s">
        <v>29</v>
      </c>
      <c r="U6" s="37" t="s">
        <v>30</v>
      </c>
      <c r="V6" s="37" t="s">
        <v>31</v>
      </c>
      <c r="W6" s="37" t="s">
        <v>32</v>
      </c>
      <c r="X6" s="37" t="s">
        <v>33</v>
      </c>
      <c r="Y6" s="37" t="s">
        <v>34</v>
      </c>
      <c r="Z6" s="37" t="s">
        <v>35</v>
      </c>
      <c r="AA6" s="37" t="s">
        <v>36</v>
      </c>
      <c r="AB6" s="37" t="s">
        <v>37</v>
      </c>
      <c r="AC6" s="37" t="s">
        <v>38</v>
      </c>
      <c r="AD6" s="37" t="s">
        <v>39</v>
      </c>
      <c r="AE6" s="37" t="s">
        <v>7</v>
      </c>
      <c r="AG6" s="37" t="s">
        <v>10</v>
      </c>
      <c r="AH6" s="37" t="s">
        <v>29</v>
      </c>
      <c r="AI6" s="37" t="s">
        <v>30</v>
      </c>
      <c r="AJ6" s="37" t="s">
        <v>31</v>
      </c>
      <c r="AK6" s="37" t="s">
        <v>32</v>
      </c>
      <c r="AL6" s="37" t="s">
        <v>33</v>
      </c>
      <c r="AM6" s="37" t="s">
        <v>34</v>
      </c>
      <c r="AN6" s="37" t="s">
        <v>35</v>
      </c>
      <c r="AO6" s="37" t="s">
        <v>36</v>
      </c>
      <c r="AP6" s="37" t="s">
        <v>37</v>
      </c>
      <c r="AQ6" s="37" t="s">
        <v>38</v>
      </c>
      <c r="AR6" s="37" t="s">
        <v>39</v>
      </c>
      <c r="AS6" s="37" t="s">
        <v>7</v>
      </c>
      <c r="AU6" s="37" t="s">
        <v>10</v>
      </c>
      <c r="AV6" s="37" t="s">
        <v>29</v>
      </c>
      <c r="AW6" s="37" t="s">
        <v>30</v>
      </c>
      <c r="AX6" s="37" t="s">
        <v>31</v>
      </c>
      <c r="AY6" s="37" t="s">
        <v>32</v>
      </c>
      <c r="AZ6" s="37" t="s">
        <v>33</v>
      </c>
      <c r="BA6" s="37" t="s">
        <v>34</v>
      </c>
      <c r="BB6" s="37" t="s">
        <v>35</v>
      </c>
      <c r="BC6" s="37" t="s">
        <v>36</v>
      </c>
      <c r="BD6" s="37" t="s">
        <v>37</v>
      </c>
      <c r="BE6" s="37" t="s">
        <v>38</v>
      </c>
      <c r="BF6" s="37" t="s">
        <v>39</v>
      </c>
      <c r="BG6" s="37" t="s">
        <v>7</v>
      </c>
      <c r="BI6" s="37" t="s">
        <v>10</v>
      </c>
      <c r="BJ6" s="37" t="s">
        <v>29</v>
      </c>
      <c r="BK6" s="37" t="s">
        <v>30</v>
      </c>
      <c r="BL6" s="37" t="s">
        <v>31</v>
      </c>
      <c r="BM6" s="37" t="s">
        <v>32</v>
      </c>
      <c r="BN6" s="37" t="s">
        <v>33</v>
      </c>
      <c r="BO6" s="37" t="s">
        <v>34</v>
      </c>
      <c r="BP6" s="37" t="s">
        <v>35</v>
      </c>
      <c r="BQ6" s="37" t="s">
        <v>36</v>
      </c>
      <c r="BR6" s="37" t="s">
        <v>37</v>
      </c>
      <c r="BS6" s="37" t="s">
        <v>38</v>
      </c>
      <c r="BT6" s="37" t="s">
        <v>39</v>
      </c>
      <c r="BU6" s="37" t="s">
        <v>7</v>
      </c>
      <c r="BW6" s="37" t="s">
        <v>10</v>
      </c>
      <c r="BX6" s="37" t="s">
        <v>29</v>
      </c>
      <c r="BY6" s="37" t="s">
        <v>30</v>
      </c>
      <c r="BZ6" s="37" t="s">
        <v>31</v>
      </c>
      <c r="CA6" s="37" t="s">
        <v>32</v>
      </c>
      <c r="CB6" s="37" t="s">
        <v>33</v>
      </c>
      <c r="CC6" s="37" t="s">
        <v>34</v>
      </c>
      <c r="CD6" s="37" t="s">
        <v>35</v>
      </c>
      <c r="CE6" s="37" t="s">
        <v>36</v>
      </c>
      <c r="CF6" s="37" t="s">
        <v>37</v>
      </c>
      <c r="CG6" s="37" t="s">
        <v>38</v>
      </c>
      <c r="CH6" s="37" t="s">
        <v>39</v>
      </c>
      <c r="CI6" s="37" t="s">
        <v>7</v>
      </c>
      <c r="CK6" s="37" t="s">
        <v>10</v>
      </c>
      <c r="CL6" s="37" t="s">
        <v>29</v>
      </c>
      <c r="CM6" s="37" t="s">
        <v>30</v>
      </c>
      <c r="CN6" s="37" t="s">
        <v>31</v>
      </c>
      <c r="CO6" s="37" t="s">
        <v>32</v>
      </c>
      <c r="CP6" s="37" t="s">
        <v>33</v>
      </c>
      <c r="CQ6" s="37" t="s">
        <v>34</v>
      </c>
      <c r="CR6" s="37" t="s">
        <v>35</v>
      </c>
      <c r="CS6" s="37" t="s">
        <v>36</v>
      </c>
      <c r="CT6" s="37" t="s">
        <v>37</v>
      </c>
      <c r="CU6" s="37" t="s">
        <v>38</v>
      </c>
      <c r="CV6" s="37" t="s">
        <v>39</v>
      </c>
      <c r="CW6" s="37" t="s">
        <v>7</v>
      </c>
      <c r="CY6" s="37" t="s">
        <v>10</v>
      </c>
      <c r="CZ6" s="37" t="s">
        <v>29</v>
      </c>
      <c r="DA6" s="37" t="s">
        <v>30</v>
      </c>
      <c r="DB6" s="37" t="s">
        <v>31</v>
      </c>
      <c r="DC6" s="37" t="s">
        <v>32</v>
      </c>
      <c r="DD6" s="37" t="s">
        <v>33</v>
      </c>
      <c r="DE6" s="37" t="s">
        <v>34</v>
      </c>
      <c r="DF6" s="37" t="s">
        <v>35</v>
      </c>
      <c r="DG6" s="37" t="s">
        <v>36</v>
      </c>
      <c r="DH6" s="37" t="s">
        <v>37</v>
      </c>
      <c r="DI6" s="37" t="s">
        <v>38</v>
      </c>
      <c r="DJ6" s="37" t="s">
        <v>39</v>
      </c>
      <c r="DK6" s="37" t="s">
        <v>7</v>
      </c>
      <c r="DM6" s="37" t="s">
        <v>10</v>
      </c>
      <c r="DN6" s="37" t="s">
        <v>29</v>
      </c>
      <c r="DO6" s="37" t="s">
        <v>30</v>
      </c>
      <c r="DP6" s="37" t="s">
        <v>31</v>
      </c>
      <c r="DQ6" s="37" t="s">
        <v>32</v>
      </c>
      <c r="DR6" s="37" t="s">
        <v>33</v>
      </c>
      <c r="DS6" s="37" t="s">
        <v>34</v>
      </c>
      <c r="DT6" s="37" t="s">
        <v>35</v>
      </c>
      <c r="DU6" s="37" t="s">
        <v>36</v>
      </c>
      <c r="DV6" s="37" t="s">
        <v>37</v>
      </c>
      <c r="DW6" s="37" t="s">
        <v>38</v>
      </c>
      <c r="DX6" s="37" t="s">
        <v>39</v>
      </c>
      <c r="DY6" s="37" t="s">
        <v>7</v>
      </c>
      <c r="EA6" s="37" t="s">
        <v>10</v>
      </c>
      <c r="EB6" s="37" t="s">
        <v>29</v>
      </c>
      <c r="EC6" s="37" t="s">
        <v>30</v>
      </c>
      <c r="ED6" s="37" t="s">
        <v>31</v>
      </c>
      <c r="EE6" s="37" t="s">
        <v>32</v>
      </c>
      <c r="EF6" s="37" t="s">
        <v>33</v>
      </c>
      <c r="EG6" s="37" t="s">
        <v>34</v>
      </c>
      <c r="EH6" s="37" t="s">
        <v>35</v>
      </c>
      <c r="EI6" s="37" t="s">
        <v>36</v>
      </c>
      <c r="EJ6" s="37" t="s">
        <v>37</v>
      </c>
      <c r="EK6" s="37" t="s">
        <v>38</v>
      </c>
      <c r="EL6" s="37" t="s">
        <v>39</v>
      </c>
      <c r="EM6" s="37" t="s">
        <v>7</v>
      </c>
      <c r="EO6" s="37" t="s">
        <v>10</v>
      </c>
      <c r="EP6" s="37" t="s">
        <v>29</v>
      </c>
      <c r="EQ6" s="37" t="s">
        <v>30</v>
      </c>
      <c r="ER6" s="37" t="s">
        <v>31</v>
      </c>
      <c r="ES6" s="37" t="s">
        <v>32</v>
      </c>
      <c r="ET6" s="37" t="s">
        <v>33</v>
      </c>
      <c r="EU6" s="37" t="s">
        <v>34</v>
      </c>
      <c r="EV6" s="37" t="s">
        <v>35</v>
      </c>
      <c r="EW6" s="37" t="s">
        <v>36</v>
      </c>
      <c r="EX6" s="37" t="s">
        <v>37</v>
      </c>
      <c r="EY6" s="37" t="s">
        <v>38</v>
      </c>
      <c r="EZ6" s="37" t="s">
        <v>39</v>
      </c>
      <c r="FA6" s="37" t="s">
        <v>7</v>
      </c>
    </row>
    <row r="7" spans="3:157" x14ac:dyDescent="0.3">
      <c r="C7" t="s">
        <v>28</v>
      </c>
      <c r="E7" s="35">
        <f t="shared" ref="E7:Q7" ca="1" si="0" xml:space="preserve"> E20-E35</f>
        <v>0</v>
      </c>
      <c r="F7" s="35">
        <f t="shared" ca="1" si="0"/>
        <v>0</v>
      </c>
      <c r="G7" s="35">
        <f t="shared" ca="1" si="0"/>
        <v>0</v>
      </c>
      <c r="H7" s="35">
        <f t="shared" ca="1" si="0"/>
        <v>0</v>
      </c>
      <c r="I7" s="35">
        <f t="shared" ca="1" si="0"/>
        <v>0</v>
      </c>
      <c r="J7" s="35">
        <f t="shared" ca="1" si="0"/>
        <v>0</v>
      </c>
      <c r="K7" s="35">
        <f t="shared" ca="1" si="0"/>
        <v>0</v>
      </c>
      <c r="L7" s="35">
        <f t="shared" ca="1" si="0"/>
        <v>0</v>
      </c>
      <c r="M7" s="35">
        <f t="shared" ca="1" si="0"/>
        <v>0</v>
      </c>
      <c r="N7" s="35">
        <f t="shared" ca="1" si="0"/>
        <v>0</v>
      </c>
      <c r="O7" s="35">
        <f t="shared" ca="1" si="0"/>
        <v>0</v>
      </c>
      <c r="P7" s="35">
        <f t="shared" ca="1" si="0"/>
        <v>0</v>
      </c>
      <c r="Q7" s="35">
        <f t="shared" ca="1" si="0"/>
        <v>0</v>
      </c>
      <c r="S7" s="35">
        <f t="shared" ref="S7:AE7" ca="1" si="1" xml:space="preserve"> S20-S35</f>
        <v>0</v>
      </c>
      <c r="T7" s="35">
        <f t="shared" ca="1" si="1"/>
        <v>0</v>
      </c>
      <c r="U7" s="35">
        <f t="shared" ca="1" si="1"/>
        <v>0</v>
      </c>
      <c r="V7" s="35">
        <f t="shared" ca="1" si="1"/>
        <v>0</v>
      </c>
      <c r="W7" s="35">
        <f t="shared" ca="1" si="1"/>
        <v>0</v>
      </c>
      <c r="X7" s="35">
        <f t="shared" ca="1" si="1"/>
        <v>0</v>
      </c>
      <c r="Y7" s="35">
        <f t="shared" ca="1" si="1"/>
        <v>0</v>
      </c>
      <c r="Z7" s="35">
        <f t="shared" ca="1" si="1"/>
        <v>0</v>
      </c>
      <c r="AA7" s="35">
        <f t="shared" ca="1" si="1"/>
        <v>0</v>
      </c>
      <c r="AB7" s="35">
        <f t="shared" ca="1" si="1"/>
        <v>0</v>
      </c>
      <c r="AC7" s="35">
        <f t="shared" ca="1" si="1"/>
        <v>0</v>
      </c>
      <c r="AD7" s="35">
        <f t="shared" ca="1" si="1"/>
        <v>0</v>
      </c>
      <c r="AE7" s="35">
        <f t="shared" ca="1" si="1"/>
        <v>0</v>
      </c>
      <c r="AG7" s="35">
        <f t="shared" ref="AG7:AS7" ca="1" si="2" xml:space="preserve"> AG20-AG35</f>
        <v>0</v>
      </c>
      <c r="AH7" s="35">
        <f t="shared" ca="1" si="2"/>
        <v>0</v>
      </c>
      <c r="AI7" s="35">
        <f t="shared" ca="1" si="2"/>
        <v>0</v>
      </c>
      <c r="AJ7" s="35">
        <f t="shared" ca="1" si="2"/>
        <v>0</v>
      </c>
      <c r="AK7" s="35">
        <f t="shared" ca="1" si="2"/>
        <v>0</v>
      </c>
      <c r="AL7" s="35">
        <f t="shared" ca="1" si="2"/>
        <v>0</v>
      </c>
      <c r="AM7" s="35">
        <f t="shared" ca="1" si="2"/>
        <v>0</v>
      </c>
      <c r="AN7" s="35">
        <f t="shared" ca="1" si="2"/>
        <v>0</v>
      </c>
      <c r="AO7" s="35">
        <f t="shared" ca="1" si="2"/>
        <v>0</v>
      </c>
      <c r="AP7" s="35">
        <f t="shared" ca="1" si="2"/>
        <v>0</v>
      </c>
      <c r="AQ7" s="35">
        <f t="shared" ca="1" si="2"/>
        <v>0</v>
      </c>
      <c r="AR7" s="35">
        <f t="shared" ca="1" si="2"/>
        <v>0</v>
      </c>
      <c r="AS7" s="35">
        <f t="shared" ca="1" si="2"/>
        <v>0</v>
      </c>
      <c r="AU7" s="35">
        <f t="shared" ref="AU7:BG7" ca="1" si="3" xml:space="preserve"> AU20-AU35</f>
        <v>0</v>
      </c>
      <c r="AV7" s="35">
        <f t="shared" ca="1" si="3"/>
        <v>0</v>
      </c>
      <c r="AW7" s="35">
        <f t="shared" ca="1" si="3"/>
        <v>0</v>
      </c>
      <c r="AX7" s="35">
        <f t="shared" ca="1" si="3"/>
        <v>0</v>
      </c>
      <c r="AY7" s="35">
        <f t="shared" ca="1" si="3"/>
        <v>0</v>
      </c>
      <c r="AZ7" s="35">
        <f t="shared" ca="1" si="3"/>
        <v>0</v>
      </c>
      <c r="BA7" s="35">
        <f t="shared" ca="1" si="3"/>
        <v>0</v>
      </c>
      <c r="BB7" s="35">
        <f t="shared" ca="1" si="3"/>
        <v>0</v>
      </c>
      <c r="BC7" s="35">
        <f t="shared" ca="1" si="3"/>
        <v>0</v>
      </c>
      <c r="BD7" s="35">
        <f t="shared" ca="1" si="3"/>
        <v>0</v>
      </c>
      <c r="BE7" s="35">
        <f t="shared" ca="1" si="3"/>
        <v>0</v>
      </c>
      <c r="BF7" s="35">
        <f t="shared" ca="1" si="3"/>
        <v>0</v>
      </c>
      <c r="BG7" s="35">
        <f t="shared" ca="1" si="3"/>
        <v>0</v>
      </c>
      <c r="BI7" s="35">
        <f t="shared" ref="BI7:BU7" ca="1" si="4" xml:space="preserve"> BI20-BI35</f>
        <v>0</v>
      </c>
      <c r="BJ7" s="35">
        <f t="shared" ca="1" si="4"/>
        <v>0</v>
      </c>
      <c r="BK7" s="35">
        <f t="shared" ca="1" si="4"/>
        <v>0</v>
      </c>
      <c r="BL7" s="35">
        <f t="shared" ca="1" si="4"/>
        <v>0</v>
      </c>
      <c r="BM7" s="35">
        <f t="shared" ca="1" si="4"/>
        <v>0</v>
      </c>
      <c r="BN7" s="35">
        <f t="shared" ca="1" si="4"/>
        <v>0</v>
      </c>
      <c r="BO7" s="35">
        <f t="shared" ca="1" si="4"/>
        <v>0</v>
      </c>
      <c r="BP7" s="35">
        <f t="shared" ca="1" si="4"/>
        <v>0</v>
      </c>
      <c r="BQ7" s="35">
        <f t="shared" ca="1" si="4"/>
        <v>0</v>
      </c>
      <c r="BR7" s="35">
        <f t="shared" ca="1" si="4"/>
        <v>0</v>
      </c>
      <c r="BS7" s="35">
        <f t="shared" ca="1" si="4"/>
        <v>0</v>
      </c>
      <c r="BT7" s="35">
        <f t="shared" ca="1" si="4"/>
        <v>0</v>
      </c>
      <c r="BU7" s="35">
        <f t="shared" ca="1" si="4"/>
        <v>0</v>
      </c>
      <c r="BW7" s="35">
        <f t="shared" ref="BW7:CI7" ca="1" si="5" xml:space="preserve"> BW20-BW35</f>
        <v>0</v>
      </c>
      <c r="BX7" s="35">
        <f t="shared" ca="1" si="5"/>
        <v>0</v>
      </c>
      <c r="BY7" s="35">
        <f t="shared" ca="1" si="5"/>
        <v>0</v>
      </c>
      <c r="BZ7" s="35">
        <f t="shared" ca="1" si="5"/>
        <v>0</v>
      </c>
      <c r="CA7" s="35">
        <f t="shared" ca="1" si="5"/>
        <v>0</v>
      </c>
      <c r="CB7" s="35">
        <f t="shared" ca="1" si="5"/>
        <v>0</v>
      </c>
      <c r="CC7" s="35">
        <f t="shared" ca="1" si="5"/>
        <v>0</v>
      </c>
      <c r="CD7" s="35">
        <f t="shared" ca="1" si="5"/>
        <v>0</v>
      </c>
      <c r="CE7" s="35">
        <f t="shared" ca="1" si="5"/>
        <v>0</v>
      </c>
      <c r="CF7" s="35">
        <f t="shared" ca="1" si="5"/>
        <v>0</v>
      </c>
      <c r="CG7" s="35">
        <f t="shared" ca="1" si="5"/>
        <v>0</v>
      </c>
      <c r="CH7" s="35">
        <f t="shared" ca="1" si="5"/>
        <v>0</v>
      </c>
      <c r="CI7" s="35">
        <f t="shared" ca="1" si="5"/>
        <v>0</v>
      </c>
      <c r="CK7" s="35">
        <f t="shared" ref="CK7:CW7" ca="1" si="6" xml:space="preserve"> CK20-CK35</f>
        <v>0</v>
      </c>
      <c r="CL7" s="35">
        <f t="shared" ca="1" si="6"/>
        <v>0</v>
      </c>
      <c r="CM7" s="35">
        <f t="shared" ca="1" si="6"/>
        <v>0</v>
      </c>
      <c r="CN7" s="35">
        <f t="shared" ca="1" si="6"/>
        <v>0</v>
      </c>
      <c r="CO7" s="35">
        <f t="shared" ca="1" si="6"/>
        <v>0</v>
      </c>
      <c r="CP7" s="35">
        <f t="shared" ca="1" si="6"/>
        <v>0</v>
      </c>
      <c r="CQ7" s="35">
        <f t="shared" ca="1" si="6"/>
        <v>0</v>
      </c>
      <c r="CR7" s="35">
        <f t="shared" ca="1" si="6"/>
        <v>0</v>
      </c>
      <c r="CS7" s="35">
        <f t="shared" ca="1" si="6"/>
        <v>0</v>
      </c>
      <c r="CT7" s="35">
        <f t="shared" ca="1" si="6"/>
        <v>0</v>
      </c>
      <c r="CU7" s="35">
        <f t="shared" ca="1" si="6"/>
        <v>0</v>
      </c>
      <c r="CV7" s="35">
        <f t="shared" ca="1" si="6"/>
        <v>0</v>
      </c>
      <c r="CW7" s="35">
        <f t="shared" ca="1" si="6"/>
        <v>0</v>
      </c>
      <c r="CY7" s="35">
        <f t="shared" ref="CY7:DK7" ca="1" si="7" xml:space="preserve"> CY20-CY35</f>
        <v>0</v>
      </c>
      <c r="CZ7" s="35">
        <f t="shared" ca="1" si="7"/>
        <v>0</v>
      </c>
      <c r="DA7" s="35">
        <f t="shared" ca="1" si="7"/>
        <v>0</v>
      </c>
      <c r="DB7" s="35">
        <f t="shared" ca="1" si="7"/>
        <v>0</v>
      </c>
      <c r="DC7" s="35">
        <f t="shared" ca="1" si="7"/>
        <v>0</v>
      </c>
      <c r="DD7" s="35">
        <f t="shared" ca="1" si="7"/>
        <v>0</v>
      </c>
      <c r="DE7" s="35">
        <f t="shared" ca="1" si="7"/>
        <v>0</v>
      </c>
      <c r="DF7" s="35">
        <f t="shared" ca="1" si="7"/>
        <v>0</v>
      </c>
      <c r="DG7" s="35">
        <f t="shared" ca="1" si="7"/>
        <v>0</v>
      </c>
      <c r="DH7" s="35">
        <f t="shared" ca="1" si="7"/>
        <v>0</v>
      </c>
      <c r="DI7" s="35">
        <f t="shared" ca="1" si="7"/>
        <v>0</v>
      </c>
      <c r="DJ7" s="35">
        <f t="shared" ca="1" si="7"/>
        <v>0</v>
      </c>
      <c r="DK7" s="35">
        <f t="shared" ca="1" si="7"/>
        <v>0</v>
      </c>
      <c r="DM7" s="35">
        <f t="shared" ref="DM7:DY7" ca="1" si="8" xml:space="preserve"> DM20-DM35</f>
        <v>0</v>
      </c>
      <c r="DN7" s="35">
        <f t="shared" ca="1" si="8"/>
        <v>0</v>
      </c>
      <c r="DO7" s="35">
        <f t="shared" ca="1" si="8"/>
        <v>0</v>
      </c>
      <c r="DP7" s="35">
        <f t="shared" ca="1" si="8"/>
        <v>0</v>
      </c>
      <c r="DQ7" s="35">
        <f t="shared" ca="1" si="8"/>
        <v>0</v>
      </c>
      <c r="DR7" s="35">
        <f t="shared" ca="1" si="8"/>
        <v>0</v>
      </c>
      <c r="DS7" s="35">
        <f t="shared" ca="1" si="8"/>
        <v>0</v>
      </c>
      <c r="DT7" s="35">
        <f t="shared" ca="1" si="8"/>
        <v>0</v>
      </c>
      <c r="DU7" s="35">
        <f t="shared" ca="1" si="8"/>
        <v>0</v>
      </c>
      <c r="DV7" s="35">
        <f t="shared" ca="1" si="8"/>
        <v>0</v>
      </c>
      <c r="DW7" s="35">
        <f t="shared" ca="1" si="8"/>
        <v>0</v>
      </c>
      <c r="DX7" s="35">
        <f t="shared" ca="1" si="8"/>
        <v>0</v>
      </c>
      <c r="DY7" s="35">
        <f t="shared" ca="1" si="8"/>
        <v>0</v>
      </c>
      <c r="EA7" s="35">
        <f t="shared" ref="EA7:EM7" ca="1" si="9" xml:space="preserve"> EA20-EA35</f>
        <v>0</v>
      </c>
      <c r="EB7" s="35">
        <f t="shared" ca="1" si="9"/>
        <v>0</v>
      </c>
      <c r="EC7" s="35">
        <f t="shared" ca="1" si="9"/>
        <v>0</v>
      </c>
      <c r="ED7" s="35">
        <f t="shared" ca="1" si="9"/>
        <v>0</v>
      </c>
      <c r="EE7" s="35">
        <f t="shared" ca="1" si="9"/>
        <v>0</v>
      </c>
      <c r="EF7" s="35">
        <f t="shared" ca="1" si="9"/>
        <v>0</v>
      </c>
      <c r="EG7" s="35">
        <f t="shared" ca="1" si="9"/>
        <v>0</v>
      </c>
      <c r="EH7" s="35">
        <f t="shared" ca="1" si="9"/>
        <v>0</v>
      </c>
      <c r="EI7" s="35">
        <f t="shared" ca="1" si="9"/>
        <v>0</v>
      </c>
      <c r="EJ7" s="35">
        <f t="shared" ca="1" si="9"/>
        <v>0</v>
      </c>
      <c r="EK7" s="35">
        <f t="shared" ca="1" si="9"/>
        <v>0</v>
      </c>
      <c r="EL7" s="35">
        <f t="shared" ca="1" si="9"/>
        <v>0</v>
      </c>
      <c r="EM7" s="35">
        <f t="shared" ca="1" si="9"/>
        <v>0</v>
      </c>
      <c r="EO7" s="35">
        <f t="shared" ref="EO7:FA7" ca="1" si="10" xml:space="preserve"> EO20-EO35</f>
        <v>0</v>
      </c>
      <c r="EP7" s="35">
        <f t="shared" ca="1" si="10"/>
        <v>0</v>
      </c>
      <c r="EQ7" s="35">
        <f t="shared" ca="1" si="10"/>
        <v>0</v>
      </c>
      <c r="ER7" s="35">
        <f t="shared" ca="1" si="10"/>
        <v>0</v>
      </c>
      <c r="ES7" s="35">
        <f t="shared" ca="1" si="10"/>
        <v>0</v>
      </c>
      <c r="ET7" s="35">
        <f t="shared" ca="1" si="10"/>
        <v>0</v>
      </c>
      <c r="EU7" s="35">
        <f t="shared" ca="1" si="10"/>
        <v>0</v>
      </c>
      <c r="EV7" s="35">
        <f t="shared" ca="1" si="10"/>
        <v>0</v>
      </c>
      <c r="EW7" s="35">
        <f t="shared" ca="1" si="10"/>
        <v>0</v>
      </c>
      <c r="EX7" s="35">
        <f t="shared" ca="1" si="10"/>
        <v>0</v>
      </c>
      <c r="EY7" s="35">
        <f t="shared" ca="1" si="10"/>
        <v>0</v>
      </c>
      <c r="EZ7" s="35">
        <f t="shared" ca="1" si="10"/>
        <v>0</v>
      </c>
      <c r="FA7" s="35">
        <f t="shared" ca="1" si="10"/>
        <v>0</v>
      </c>
    </row>
    <row r="9" spans="3:157" x14ac:dyDescent="0.3">
      <c r="C9" s="19" t="s">
        <v>5</v>
      </c>
      <c r="E9" s="21">
        <f>DATE(E$5,1,1)</f>
        <v>44927</v>
      </c>
      <c r="F9" s="21">
        <f>DATE(E$5,2,1)</f>
        <v>44958</v>
      </c>
      <c r="G9" s="21">
        <f>DATE(E$5,3,1)</f>
        <v>44986</v>
      </c>
      <c r="H9" s="21">
        <f>DATE(E$5,4,1)</f>
        <v>45017</v>
      </c>
      <c r="I9" s="21">
        <f>DATE(E$5,5,1)</f>
        <v>45047</v>
      </c>
      <c r="J9" s="21">
        <f>DATE(E$5,6,1)</f>
        <v>45078</v>
      </c>
      <c r="K9" s="21">
        <f>DATE(E$5,7,1)</f>
        <v>45108</v>
      </c>
      <c r="L9" s="21">
        <f>DATE(E$5,8,1)</f>
        <v>45139</v>
      </c>
      <c r="M9" s="21">
        <f>DATE(E$5,9,1)</f>
        <v>45170</v>
      </c>
      <c r="N9" s="21">
        <f>DATE(E$5,10,1)</f>
        <v>45200</v>
      </c>
      <c r="O9" s="21">
        <f>DATE(E$5,11,1)</f>
        <v>45231</v>
      </c>
      <c r="P9" s="21">
        <f>DATE(E$5,12,1)</f>
        <v>45261</v>
      </c>
      <c r="Q9" s="20">
        <f>$E5</f>
        <v>2023</v>
      </c>
      <c r="S9" s="21">
        <f>DATE(S$5,1,1)</f>
        <v>45292</v>
      </c>
      <c r="T9" s="21">
        <f>DATE(S$5,2,1)</f>
        <v>45323</v>
      </c>
      <c r="U9" s="21">
        <f>DATE(S$5,3,1)</f>
        <v>45352</v>
      </c>
      <c r="V9" s="21">
        <f>DATE(S$5,4,1)</f>
        <v>45383</v>
      </c>
      <c r="W9" s="21">
        <f>DATE(S$5,5,1)</f>
        <v>45413</v>
      </c>
      <c r="X9" s="21">
        <f>DATE(S$5,6,1)</f>
        <v>45444</v>
      </c>
      <c r="Y9" s="21">
        <f>DATE(S$5,7,1)</f>
        <v>45474</v>
      </c>
      <c r="Z9" s="21">
        <f>DATE(S$5,8,1)</f>
        <v>45505</v>
      </c>
      <c r="AA9" s="21">
        <f>DATE(S$5,9,1)</f>
        <v>45536</v>
      </c>
      <c r="AB9" s="21">
        <f>DATE(S$5,10,1)</f>
        <v>45566</v>
      </c>
      <c r="AC9" s="21">
        <f>DATE(S$5,11,1)</f>
        <v>45597</v>
      </c>
      <c r="AD9" s="21">
        <f>DATE(S$5,12,1)</f>
        <v>45627</v>
      </c>
      <c r="AE9" s="20">
        <v>2024</v>
      </c>
      <c r="AG9" s="21">
        <f>DATE(AG$5,1,1)</f>
        <v>45658</v>
      </c>
      <c r="AH9" s="21">
        <f>DATE(AG$5,2,1)</f>
        <v>45689</v>
      </c>
      <c r="AI9" s="21">
        <f>DATE(AG$5,3,1)</f>
        <v>45717</v>
      </c>
      <c r="AJ9" s="21">
        <f>DATE(AG$5,4,1)</f>
        <v>45748</v>
      </c>
      <c r="AK9" s="21">
        <f>DATE(AG$5,5,1)</f>
        <v>45778</v>
      </c>
      <c r="AL9" s="21">
        <f>DATE(AG$5,6,1)</f>
        <v>45809</v>
      </c>
      <c r="AM9" s="21">
        <f>DATE(AG$5,7,1)</f>
        <v>45839</v>
      </c>
      <c r="AN9" s="21">
        <f>DATE(AG$5,8,1)</f>
        <v>45870</v>
      </c>
      <c r="AO9" s="21">
        <f>DATE(AG$5,9,1)</f>
        <v>45901</v>
      </c>
      <c r="AP9" s="21">
        <f>DATE(AG$5,10,1)</f>
        <v>45931</v>
      </c>
      <c r="AQ9" s="21">
        <f>DATE(AG$5,11,1)</f>
        <v>45962</v>
      </c>
      <c r="AR9" s="21">
        <f>DATE(AG$5,12,1)</f>
        <v>45992</v>
      </c>
      <c r="AS9" s="20">
        <v>2025</v>
      </c>
      <c r="AU9" s="21">
        <f>DATE(AU$5,1,1)</f>
        <v>46023</v>
      </c>
      <c r="AV9" s="21">
        <f>DATE(AU$5,2,1)</f>
        <v>46054</v>
      </c>
      <c r="AW9" s="21">
        <f>DATE(AU$5,3,1)</f>
        <v>46082</v>
      </c>
      <c r="AX9" s="21">
        <f>DATE(AU$5,4,1)</f>
        <v>46113</v>
      </c>
      <c r="AY9" s="21">
        <f>DATE(AU$5,5,1)</f>
        <v>46143</v>
      </c>
      <c r="AZ9" s="21">
        <f>DATE(AU$5,6,1)</f>
        <v>46174</v>
      </c>
      <c r="BA9" s="21">
        <f>DATE(AU$5,7,1)</f>
        <v>46204</v>
      </c>
      <c r="BB9" s="21">
        <f>DATE(AU$5,8,1)</f>
        <v>46235</v>
      </c>
      <c r="BC9" s="21">
        <f>DATE(AU$5,9,1)</f>
        <v>46266</v>
      </c>
      <c r="BD9" s="21">
        <f>DATE(AU$5,10,1)</f>
        <v>46296</v>
      </c>
      <c r="BE9" s="21">
        <f>DATE(AU$5,11,1)</f>
        <v>46327</v>
      </c>
      <c r="BF9" s="21">
        <f>DATE(AU$5,12,1)</f>
        <v>46357</v>
      </c>
      <c r="BG9" s="20">
        <v>2026</v>
      </c>
      <c r="BI9" s="21">
        <f>DATE(BI$5,1,1)</f>
        <v>46388</v>
      </c>
      <c r="BJ9" s="21">
        <f>DATE(BI$5,2,1)</f>
        <v>46419</v>
      </c>
      <c r="BK9" s="21">
        <f>DATE(BI$5,3,1)</f>
        <v>46447</v>
      </c>
      <c r="BL9" s="21">
        <f>DATE(BI$5,4,1)</f>
        <v>46478</v>
      </c>
      <c r="BM9" s="21">
        <f>DATE(BI$5,5,1)</f>
        <v>46508</v>
      </c>
      <c r="BN9" s="21">
        <f>DATE(BI$5,6,1)</f>
        <v>46539</v>
      </c>
      <c r="BO9" s="21">
        <f>DATE(BI$5,7,1)</f>
        <v>46569</v>
      </c>
      <c r="BP9" s="21">
        <f>DATE(BI$5,8,1)</f>
        <v>46600</v>
      </c>
      <c r="BQ9" s="21">
        <f>DATE(BI$5,9,1)</f>
        <v>46631</v>
      </c>
      <c r="BR9" s="21">
        <f>DATE(BI$5,10,1)</f>
        <v>46661</v>
      </c>
      <c r="BS9" s="21">
        <f>DATE(BI$5,11,1)</f>
        <v>46692</v>
      </c>
      <c r="BT9" s="21">
        <f>DATE(BI$5,12,1)</f>
        <v>46722</v>
      </c>
      <c r="BU9" s="20">
        <v>2027</v>
      </c>
      <c r="BW9" s="21">
        <f>DATE(BW$5,1,1)</f>
        <v>46753</v>
      </c>
      <c r="BX9" s="21">
        <f>DATE(BW$5,2,1)</f>
        <v>46784</v>
      </c>
      <c r="BY9" s="21">
        <f>DATE(BW$5,3,1)</f>
        <v>46813</v>
      </c>
      <c r="BZ9" s="21">
        <f>DATE(BW$5,4,1)</f>
        <v>46844</v>
      </c>
      <c r="CA9" s="21">
        <f>DATE(BW$5,5,1)</f>
        <v>46874</v>
      </c>
      <c r="CB9" s="21">
        <f>DATE(BW$5,6,1)</f>
        <v>46905</v>
      </c>
      <c r="CC9" s="21">
        <f>DATE(BW$5,7,1)</f>
        <v>46935</v>
      </c>
      <c r="CD9" s="21">
        <f>DATE(BW$5,8,1)</f>
        <v>46966</v>
      </c>
      <c r="CE9" s="21">
        <f>DATE(BW$5,9,1)</f>
        <v>46997</v>
      </c>
      <c r="CF9" s="21">
        <f>DATE(BW$5,10,1)</f>
        <v>47027</v>
      </c>
      <c r="CG9" s="21">
        <f>DATE(BW$5,11,1)</f>
        <v>47058</v>
      </c>
      <c r="CH9" s="21">
        <f>DATE(BW$5,12,1)</f>
        <v>47088</v>
      </c>
      <c r="CI9" s="20">
        <v>2028</v>
      </c>
      <c r="CK9" s="21">
        <f>DATE(CK$5,1,1)</f>
        <v>47119</v>
      </c>
      <c r="CL9" s="21">
        <f>DATE(CK$5,2,1)</f>
        <v>47150</v>
      </c>
      <c r="CM9" s="21">
        <f>DATE(CK$5,3,1)</f>
        <v>47178</v>
      </c>
      <c r="CN9" s="21">
        <f>DATE(CK$5,4,1)</f>
        <v>47209</v>
      </c>
      <c r="CO9" s="21">
        <f>DATE(CK$5,5,1)</f>
        <v>47239</v>
      </c>
      <c r="CP9" s="21">
        <f>DATE(CK$5,6,1)</f>
        <v>47270</v>
      </c>
      <c r="CQ9" s="21">
        <f>DATE(CK$5,7,1)</f>
        <v>47300</v>
      </c>
      <c r="CR9" s="21">
        <f>DATE(CK$5,8,1)</f>
        <v>47331</v>
      </c>
      <c r="CS9" s="21">
        <f>DATE(CK$5,9,1)</f>
        <v>47362</v>
      </c>
      <c r="CT9" s="21">
        <f>DATE(CK$5,10,1)</f>
        <v>47392</v>
      </c>
      <c r="CU9" s="21">
        <f>DATE(CK$5,11,1)</f>
        <v>47423</v>
      </c>
      <c r="CV9" s="21">
        <f>DATE(CK$5,12,1)</f>
        <v>47453</v>
      </c>
      <c r="CW9" s="20">
        <v>2029</v>
      </c>
      <c r="CY9" s="21">
        <f>DATE(CY$5,1,1)</f>
        <v>47484</v>
      </c>
      <c r="CZ9" s="21">
        <f>DATE(CY$5,2,1)</f>
        <v>47515</v>
      </c>
      <c r="DA9" s="21">
        <f>DATE(CY$5,3,1)</f>
        <v>47543</v>
      </c>
      <c r="DB9" s="21">
        <f>DATE(CY$5,4,1)</f>
        <v>47574</v>
      </c>
      <c r="DC9" s="21">
        <f>DATE(CY$5,5,1)</f>
        <v>47604</v>
      </c>
      <c r="DD9" s="21">
        <f>DATE(CY$5,6,1)</f>
        <v>47635</v>
      </c>
      <c r="DE9" s="21">
        <f>DATE(CY$5,7,1)</f>
        <v>47665</v>
      </c>
      <c r="DF9" s="21">
        <f>DATE(CY$5,8,1)</f>
        <v>47696</v>
      </c>
      <c r="DG9" s="21">
        <f>DATE(CY$5,9,1)</f>
        <v>47727</v>
      </c>
      <c r="DH9" s="21">
        <f>DATE(CY$5,10,1)</f>
        <v>47757</v>
      </c>
      <c r="DI9" s="21">
        <f>DATE(CY$5,11,1)</f>
        <v>47788</v>
      </c>
      <c r="DJ9" s="21">
        <f>DATE(CY$5,12,1)</f>
        <v>47818</v>
      </c>
      <c r="DK9" s="20">
        <v>2030</v>
      </c>
      <c r="DM9" s="21">
        <f>DATE(DM$5,1,1)</f>
        <v>47849</v>
      </c>
      <c r="DN9" s="21">
        <f>DATE(DM$5,2,1)</f>
        <v>47880</v>
      </c>
      <c r="DO9" s="21">
        <f>DATE(DM$5,3,1)</f>
        <v>47908</v>
      </c>
      <c r="DP9" s="21">
        <f>DATE(DM$5,4,1)</f>
        <v>47939</v>
      </c>
      <c r="DQ9" s="21">
        <f>DATE(DM$5,5,1)</f>
        <v>47969</v>
      </c>
      <c r="DR9" s="21">
        <f>DATE(DM$5,6,1)</f>
        <v>48000</v>
      </c>
      <c r="DS9" s="21">
        <f>DATE(DM$5,7,1)</f>
        <v>48030</v>
      </c>
      <c r="DT9" s="21">
        <f>DATE(DM$5,8,1)</f>
        <v>48061</v>
      </c>
      <c r="DU9" s="21">
        <f>DATE(DM$5,9,1)</f>
        <v>48092</v>
      </c>
      <c r="DV9" s="21">
        <f>DATE(DM$5,10,1)</f>
        <v>48122</v>
      </c>
      <c r="DW9" s="21">
        <f>DATE(DM$5,11,1)</f>
        <v>48153</v>
      </c>
      <c r="DX9" s="21">
        <f>DATE(DM$5,12,1)</f>
        <v>48183</v>
      </c>
      <c r="DY9" s="20">
        <v>2031</v>
      </c>
      <c r="EA9" s="21">
        <f>DATE(EA$5,1,1)</f>
        <v>48214</v>
      </c>
      <c r="EB9" s="21">
        <f>DATE(EA$5,2,1)</f>
        <v>48245</v>
      </c>
      <c r="EC9" s="21">
        <f>DATE(EA$5,3,1)</f>
        <v>48274</v>
      </c>
      <c r="ED9" s="21">
        <f>DATE(EA$5,4,1)</f>
        <v>48305</v>
      </c>
      <c r="EE9" s="21">
        <f>DATE(EA$5,5,1)</f>
        <v>48335</v>
      </c>
      <c r="EF9" s="21">
        <f>DATE(EA$5,6,1)</f>
        <v>48366</v>
      </c>
      <c r="EG9" s="21">
        <f>DATE(EA$5,7,1)</f>
        <v>48396</v>
      </c>
      <c r="EH9" s="21">
        <f>DATE(EA$5,8,1)</f>
        <v>48427</v>
      </c>
      <c r="EI9" s="21">
        <f>DATE(EA$5,9,1)</f>
        <v>48458</v>
      </c>
      <c r="EJ9" s="21">
        <f>DATE(EA$5,10,1)</f>
        <v>48488</v>
      </c>
      <c r="EK9" s="21">
        <f>DATE(EA$5,11,1)</f>
        <v>48519</v>
      </c>
      <c r="EL9" s="21">
        <f>DATE(EA$5,12,1)</f>
        <v>48549</v>
      </c>
      <c r="EM9" s="20">
        <v>2032</v>
      </c>
      <c r="EO9" s="21">
        <f>DATE(EO$5,1,1)</f>
        <v>48580</v>
      </c>
      <c r="EP9" s="21">
        <f>DATE(EO$5,2,1)</f>
        <v>48611</v>
      </c>
      <c r="EQ9" s="21">
        <f>DATE(EO$5,3,1)</f>
        <v>48639</v>
      </c>
      <c r="ER9" s="21">
        <f>DATE(EO$5,4,1)</f>
        <v>48670</v>
      </c>
      <c r="ES9" s="21">
        <f>DATE(EO$5,5,1)</f>
        <v>48700</v>
      </c>
      <c r="ET9" s="21">
        <f>DATE(EO$5,6,1)</f>
        <v>48731</v>
      </c>
      <c r="EU9" s="21">
        <f>DATE(EO$5,7,1)</f>
        <v>48761</v>
      </c>
      <c r="EV9" s="21">
        <f>DATE(EO$5,8,1)</f>
        <v>48792</v>
      </c>
      <c r="EW9" s="21">
        <f>DATE(EO$5,9,1)</f>
        <v>48823</v>
      </c>
      <c r="EX9" s="21">
        <f>DATE(EO$5,10,1)</f>
        <v>48853</v>
      </c>
      <c r="EY9" s="21">
        <f>DATE(EO$5,11,1)</f>
        <v>48884</v>
      </c>
      <c r="EZ9" s="21">
        <f>DATE(EO$5,12,1)</f>
        <v>48914</v>
      </c>
      <c r="FA9" s="20">
        <v>2033</v>
      </c>
    </row>
    <row r="10" spans="3:157" x14ac:dyDescent="0.3">
      <c r="C10" s="16" t="s">
        <v>8</v>
      </c>
      <c r="D10" s="23"/>
      <c r="E10" s="24">
        <f>SUMIFS(Libro_Diario[[Cantidad ]],Libro_Diario[[Tipo ]],Ingresos[[#Headers],[Ingresos]],Libro_Diario[[Categoria ]],Ingresos[[#This Row],[Ingresos]],Libro_Diario[Fecha],"&gt;="&amp;'Libro Mayor'!E$9,Libro_Diario[Fecha],"&lt;="&amp;EOMONTH('Libro Mayor'!E$9,0))</f>
        <v>0</v>
      </c>
      <c r="F10" s="24">
        <f>SUMIFS(Libro_Diario[[Cantidad ]],Libro_Diario[[Tipo ]],Ingresos[[#Headers],[Ingresos]],Libro_Diario[[Categoria ]],Ingresos[[#This Row],[Ingresos]],Libro_Diario[Fecha],"&gt;="&amp;'Libro Mayor'!F$9,Libro_Diario[Fecha],"&lt;="&amp;EOMONTH('Libro Mayor'!F$9,0))</f>
        <v>0</v>
      </c>
      <c r="G10" s="24">
        <f>SUMIFS(Libro_Diario[[Cantidad ]],Libro_Diario[[Tipo ]],Ingresos[[#Headers],[Ingresos]],Libro_Diario[[Categoria ]],Ingresos[[#This Row],[Ingresos]],Libro_Diario[Fecha],"&gt;="&amp;'Libro Mayor'!G$9,Libro_Diario[Fecha],"&lt;="&amp;EOMONTH('Libro Mayor'!G$9,0))</f>
        <v>0</v>
      </c>
      <c r="H10" s="24">
        <f>SUMIFS(Libro_Diario[[Cantidad ]],Libro_Diario[[Tipo ]],Ingresos[[#Headers],[Ingresos]],Libro_Diario[[Categoria ]],Ingresos[[#This Row],[Ingresos]],Libro_Diario[Fecha],"&gt;="&amp;'Libro Mayor'!H$9,Libro_Diario[Fecha],"&lt;="&amp;EOMONTH('Libro Mayor'!H$9,0))</f>
        <v>0</v>
      </c>
      <c r="I10" s="24">
        <f>SUMIFS(Libro_Diario[[Cantidad ]],Libro_Diario[[Tipo ]],Ingresos[[#Headers],[Ingresos]],Libro_Diario[[Categoria ]],Ingresos[[#This Row],[Ingresos]],Libro_Diario[Fecha],"&gt;="&amp;'Libro Mayor'!I$9,Libro_Diario[Fecha],"&lt;="&amp;EOMONTH('Libro Mayor'!I$9,0))</f>
        <v>0</v>
      </c>
      <c r="J10" s="24">
        <f>SUMIFS(Libro_Diario[[Cantidad ]],Libro_Diario[[Tipo ]],Ingresos[[#Headers],[Ingresos]],Libro_Diario[[Categoria ]],Ingresos[[#This Row],[Ingresos]],Libro_Diario[Fecha],"&gt;="&amp;'Libro Mayor'!J$9,Libro_Diario[Fecha],"&lt;="&amp;EOMONTH('Libro Mayor'!J$9,0))</f>
        <v>0</v>
      </c>
      <c r="K10" s="24">
        <f>SUMIFS(Libro_Diario[[Cantidad ]],Libro_Diario[[Tipo ]],Ingresos[[#Headers],[Ingresos]],Libro_Diario[[Categoria ]],Ingresos[[#This Row],[Ingresos]],Libro_Diario[Fecha],"&gt;="&amp;'Libro Mayor'!K$9,Libro_Diario[Fecha],"&lt;="&amp;EOMONTH('Libro Mayor'!K$9,0))</f>
        <v>0</v>
      </c>
      <c r="L10" s="24">
        <f>SUMIFS(Libro_Diario[[Cantidad ]],Libro_Diario[[Tipo ]],Ingresos[[#Headers],[Ingresos]],Libro_Diario[[Categoria ]],Ingresos[[#This Row],[Ingresos]],Libro_Diario[Fecha],"&gt;="&amp;'Libro Mayor'!L$9,Libro_Diario[Fecha],"&lt;="&amp;EOMONTH('Libro Mayor'!L$9,0))</f>
        <v>0</v>
      </c>
      <c r="M10" s="24"/>
      <c r="N10" s="24">
        <f>SUMIFS(Libro_Diario[[Cantidad ]],Libro_Diario[[Tipo ]],Ingresos[[#Headers],[Ingresos]],Libro_Diario[[Categoria ]],Ingresos[[#This Row],[Ingresos]],Libro_Diario[Fecha],"&gt;="&amp;'Libro Mayor'!N$9,Libro_Diario[Fecha],"&lt;="&amp;EOMONTH('Libro Mayor'!N$9,0))</f>
        <v>0</v>
      </c>
      <c r="O10" s="24">
        <f>SUMIFS(Libro_Diario[[Cantidad ]],Libro_Diario[[Tipo ]],Ingresos[[#Headers],[Ingresos]],Libro_Diario[[Categoria ]],Ingresos[[#This Row],[Ingresos]],Libro_Diario[Fecha],"&gt;="&amp;'Libro Mayor'!O$9,Libro_Diario[Fecha],"&lt;="&amp;EOMONTH('Libro Mayor'!O$9,0))</f>
        <v>0</v>
      </c>
      <c r="P10" s="24">
        <f>SUMIFS(Libro_Diario[[Cantidad ]],Libro_Diario[[Tipo ]],Ingresos[[#Headers],[Ingresos]],Libro_Diario[[Categoria ]],Ingresos[[#This Row],[Ingresos]],Libro_Diario[Fecha],"&gt;="&amp;'Libro Mayor'!P$9,Libro_Diario[Fecha],"&lt;="&amp;EOMONTH('Libro Mayor'!P$9,0))</f>
        <v>0</v>
      </c>
      <c r="Q10" s="25">
        <f>SUM(E10:P10)</f>
        <v>0</v>
      </c>
      <c r="S10" s="24">
        <f>SUMIFS(Libro_Diario[[Cantidad ]],Libro_Diario[[Tipo ]],Ingresos[[#Headers],[Ingresos]],Libro_Diario[[Categoria ]],Ingresos[[#This Row],[Ingresos]],Libro_Diario[Fecha],"&gt;="&amp;'Libro Mayor'!S$9,Libro_Diario[Fecha],"&lt;="&amp;EOMONTH('Libro Mayor'!S$9,0))</f>
        <v>0</v>
      </c>
      <c r="T10" s="24">
        <f>SUMIFS(Libro_Diario[[Cantidad ]],Libro_Diario[[Tipo ]],Ingresos[[#Headers],[Ingresos]],Libro_Diario[[Categoria ]],Ingresos[[#This Row],[Ingresos]],Libro_Diario[Fecha],"&gt;="&amp;'Libro Mayor'!T$9,Libro_Diario[Fecha],"&lt;="&amp;EOMONTH('Libro Mayor'!T$9,0))</f>
        <v>0</v>
      </c>
      <c r="U10" s="24">
        <f>SUMIFS(Libro_Diario[[Cantidad ]],Libro_Diario[[Tipo ]],Ingresos[[#Headers],[Ingresos]],Libro_Diario[[Categoria ]],Ingresos[[#This Row],[Ingresos]],Libro_Diario[Fecha],"&gt;="&amp;'Libro Mayor'!U$9,Libro_Diario[Fecha],"&lt;="&amp;EOMONTH('Libro Mayor'!U$9,0))</f>
        <v>0</v>
      </c>
      <c r="V10" s="24">
        <f>SUMIFS(Libro_Diario[[Cantidad ]],Libro_Diario[[Tipo ]],Ingresos[[#Headers],[Ingresos]],Libro_Diario[[Categoria ]],Ingresos[[#This Row],[Ingresos]],Libro_Diario[Fecha],"&gt;="&amp;'Libro Mayor'!V$9,Libro_Diario[Fecha],"&lt;="&amp;EOMONTH('Libro Mayor'!V$9,0))</f>
        <v>0</v>
      </c>
      <c r="W10" s="24">
        <f>SUMIFS(Libro_Diario[[Cantidad ]],Libro_Diario[[Tipo ]],Ingresos[[#Headers],[Ingresos]],Libro_Diario[[Categoria ]],Ingresos[[#This Row],[Ingresos]],Libro_Diario[Fecha],"&gt;="&amp;'Libro Mayor'!W$9,Libro_Diario[Fecha],"&lt;="&amp;EOMONTH('Libro Mayor'!W$9,0))</f>
        <v>0</v>
      </c>
      <c r="X10" s="24">
        <f>SUMIFS(Libro_Diario[[Cantidad ]],Libro_Diario[[Tipo ]],Ingresos[[#Headers],[Ingresos]],Libro_Diario[[Categoria ]],Ingresos[[#This Row],[Ingresos]],Libro_Diario[Fecha],"&gt;="&amp;'Libro Mayor'!X$9,Libro_Diario[Fecha],"&lt;="&amp;EOMONTH('Libro Mayor'!X$9,0))</f>
        <v>0</v>
      </c>
      <c r="Y10" s="24">
        <f>SUMIFS(Libro_Diario[[Cantidad ]],Libro_Diario[[Tipo ]],Ingresos[[#Headers],[Ingresos]],Libro_Diario[[Categoria ]],Ingresos[[#This Row],[Ingresos]],Libro_Diario[Fecha],"&gt;="&amp;'Libro Mayor'!Y$9,Libro_Diario[Fecha],"&lt;="&amp;EOMONTH('Libro Mayor'!Y$9,0))</f>
        <v>0</v>
      </c>
      <c r="Z10" s="24">
        <f>SUMIFS(Libro_Diario[[Cantidad ]],Libro_Diario[[Tipo ]],Ingresos[[#Headers],[Ingresos]],Libro_Diario[[Categoria ]],Ingresos[[#This Row],[Ingresos]],Libro_Diario[Fecha],"&gt;="&amp;'Libro Mayor'!Z$9,Libro_Diario[Fecha],"&lt;="&amp;EOMONTH('Libro Mayor'!Z$9,0))</f>
        <v>0</v>
      </c>
      <c r="AA10" s="24">
        <f>SUMIFS(Libro_Diario[[Cantidad ]],Libro_Diario[[Tipo ]],Ingresos[[#Headers],[Ingresos]],Libro_Diario[[Categoria ]],Ingresos[[#This Row],[Ingresos]],Libro_Diario[Fecha],"&gt;="&amp;'Libro Mayor'!AA$9,Libro_Diario[Fecha],"&lt;="&amp;EOMONTH('Libro Mayor'!AA$9,0))</f>
        <v>0</v>
      </c>
      <c r="AB10" s="24">
        <f>SUMIFS(Libro_Diario[[Cantidad ]],Libro_Diario[[Tipo ]],Ingresos[[#Headers],[Ingresos]],Libro_Diario[[Categoria ]],Ingresos[[#This Row],[Ingresos]],Libro_Diario[Fecha],"&gt;="&amp;'Libro Mayor'!AB$9,Libro_Diario[Fecha],"&lt;="&amp;EOMONTH('Libro Mayor'!AB$9,0))</f>
        <v>0</v>
      </c>
      <c r="AC10" s="24">
        <f>SUMIFS(Libro_Diario[[Cantidad ]],Libro_Diario[[Tipo ]],Ingresos[[#Headers],[Ingresos]],Libro_Diario[[Categoria ]],Ingresos[[#This Row],[Ingresos]],Libro_Diario[Fecha],"&gt;="&amp;'Libro Mayor'!AC$9,Libro_Diario[Fecha],"&lt;="&amp;EOMONTH('Libro Mayor'!AC$9,0))</f>
        <v>0</v>
      </c>
      <c r="AD10" s="24">
        <f>SUMIFS(Libro_Diario[[Cantidad ]],Libro_Diario[[Tipo ]],Ingresos[[#Headers],[Ingresos]],Libro_Diario[[Categoria ]],Ingresos[[#This Row],[Ingresos]],Libro_Diario[Fecha],"&gt;="&amp;'Libro Mayor'!AD$9,Libro_Diario[Fecha],"&lt;="&amp;EOMONTH('Libro Mayor'!AD$9,0))</f>
        <v>0</v>
      </c>
      <c r="AE10" s="25">
        <f>SUM(S10:AD10)</f>
        <v>0</v>
      </c>
      <c r="AG10" s="24">
        <f>SUMIFS(Libro_Diario[[Cantidad ]],Libro_Diario[[Tipo ]],Ingresos[[#Headers],[Ingresos]],Libro_Diario[[Categoria ]],Ingresos[[#This Row],[Ingresos]],Libro_Diario[Fecha],"&gt;="&amp;'Libro Mayor'!AG$9,Libro_Diario[Fecha],"&lt;="&amp;EOMONTH('Libro Mayor'!AG$9,0))</f>
        <v>0</v>
      </c>
      <c r="AH10" s="24">
        <f>SUMIFS(Libro_Diario[[Cantidad ]],Libro_Diario[[Tipo ]],Ingresos[[#Headers],[Ingresos]],Libro_Diario[[Categoria ]],Ingresos[[#This Row],[Ingresos]],Libro_Diario[Fecha],"&gt;="&amp;'Libro Mayor'!AH$9,Libro_Diario[Fecha],"&lt;="&amp;EOMONTH('Libro Mayor'!AH$9,0))</f>
        <v>0</v>
      </c>
      <c r="AI10" s="24">
        <f>SUMIFS(Libro_Diario[[Cantidad ]],Libro_Diario[[Tipo ]],Ingresos[[#Headers],[Ingresos]],Libro_Diario[[Categoria ]],Ingresos[[#This Row],[Ingresos]],Libro_Diario[Fecha],"&gt;="&amp;'Libro Mayor'!AI$9,Libro_Diario[Fecha],"&lt;="&amp;EOMONTH('Libro Mayor'!AI$9,0))</f>
        <v>0</v>
      </c>
      <c r="AJ10" s="24">
        <f>SUMIFS(Libro_Diario[[Cantidad ]],Libro_Diario[[Tipo ]],Ingresos[[#Headers],[Ingresos]],Libro_Diario[[Categoria ]],Ingresos[[#This Row],[Ingresos]],Libro_Diario[Fecha],"&gt;="&amp;'Libro Mayor'!AJ$9,Libro_Diario[Fecha],"&lt;="&amp;EOMONTH('Libro Mayor'!AJ$9,0))</f>
        <v>0</v>
      </c>
      <c r="AK10" s="24">
        <f>SUMIFS(Libro_Diario[[Cantidad ]],Libro_Diario[[Tipo ]],Ingresos[[#Headers],[Ingresos]],Libro_Diario[[Categoria ]],Ingresos[[#This Row],[Ingresos]],Libro_Diario[Fecha],"&gt;="&amp;'Libro Mayor'!AK$9,Libro_Diario[Fecha],"&lt;="&amp;EOMONTH('Libro Mayor'!AK$9,0))</f>
        <v>0</v>
      </c>
      <c r="AL10" s="24">
        <f>SUMIFS(Libro_Diario[[Cantidad ]],Libro_Diario[[Tipo ]],Ingresos[[#Headers],[Ingresos]],Libro_Diario[[Categoria ]],Ingresos[[#This Row],[Ingresos]],Libro_Diario[Fecha],"&gt;="&amp;'Libro Mayor'!AL$9,Libro_Diario[Fecha],"&lt;="&amp;EOMONTH('Libro Mayor'!AL$9,0))</f>
        <v>0</v>
      </c>
      <c r="AM10" s="24">
        <f>SUMIFS(Libro_Diario[[Cantidad ]],Libro_Diario[[Tipo ]],Ingresos[[#Headers],[Ingresos]],Libro_Diario[[Categoria ]],Ingresos[[#This Row],[Ingresos]],Libro_Diario[Fecha],"&gt;="&amp;'Libro Mayor'!AM$9,Libro_Diario[Fecha],"&lt;="&amp;EOMONTH('Libro Mayor'!AM$9,0))</f>
        <v>0</v>
      </c>
      <c r="AN10" s="24">
        <f>SUMIFS(Libro_Diario[[Cantidad ]],Libro_Diario[[Tipo ]],Ingresos[[#Headers],[Ingresos]],Libro_Diario[[Categoria ]],Ingresos[[#This Row],[Ingresos]],Libro_Diario[Fecha],"&gt;="&amp;'Libro Mayor'!AN$9,Libro_Diario[Fecha],"&lt;="&amp;EOMONTH('Libro Mayor'!AN$9,0))</f>
        <v>0</v>
      </c>
      <c r="AO10" s="24">
        <f>SUMIFS(Libro_Diario[[Cantidad ]],Libro_Diario[[Tipo ]],Ingresos[[#Headers],[Ingresos]],Libro_Diario[[Categoria ]],Ingresos[[#This Row],[Ingresos]],Libro_Diario[Fecha],"&gt;="&amp;'Libro Mayor'!AO$9,Libro_Diario[Fecha],"&lt;="&amp;EOMONTH('Libro Mayor'!AO$9,0))</f>
        <v>0</v>
      </c>
      <c r="AP10" s="24">
        <f>SUMIFS(Libro_Diario[[Cantidad ]],Libro_Diario[[Tipo ]],Ingresos[[#Headers],[Ingresos]],Libro_Diario[[Categoria ]],Ingresos[[#This Row],[Ingresos]],Libro_Diario[Fecha],"&gt;="&amp;'Libro Mayor'!AP$9,Libro_Diario[Fecha],"&lt;="&amp;EOMONTH('Libro Mayor'!AP$9,0))</f>
        <v>0</v>
      </c>
      <c r="AQ10" s="24">
        <f>SUMIFS(Libro_Diario[[Cantidad ]],Libro_Diario[[Tipo ]],Ingresos[[#Headers],[Ingresos]],Libro_Diario[[Categoria ]],Ingresos[[#This Row],[Ingresos]],Libro_Diario[Fecha],"&gt;="&amp;'Libro Mayor'!AQ$9,Libro_Diario[Fecha],"&lt;="&amp;EOMONTH('Libro Mayor'!AQ$9,0))</f>
        <v>0</v>
      </c>
      <c r="AR10" s="24">
        <f>SUMIFS(Libro_Diario[[Cantidad ]],Libro_Diario[[Tipo ]],Ingresos[[#Headers],[Ingresos]],Libro_Diario[[Categoria ]],Ingresos[[#This Row],[Ingresos]],Libro_Diario[Fecha],"&gt;="&amp;'Libro Mayor'!AR$9,Libro_Diario[Fecha],"&lt;="&amp;EOMONTH('Libro Mayor'!AR$9,0))</f>
        <v>0</v>
      </c>
      <c r="AS10" s="25">
        <f>SUM(AG10:AR10)</f>
        <v>0</v>
      </c>
      <c r="AU10" s="24">
        <f>SUMIFS(Libro_Diario[[Cantidad ]],Libro_Diario[[Tipo ]],Ingresos[[#Headers],[Ingresos]],Libro_Diario[[Categoria ]],Ingresos[[#This Row],[Ingresos]],Libro_Diario[Fecha],"&gt;="&amp;'Libro Mayor'!AU$9,Libro_Diario[Fecha],"&lt;="&amp;EOMONTH('Libro Mayor'!AU$9,0))</f>
        <v>0</v>
      </c>
      <c r="AV10" s="24">
        <f>SUMIFS(Libro_Diario[[Cantidad ]],Libro_Diario[[Tipo ]],Ingresos[[#Headers],[Ingresos]],Libro_Diario[[Categoria ]],Ingresos[[#This Row],[Ingresos]],Libro_Diario[Fecha],"&gt;="&amp;'Libro Mayor'!AV$9,Libro_Diario[Fecha],"&lt;="&amp;EOMONTH('Libro Mayor'!AV$9,0))</f>
        <v>0</v>
      </c>
      <c r="AW10" s="24">
        <f>SUMIFS(Libro_Diario[[Cantidad ]],Libro_Diario[[Tipo ]],Ingresos[[#Headers],[Ingresos]],Libro_Diario[[Categoria ]],Ingresos[[#This Row],[Ingresos]],Libro_Diario[Fecha],"&gt;="&amp;'Libro Mayor'!AW$9,Libro_Diario[Fecha],"&lt;="&amp;EOMONTH('Libro Mayor'!AW$9,0))</f>
        <v>0</v>
      </c>
      <c r="AX10" s="24">
        <f>SUMIFS(Libro_Diario[[Cantidad ]],Libro_Diario[[Tipo ]],Ingresos[[#Headers],[Ingresos]],Libro_Diario[[Categoria ]],Ingresos[[#This Row],[Ingresos]],Libro_Diario[Fecha],"&gt;="&amp;'Libro Mayor'!AX$9,Libro_Diario[Fecha],"&lt;="&amp;EOMONTH('Libro Mayor'!AX$9,0))</f>
        <v>0</v>
      </c>
      <c r="AY10" s="24">
        <f>SUMIFS(Libro_Diario[[Cantidad ]],Libro_Diario[[Tipo ]],Ingresos[[#Headers],[Ingresos]],Libro_Diario[[Categoria ]],Ingresos[[#This Row],[Ingresos]],Libro_Diario[Fecha],"&gt;="&amp;'Libro Mayor'!AY$9,Libro_Diario[Fecha],"&lt;="&amp;EOMONTH('Libro Mayor'!AY$9,0))</f>
        <v>0</v>
      </c>
      <c r="AZ10" s="24">
        <f>SUMIFS(Libro_Diario[[Cantidad ]],Libro_Diario[[Tipo ]],Ingresos[[#Headers],[Ingresos]],Libro_Diario[[Categoria ]],Ingresos[[#This Row],[Ingresos]],Libro_Diario[Fecha],"&gt;="&amp;'Libro Mayor'!AZ$9,Libro_Diario[Fecha],"&lt;="&amp;EOMONTH('Libro Mayor'!AZ$9,0))</f>
        <v>0</v>
      </c>
      <c r="BA10" s="24">
        <f>SUMIFS(Libro_Diario[[Cantidad ]],Libro_Diario[[Tipo ]],Ingresos[[#Headers],[Ingresos]],Libro_Diario[[Categoria ]],Ingresos[[#This Row],[Ingresos]],Libro_Diario[Fecha],"&gt;="&amp;'Libro Mayor'!BA$9,Libro_Diario[Fecha],"&lt;="&amp;EOMONTH('Libro Mayor'!BA$9,0))</f>
        <v>0</v>
      </c>
      <c r="BB10" s="24">
        <f>SUMIFS(Libro_Diario[[Cantidad ]],Libro_Diario[[Tipo ]],Ingresos[[#Headers],[Ingresos]],Libro_Diario[[Categoria ]],Ingresos[[#This Row],[Ingresos]],Libro_Diario[Fecha],"&gt;="&amp;'Libro Mayor'!BB$9,Libro_Diario[Fecha],"&lt;="&amp;EOMONTH('Libro Mayor'!BB$9,0))</f>
        <v>0</v>
      </c>
      <c r="BC10" s="24">
        <f>SUMIFS(Libro_Diario[[Cantidad ]],Libro_Diario[[Tipo ]],Ingresos[[#Headers],[Ingresos]],Libro_Diario[[Categoria ]],Ingresos[[#This Row],[Ingresos]],Libro_Diario[Fecha],"&gt;="&amp;'Libro Mayor'!BC$9,Libro_Diario[Fecha],"&lt;="&amp;EOMONTH('Libro Mayor'!BC$9,0))</f>
        <v>0</v>
      </c>
      <c r="BD10" s="24">
        <f>SUMIFS(Libro_Diario[[Cantidad ]],Libro_Diario[[Tipo ]],Ingresos[[#Headers],[Ingresos]],Libro_Diario[[Categoria ]],Ingresos[[#This Row],[Ingresos]],Libro_Diario[Fecha],"&gt;="&amp;'Libro Mayor'!BD$9,Libro_Diario[Fecha],"&lt;="&amp;EOMONTH('Libro Mayor'!BD$9,0))</f>
        <v>0</v>
      </c>
      <c r="BE10" s="24">
        <f>SUMIFS(Libro_Diario[[Cantidad ]],Libro_Diario[[Tipo ]],Ingresos[[#Headers],[Ingresos]],Libro_Diario[[Categoria ]],Ingresos[[#This Row],[Ingresos]],Libro_Diario[Fecha],"&gt;="&amp;'Libro Mayor'!BE$9,Libro_Diario[Fecha],"&lt;="&amp;EOMONTH('Libro Mayor'!BE$9,0))</f>
        <v>0</v>
      </c>
      <c r="BF10" s="24">
        <f>SUMIFS(Libro_Diario[[Cantidad ]],Libro_Diario[[Tipo ]],Ingresos[[#Headers],[Ingresos]],Libro_Diario[[Categoria ]],Ingresos[[#This Row],[Ingresos]],Libro_Diario[Fecha],"&gt;="&amp;'Libro Mayor'!BF$9,Libro_Diario[Fecha],"&lt;="&amp;EOMONTH('Libro Mayor'!BF$9,0))</f>
        <v>0</v>
      </c>
      <c r="BG10" s="25">
        <f>SUM(AU10:BF10)</f>
        <v>0</v>
      </c>
      <c r="BI10" s="24">
        <f>SUMIFS(Libro_Diario[[Cantidad ]],Libro_Diario[[Tipo ]],Ingresos[[#Headers],[Ingresos]],Libro_Diario[[Categoria ]],Ingresos[[#This Row],[Ingresos]],Libro_Diario[Fecha],"&gt;="&amp;'Libro Mayor'!BI$9,Libro_Diario[Fecha],"&lt;="&amp;EOMONTH('Libro Mayor'!BI$9,0))</f>
        <v>0</v>
      </c>
      <c r="BJ10" s="24">
        <f>SUMIFS(Libro_Diario[[Cantidad ]],Libro_Diario[[Tipo ]],Ingresos[[#Headers],[Ingresos]],Libro_Diario[[Categoria ]],Ingresos[[#This Row],[Ingresos]],Libro_Diario[Fecha],"&gt;="&amp;'Libro Mayor'!BJ$9,Libro_Diario[Fecha],"&lt;="&amp;EOMONTH('Libro Mayor'!BJ$9,0))</f>
        <v>0</v>
      </c>
      <c r="BK10" s="24">
        <f>SUMIFS(Libro_Diario[[Cantidad ]],Libro_Diario[[Tipo ]],Ingresos[[#Headers],[Ingresos]],Libro_Diario[[Categoria ]],Ingresos[[#This Row],[Ingresos]],Libro_Diario[Fecha],"&gt;="&amp;'Libro Mayor'!BK$9,Libro_Diario[Fecha],"&lt;="&amp;EOMONTH('Libro Mayor'!BK$9,0))</f>
        <v>0</v>
      </c>
      <c r="BL10" s="24">
        <f>SUMIFS(Libro_Diario[[Cantidad ]],Libro_Diario[[Tipo ]],Ingresos[[#Headers],[Ingresos]],Libro_Diario[[Categoria ]],Ingresos[[#This Row],[Ingresos]],Libro_Diario[Fecha],"&gt;="&amp;'Libro Mayor'!BL$9,Libro_Diario[Fecha],"&lt;="&amp;EOMONTH('Libro Mayor'!BL$9,0))</f>
        <v>0</v>
      </c>
      <c r="BM10" s="24">
        <f>SUMIFS(Libro_Diario[[Cantidad ]],Libro_Diario[[Tipo ]],Ingresos[[#Headers],[Ingresos]],Libro_Diario[[Categoria ]],Ingresos[[#This Row],[Ingresos]],Libro_Diario[Fecha],"&gt;="&amp;'Libro Mayor'!BM$9,Libro_Diario[Fecha],"&lt;="&amp;EOMONTH('Libro Mayor'!BM$9,0))</f>
        <v>0</v>
      </c>
      <c r="BN10" s="24">
        <f>SUMIFS(Libro_Diario[[Cantidad ]],Libro_Diario[[Tipo ]],Ingresos[[#Headers],[Ingresos]],Libro_Diario[[Categoria ]],Ingresos[[#This Row],[Ingresos]],Libro_Diario[Fecha],"&gt;="&amp;'Libro Mayor'!BN$9,Libro_Diario[Fecha],"&lt;="&amp;EOMONTH('Libro Mayor'!BN$9,0))</f>
        <v>0</v>
      </c>
      <c r="BO10" s="24">
        <f>SUMIFS(Libro_Diario[[Cantidad ]],Libro_Diario[[Tipo ]],Ingresos[[#Headers],[Ingresos]],Libro_Diario[[Categoria ]],Ingresos[[#This Row],[Ingresos]],Libro_Diario[Fecha],"&gt;="&amp;'Libro Mayor'!BO$9,Libro_Diario[Fecha],"&lt;="&amp;EOMONTH('Libro Mayor'!BO$9,0))</f>
        <v>0</v>
      </c>
      <c r="BP10" s="24">
        <f>SUMIFS(Libro_Diario[[Cantidad ]],Libro_Diario[[Tipo ]],Ingresos[[#Headers],[Ingresos]],Libro_Diario[[Categoria ]],Ingresos[[#This Row],[Ingresos]],Libro_Diario[Fecha],"&gt;="&amp;'Libro Mayor'!BP$9,Libro_Diario[Fecha],"&lt;="&amp;EOMONTH('Libro Mayor'!BP$9,0))</f>
        <v>0</v>
      </c>
      <c r="BQ10" s="24">
        <f>SUMIFS(Libro_Diario[[Cantidad ]],Libro_Diario[[Tipo ]],Ingresos[[#Headers],[Ingresos]],Libro_Diario[[Categoria ]],Ingresos[[#This Row],[Ingresos]],Libro_Diario[Fecha],"&gt;="&amp;'Libro Mayor'!BQ$9,Libro_Diario[Fecha],"&lt;="&amp;EOMONTH('Libro Mayor'!BQ$9,0))</f>
        <v>0</v>
      </c>
      <c r="BR10" s="24">
        <f>SUMIFS(Libro_Diario[[Cantidad ]],Libro_Diario[[Tipo ]],Ingresos[[#Headers],[Ingresos]],Libro_Diario[[Categoria ]],Ingresos[[#This Row],[Ingresos]],Libro_Diario[Fecha],"&gt;="&amp;'Libro Mayor'!BR$9,Libro_Diario[Fecha],"&lt;="&amp;EOMONTH('Libro Mayor'!BR$9,0))</f>
        <v>0</v>
      </c>
      <c r="BS10" s="24">
        <f>SUMIFS(Libro_Diario[[Cantidad ]],Libro_Diario[[Tipo ]],Ingresos[[#Headers],[Ingresos]],Libro_Diario[[Categoria ]],Ingresos[[#This Row],[Ingresos]],Libro_Diario[Fecha],"&gt;="&amp;'Libro Mayor'!BS$9,Libro_Diario[Fecha],"&lt;="&amp;EOMONTH('Libro Mayor'!BS$9,0))</f>
        <v>0</v>
      </c>
      <c r="BT10" s="24">
        <f>SUMIFS(Libro_Diario[[Cantidad ]],Libro_Diario[[Tipo ]],Ingresos[[#Headers],[Ingresos]],Libro_Diario[[Categoria ]],Ingresos[[#This Row],[Ingresos]],Libro_Diario[Fecha],"&gt;="&amp;'Libro Mayor'!BT$9,Libro_Diario[Fecha],"&lt;="&amp;EOMONTH('Libro Mayor'!BT$9,0))</f>
        <v>0</v>
      </c>
      <c r="BU10" s="25">
        <f>SUM(BI10:BT10)</f>
        <v>0</v>
      </c>
      <c r="BW10" s="24">
        <f>SUMIFS(Libro_Diario[[Cantidad ]],Libro_Diario[[Tipo ]],Ingresos[[#Headers],[Ingresos]],Libro_Diario[[Categoria ]],Ingresos[[#This Row],[Ingresos]],Libro_Diario[Fecha],"&gt;="&amp;'Libro Mayor'!BW$9,Libro_Diario[Fecha],"&lt;="&amp;EOMONTH('Libro Mayor'!BW$9,0))</f>
        <v>0</v>
      </c>
      <c r="BX10" s="24">
        <f>SUMIFS(Libro_Diario[[Cantidad ]],Libro_Diario[[Tipo ]],Ingresos[[#Headers],[Ingresos]],Libro_Diario[[Categoria ]],Ingresos[[#This Row],[Ingresos]],Libro_Diario[Fecha],"&gt;="&amp;'Libro Mayor'!BX$9,Libro_Diario[Fecha],"&lt;="&amp;EOMONTH('Libro Mayor'!BX$9,0))</f>
        <v>0</v>
      </c>
      <c r="BY10" s="24">
        <f>SUMIFS(Libro_Diario[[Cantidad ]],Libro_Diario[[Tipo ]],Ingresos[[#Headers],[Ingresos]],Libro_Diario[[Categoria ]],Ingresos[[#This Row],[Ingresos]],Libro_Diario[Fecha],"&gt;="&amp;'Libro Mayor'!BY$9,Libro_Diario[Fecha],"&lt;="&amp;EOMONTH('Libro Mayor'!BY$9,0))</f>
        <v>0</v>
      </c>
      <c r="BZ10" s="24">
        <f>SUMIFS(Libro_Diario[[Cantidad ]],Libro_Diario[[Tipo ]],Ingresos[[#Headers],[Ingresos]],Libro_Diario[[Categoria ]],Ingresos[[#This Row],[Ingresos]],Libro_Diario[Fecha],"&gt;="&amp;'Libro Mayor'!BZ$9,Libro_Diario[Fecha],"&lt;="&amp;EOMONTH('Libro Mayor'!BZ$9,0))</f>
        <v>0</v>
      </c>
      <c r="CA10" s="24">
        <f>SUMIFS(Libro_Diario[[Cantidad ]],Libro_Diario[[Tipo ]],Ingresos[[#Headers],[Ingresos]],Libro_Diario[[Categoria ]],Ingresos[[#This Row],[Ingresos]],Libro_Diario[Fecha],"&gt;="&amp;'Libro Mayor'!CA$9,Libro_Diario[Fecha],"&lt;="&amp;EOMONTH('Libro Mayor'!CA$9,0))</f>
        <v>0</v>
      </c>
      <c r="CB10" s="24">
        <f>SUMIFS(Libro_Diario[[Cantidad ]],Libro_Diario[[Tipo ]],Ingresos[[#Headers],[Ingresos]],Libro_Diario[[Categoria ]],Ingresos[[#This Row],[Ingresos]],Libro_Diario[Fecha],"&gt;="&amp;'Libro Mayor'!CB$9,Libro_Diario[Fecha],"&lt;="&amp;EOMONTH('Libro Mayor'!CB$9,0))</f>
        <v>0</v>
      </c>
      <c r="CC10" s="24">
        <f>SUMIFS(Libro_Diario[[Cantidad ]],Libro_Diario[[Tipo ]],Ingresos[[#Headers],[Ingresos]],Libro_Diario[[Categoria ]],Ingresos[[#This Row],[Ingresos]],Libro_Diario[Fecha],"&gt;="&amp;'Libro Mayor'!CC$9,Libro_Diario[Fecha],"&lt;="&amp;EOMONTH('Libro Mayor'!CC$9,0))</f>
        <v>0</v>
      </c>
      <c r="CD10" s="24">
        <f>SUMIFS(Libro_Diario[[Cantidad ]],Libro_Diario[[Tipo ]],Ingresos[[#Headers],[Ingresos]],Libro_Diario[[Categoria ]],Ingresos[[#This Row],[Ingresos]],Libro_Diario[Fecha],"&gt;="&amp;'Libro Mayor'!CD$9,Libro_Diario[Fecha],"&lt;="&amp;EOMONTH('Libro Mayor'!CD$9,0))</f>
        <v>0</v>
      </c>
      <c r="CE10" s="24">
        <f>SUMIFS(Libro_Diario[[Cantidad ]],Libro_Diario[[Tipo ]],Ingresos[[#Headers],[Ingresos]],Libro_Diario[[Categoria ]],Ingresos[[#This Row],[Ingresos]],Libro_Diario[Fecha],"&gt;="&amp;'Libro Mayor'!CE$9,Libro_Diario[Fecha],"&lt;="&amp;EOMONTH('Libro Mayor'!CE$9,0))</f>
        <v>0</v>
      </c>
      <c r="CF10" s="24">
        <f>SUMIFS(Libro_Diario[[Cantidad ]],Libro_Diario[[Tipo ]],Ingresos[[#Headers],[Ingresos]],Libro_Diario[[Categoria ]],Ingresos[[#This Row],[Ingresos]],Libro_Diario[Fecha],"&gt;="&amp;'Libro Mayor'!CF$9,Libro_Diario[Fecha],"&lt;="&amp;EOMONTH('Libro Mayor'!CF$9,0))</f>
        <v>0</v>
      </c>
      <c r="CG10" s="24">
        <f>SUMIFS(Libro_Diario[[Cantidad ]],Libro_Diario[[Tipo ]],Ingresos[[#Headers],[Ingresos]],Libro_Diario[[Categoria ]],Ingresos[[#This Row],[Ingresos]],Libro_Diario[Fecha],"&gt;="&amp;'Libro Mayor'!CG$9,Libro_Diario[Fecha],"&lt;="&amp;EOMONTH('Libro Mayor'!CG$9,0))</f>
        <v>0</v>
      </c>
      <c r="CH10" s="24">
        <f>SUMIFS(Libro_Diario[[Cantidad ]],Libro_Diario[[Tipo ]],Ingresos[[#Headers],[Ingresos]],Libro_Diario[[Categoria ]],Ingresos[[#This Row],[Ingresos]],Libro_Diario[Fecha],"&gt;="&amp;'Libro Mayor'!CH$9,Libro_Diario[Fecha],"&lt;="&amp;EOMONTH('Libro Mayor'!CH$9,0))</f>
        <v>0</v>
      </c>
      <c r="CI10" s="25">
        <f>SUM(BW10:CH10)</f>
        <v>0</v>
      </c>
      <c r="CK10" s="24">
        <f>SUMIFS(Libro_Diario[[Cantidad ]],Libro_Diario[[Tipo ]],Ingresos[[#Headers],[Ingresos]],Libro_Diario[[Categoria ]],Ingresos[[#This Row],[Ingresos]],Libro_Diario[Fecha],"&gt;="&amp;'Libro Mayor'!CK$9,Libro_Diario[Fecha],"&lt;="&amp;EOMONTH('Libro Mayor'!CK$9,0))</f>
        <v>0</v>
      </c>
      <c r="CL10" s="24">
        <f>SUMIFS(Libro_Diario[[Cantidad ]],Libro_Diario[[Tipo ]],Ingresos[[#Headers],[Ingresos]],Libro_Diario[[Categoria ]],Ingresos[[#This Row],[Ingresos]],Libro_Diario[Fecha],"&gt;="&amp;'Libro Mayor'!CL$9,Libro_Diario[Fecha],"&lt;="&amp;EOMONTH('Libro Mayor'!CL$9,0))</f>
        <v>0</v>
      </c>
      <c r="CM10" s="24">
        <f>SUMIFS(Libro_Diario[[Cantidad ]],Libro_Diario[[Tipo ]],Ingresos[[#Headers],[Ingresos]],Libro_Diario[[Categoria ]],Ingresos[[#This Row],[Ingresos]],Libro_Diario[Fecha],"&gt;="&amp;'Libro Mayor'!CM$9,Libro_Diario[Fecha],"&lt;="&amp;EOMONTH('Libro Mayor'!CM$9,0))</f>
        <v>0</v>
      </c>
      <c r="CN10" s="24">
        <f>SUMIFS(Libro_Diario[[Cantidad ]],Libro_Diario[[Tipo ]],Ingresos[[#Headers],[Ingresos]],Libro_Diario[[Categoria ]],Ingresos[[#This Row],[Ingresos]],Libro_Diario[Fecha],"&gt;="&amp;'Libro Mayor'!CN$9,Libro_Diario[Fecha],"&lt;="&amp;EOMONTH('Libro Mayor'!CN$9,0))</f>
        <v>0</v>
      </c>
      <c r="CO10" s="24">
        <f>SUMIFS(Libro_Diario[[Cantidad ]],Libro_Diario[[Tipo ]],Ingresos[[#Headers],[Ingresos]],Libro_Diario[[Categoria ]],Ingresos[[#This Row],[Ingresos]],Libro_Diario[Fecha],"&gt;="&amp;'Libro Mayor'!CO$9,Libro_Diario[Fecha],"&lt;="&amp;EOMONTH('Libro Mayor'!CO$9,0))</f>
        <v>0</v>
      </c>
      <c r="CP10" s="24">
        <f>SUMIFS(Libro_Diario[[Cantidad ]],Libro_Diario[[Tipo ]],Ingresos[[#Headers],[Ingresos]],Libro_Diario[[Categoria ]],Ingresos[[#This Row],[Ingresos]],Libro_Diario[Fecha],"&gt;="&amp;'Libro Mayor'!CP$9,Libro_Diario[Fecha],"&lt;="&amp;EOMONTH('Libro Mayor'!CP$9,0))</f>
        <v>0</v>
      </c>
      <c r="CQ10" s="24">
        <f>SUMIFS(Libro_Diario[[Cantidad ]],Libro_Diario[[Tipo ]],Ingresos[[#Headers],[Ingresos]],Libro_Diario[[Categoria ]],Ingresos[[#This Row],[Ingresos]],Libro_Diario[Fecha],"&gt;="&amp;'Libro Mayor'!CQ$9,Libro_Diario[Fecha],"&lt;="&amp;EOMONTH('Libro Mayor'!CQ$9,0))</f>
        <v>0</v>
      </c>
      <c r="CR10" s="24">
        <f>SUMIFS(Libro_Diario[[Cantidad ]],Libro_Diario[[Tipo ]],Ingresos[[#Headers],[Ingresos]],Libro_Diario[[Categoria ]],Ingresos[[#This Row],[Ingresos]],Libro_Diario[Fecha],"&gt;="&amp;'Libro Mayor'!CR$9,Libro_Diario[Fecha],"&lt;="&amp;EOMONTH('Libro Mayor'!CR$9,0))</f>
        <v>0</v>
      </c>
      <c r="CS10" s="24">
        <f>SUMIFS(Libro_Diario[[Cantidad ]],Libro_Diario[[Tipo ]],Ingresos[[#Headers],[Ingresos]],Libro_Diario[[Categoria ]],Ingresos[[#This Row],[Ingresos]],Libro_Diario[Fecha],"&gt;="&amp;'Libro Mayor'!CS$9,Libro_Diario[Fecha],"&lt;="&amp;EOMONTH('Libro Mayor'!CS$9,0))</f>
        <v>0</v>
      </c>
      <c r="CT10" s="24">
        <f>SUMIFS(Libro_Diario[[Cantidad ]],Libro_Diario[[Tipo ]],Ingresos[[#Headers],[Ingresos]],Libro_Diario[[Categoria ]],Ingresos[[#This Row],[Ingresos]],Libro_Diario[Fecha],"&gt;="&amp;'Libro Mayor'!CT$9,Libro_Diario[Fecha],"&lt;="&amp;EOMONTH('Libro Mayor'!CT$9,0))</f>
        <v>0</v>
      </c>
      <c r="CU10" s="24">
        <f>SUMIFS(Libro_Diario[[Cantidad ]],Libro_Diario[[Tipo ]],Ingresos[[#Headers],[Ingresos]],Libro_Diario[[Categoria ]],Ingresos[[#This Row],[Ingresos]],Libro_Diario[Fecha],"&gt;="&amp;'Libro Mayor'!CU$9,Libro_Diario[Fecha],"&lt;="&amp;EOMONTH('Libro Mayor'!CU$9,0))</f>
        <v>0</v>
      </c>
      <c r="CV10" s="24">
        <f>SUMIFS(Libro_Diario[[Cantidad ]],Libro_Diario[[Tipo ]],Ingresos[[#Headers],[Ingresos]],Libro_Diario[[Categoria ]],Ingresos[[#This Row],[Ingresos]],Libro_Diario[Fecha],"&gt;="&amp;'Libro Mayor'!CV$9,Libro_Diario[Fecha],"&lt;="&amp;EOMONTH('Libro Mayor'!CV$9,0))</f>
        <v>0</v>
      </c>
      <c r="CW10" s="25">
        <f>SUM(CK10:CV10)</f>
        <v>0</v>
      </c>
      <c r="CY10" s="24">
        <f>SUMIFS(Libro_Diario[[Cantidad ]],Libro_Diario[[Tipo ]],Ingresos[[#Headers],[Ingresos]],Libro_Diario[[Categoria ]],Ingresos[[#This Row],[Ingresos]],Libro_Diario[Fecha],"&gt;="&amp;'Libro Mayor'!CY$9,Libro_Diario[Fecha],"&lt;="&amp;EOMONTH('Libro Mayor'!CY$9,0))</f>
        <v>0</v>
      </c>
      <c r="CZ10" s="24">
        <f>SUMIFS(Libro_Diario[[Cantidad ]],Libro_Diario[[Tipo ]],Ingresos[[#Headers],[Ingresos]],Libro_Diario[[Categoria ]],Ingresos[[#This Row],[Ingresos]],Libro_Diario[Fecha],"&gt;="&amp;'Libro Mayor'!CZ$9,Libro_Diario[Fecha],"&lt;="&amp;EOMONTH('Libro Mayor'!CZ$9,0))</f>
        <v>0</v>
      </c>
      <c r="DA10" s="24">
        <f>SUMIFS(Libro_Diario[[Cantidad ]],Libro_Diario[[Tipo ]],Ingresos[[#Headers],[Ingresos]],Libro_Diario[[Categoria ]],Ingresos[[#This Row],[Ingresos]],Libro_Diario[Fecha],"&gt;="&amp;'Libro Mayor'!DA$9,Libro_Diario[Fecha],"&lt;="&amp;EOMONTH('Libro Mayor'!DA$9,0))</f>
        <v>0</v>
      </c>
      <c r="DB10" s="24">
        <f>SUMIFS(Libro_Diario[[Cantidad ]],Libro_Diario[[Tipo ]],Ingresos[[#Headers],[Ingresos]],Libro_Diario[[Categoria ]],Ingresos[[#This Row],[Ingresos]],Libro_Diario[Fecha],"&gt;="&amp;'Libro Mayor'!DB$9,Libro_Diario[Fecha],"&lt;="&amp;EOMONTH('Libro Mayor'!DB$9,0))</f>
        <v>0</v>
      </c>
      <c r="DC10" s="24">
        <f>SUMIFS(Libro_Diario[[Cantidad ]],Libro_Diario[[Tipo ]],Ingresos[[#Headers],[Ingresos]],Libro_Diario[[Categoria ]],Ingresos[[#This Row],[Ingresos]],Libro_Diario[Fecha],"&gt;="&amp;'Libro Mayor'!DC$9,Libro_Diario[Fecha],"&lt;="&amp;EOMONTH('Libro Mayor'!DC$9,0))</f>
        <v>0</v>
      </c>
      <c r="DD10" s="24">
        <f>SUMIFS(Libro_Diario[[Cantidad ]],Libro_Diario[[Tipo ]],Ingresos[[#Headers],[Ingresos]],Libro_Diario[[Categoria ]],Ingresos[[#This Row],[Ingresos]],Libro_Diario[Fecha],"&gt;="&amp;'Libro Mayor'!DD$9,Libro_Diario[Fecha],"&lt;="&amp;EOMONTH('Libro Mayor'!DD$9,0))</f>
        <v>0</v>
      </c>
      <c r="DE10" s="24">
        <f>SUMIFS(Libro_Diario[[Cantidad ]],Libro_Diario[[Tipo ]],Ingresos[[#Headers],[Ingresos]],Libro_Diario[[Categoria ]],Ingresos[[#This Row],[Ingresos]],Libro_Diario[Fecha],"&gt;="&amp;'Libro Mayor'!DE$9,Libro_Diario[Fecha],"&lt;="&amp;EOMONTH('Libro Mayor'!DE$9,0))</f>
        <v>0</v>
      </c>
      <c r="DF10" s="24">
        <f>SUMIFS(Libro_Diario[[Cantidad ]],Libro_Diario[[Tipo ]],Ingresos[[#Headers],[Ingresos]],Libro_Diario[[Categoria ]],Ingresos[[#This Row],[Ingresos]],Libro_Diario[Fecha],"&gt;="&amp;'Libro Mayor'!DF$9,Libro_Diario[Fecha],"&lt;="&amp;EOMONTH('Libro Mayor'!DF$9,0))</f>
        <v>0</v>
      </c>
      <c r="DG10" s="24">
        <f>SUMIFS(Libro_Diario[[Cantidad ]],Libro_Diario[[Tipo ]],Ingresos[[#Headers],[Ingresos]],Libro_Diario[[Categoria ]],Ingresos[[#This Row],[Ingresos]],Libro_Diario[Fecha],"&gt;="&amp;'Libro Mayor'!DG$9,Libro_Diario[Fecha],"&lt;="&amp;EOMONTH('Libro Mayor'!DG$9,0))</f>
        <v>0</v>
      </c>
      <c r="DH10" s="24">
        <f>SUMIFS(Libro_Diario[[Cantidad ]],Libro_Diario[[Tipo ]],Ingresos[[#Headers],[Ingresos]],Libro_Diario[[Categoria ]],Ingresos[[#This Row],[Ingresos]],Libro_Diario[Fecha],"&gt;="&amp;'Libro Mayor'!DH$9,Libro_Diario[Fecha],"&lt;="&amp;EOMONTH('Libro Mayor'!DH$9,0))</f>
        <v>0</v>
      </c>
      <c r="DI10" s="24">
        <f>SUMIFS(Libro_Diario[[Cantidad ]],Libro_Diario[[Tipo ]],Ingresos[[#Headers],[Ingresos]],Libro_Diario[[Categoria ]],Ingresos[[#This Row],[Ingresos]],Libro_Diario[Fecha],"&gt;="&amp;'Libro Mayor'!DI$9,Libro_Diario[Fecha],"&lt;="&amp;EOMONTH('Libro Mayor'!DI$9,0))</f>
        <v>0</v>
      </c>
      <c r="DJ10" s="24">
        <f>SUMIFS(Libro_Diario[[Cantidad ]],Libro_Diario[[Tipo ]],Ingresos[[#Headers],[Ingresos]],Libro_Diario[[Categoria ]],Ingresos[[#This Row],[Ingresos]],Libro_Diario[Fecha],"&gt;="&amp;'Libro Mayor'!DJ$9,Libro_Diario[Fecha],"&lt;="&amp;EOMONTH('Libro Mayor'!DJ$9,0))</f>
        <v>0</v>
      </c>
      <c r="DK10" s="25">
        <f>SUM(CY10:DJ10)</f>
        <v>0</v>
      </c>
      <c r="DM10" s="24">
        <f>SUMIFS(Libro_Diario[[Cantidad ]],Libro_Diario[[Tipo ]],Ingresos[[#Headers],[Ingresos]],Libro_Diario[[Categoria ]],Ingresos[[#This Row],[Ingresos]],Libro_Diario[Fecha],"&gt;="&amp;'Libro Mayor'!DM$9,Libro_Diario[Fecha],"&lt;="&amp;EOMONTH('Libro Mayor'!DM$9,0))</f>
        <v>0</v>
      </c>
      <c r="DN10" s="24">
        <f>SUMIFS(Libro_Diario[[Cantidad ]],Libro_Diario[[Tipo ]],Ingresos[[#Headers],[Ingresos]],Libro_Diario[[Categoria ]],Ingresos[[#This Row],[Ingresos]],Libro_Diario[Fecha],"&gt;="&amp;'Libro Mayor'!DN$9,Libro_Diario[Fecha],"&lt;="&amp;EOMONTH('Libro Mayor'!DN$9,0))</f>
        <v>0</v>
      </c>
      <c r="DO10" s="24">
        <f>SUMIFS(Libro_Diario[[Cantidad ]],Libro_Diario[[Tipo ]],Ingresos[[#Headers],[Ingresos]],Libro_Diario[[Categoria ]],Ingresos[[#This Row],[Ingresos]],Libro_Diario[Fecha],"&gt;="&amp;'Libro Mayor'!DO$9,Libro_Diario[Fecha],"&lt;="&amp;EOMONTH('Libro Mayor'!DO$9,0))</f>
        <v>0</v>
      </c>
      <c r="DP10" s="24">
        <f>SUMIFS(Libro_Diario[[Cantidad ]],Libro_Diario[[Tipo ]],Ingresos[[#Headers],[Ingresos]],Libro_Diario[[Categoria ]],Ingresos[[#This Row],[Ingresos]],Libro_Diario[Fecha],"&gt;="&amp;'Libro Mayor'!DP$9,Libro_Diario[Fecha],"&lt;="&amp;EOMONTH('Libro Mayor'!DP$9,0))</f>
        <v>0</v>
      </c>
      <c r="DQ10" s="24">
        <f>SUMIFS(Libro_Diario[[Cantidad ]],Libro_Diario[[Tipo ]],Ingresos[[#Headers],[Ingresos]],Libro_Diario[[Categoria ]],Ingresos[[#This Row],[Ingresos]],Libro_Diario[Fecha],"&gt;="&amp;'Libro Mayor'!DQ$9,Libro_Diario[Fecha],"&lt;="&amp;EOMONTH('Libro Mayor'!DQ$9,0))</f>
        <v>0</v>
      </c>
      <c r="DR10" s="24">
        <f>SUMIFS(Libro_Diario[[Cantidad ]],Libro_Diario[[Tipo ]],Ingresos[[#Headers],[Ingresos]],Libro_Diario[[Categoria ]],Ingresos[[#This Row],[Ingresos]],Libro_Diario[Fecha],"&gt;="&amp;'Libro Mayor'!DR$9,Libro_Diario[Fecha],"&lt;="&amp;EOMONTH('Libro Mayor'!DR$9,0))</f>
        <v>0</v>
      </c>
      <c r="DS10" s="24">
        <f>SUMIFS(Libro_Diario[[Cantidad ]],Libro_Diario[[Tipo ]],Ingresos[[#Headers],[Ingresos]],Libro_Diario[[Categoria ]],Ingresos[[#This Row],[Ingresos]],Libro_Diario[Fecha],"&gt;="&amp;'Libro Mayor'!DS$9,Libro_Diario[Fecha],"&lt;="&amp;EOMONTH('Libro Mayor'!DS$9,0))</f>
        <v>0</v>
      </c>
      <c r="DT10" s="24">
        <f>SUMIFS(Libro_Diario[[Cantidad ]],Libro_Diario[[Tipo ]],Ingresos[[#Headers],[Ingresos]],Libro_Diario[[Categoria ]],Ingresos[[#This Row],[Ingresos]],Libro_Diario[Fecha],"&gt;="&amp;'Libro Mayor'!DT$9,Libro_Diario[Fecha],"&lt;="&amp;EOMONTH('Libro Mayor'!DT$9,0))</f>
        <v>0</v>
      </c>
      <c r="DU10" s="24">
        <f>SUMIFS(Libro_Diario[[Cantidad ]],Libro_Diario[[Tipo ]],Ingresos[[#Headers],[Ingresos]],Libro_Diario[[Categoria ]],Ingresos[[#This Row],[Ingresos]],Libro_Diario[Fecha],"&gt;="&amp;'Libro Mayor'!DU$9,Libro_Diario[Fecha],"&lt;="&amp;EOMONTH('Libro Mayor'!DU$9,0))</f>
        <v>0</v>
      </c>
      <c r="DV10" s="24">
        <f>SUMIFS(Libro_Diario[[Cantidad ]],Libro_Diario[[Tipo ]],Ingresos[[#Headers],[Ingresos]],Libro_Diario[[Categoria ]],Ingresos[[#This Row],[Ingresos]],Libro_Diario[Fecha],"&gt;="&amp;'Libro Mayor'!DV$9,Libro_Diario[Fecha],"&lt;="&amp;EOMONTH('Libro Mayor'!DV$9,0))</f>
        <v>0</v>
      </c>
      <c r="DW10" s="24">
        <f>SUMIFS(Libro_Diario[[Cantidad ]],Libro_Diario[[Tipo ]],Ingresos[[#Headers],[Ingresos]],Libro_Diario[[Categoria ]],Ingresos[[#This Row],[Ingresos]],Libro_Diario[Fecha],"&gt;="&amp;'Libro Mayor'!DW$9,Libro_Diario[Fecha],"&lt;="&amp;EOMONTH('Libro Mayor'!DW$9,0))</f>
        <v>0</v>
      </c>
      <c r="DX10" s="24">
        <f>SUMIFS(Libro_Diario[[Cantidad ]],Libro_Diario[[Tipo ]],Ingresos[[#Headers],[Ingresos]],Libro_Diario[[Categoria ]],Ingresos[[#This Row],[Ingresos]],Libro_Diario[Fecha],"&gt;="&amp;'Libro Mayor'!DX$9,Libro_Diario[Fecha],"&lt;="&amp;EOMONTH('Libro Mayor'!DX$9,0))</f>
        <v>0</v>
      </c>
      <c r="DY10" s="25">
        <f>SUM(DM10:DX10)</f>
        <v>0</v>
      </c>
      <c r="EA10" s="24">
        <f>SUMIFS(Libro_Diario[[Cantidad ]],Libro_Diario[[Tipo ]],Ingresos[[#Headers],[Ingresos]],Libro_Diario[[Categoria ]],Ingresos[[#This Row],[Ingresos]],Libro_Diario[Fecha],"&gt;="&amp;'Libro Mayor'!EA$9,Libro_Diario[Fecha],"&lt;="&amp;EOMONTH('Libro Mayor'!EA$9,0))</f>
        <v>0</v>
      </c>
      <c r="EB10" s="24">
        <f>SUMIFS(Libro_Diario[[Cantidad ]],Libro_Diario[[Tipo ]],Ingresos[[#Headers],[Ingresos]],Libro_Diario[[Categoria ]],Ingresos[[#This Row],[Ingresos]],Libro_Diario[Fecha],"&gt;="&amp;'Libro Mayor'!EB$9,Libro_Diario[Fecha],"&lt;="&amp;EOMONTH('Libro Mayor'!EB$9,0))</f>
        <v>0</v>
      </c>
      <c r="EC10" s="24">
        <f>SUMIFS(Libro_Diario[[Cantidad ]],Libro_Diario[[Tipo ]],Ingresos[[#Headers],[Ingresos]],Libro_Diario[[Categoria ]],Ingresos[[#This Row],[Ingresos]],Libro_Diario[Fecha],"&gt;="&amp;'Libro Mayor'!EC$9,Libro_Diario[Fecha],"&lt;="&amp;EOMONTH('Libro Mayor'!EC$9,0))</f>
        <v>0</v>
      </c>
      <c r="ED10" s="24">
        <f>SUMIFS(Libro_Diario[[Cantidad ]],Libro_Diario[[Tipo ]],Ingresos[[#Headers],[Ingresos]],Libro_Diario[[Categoria ]],Ingresos[[#This Row],[Ingresos]],Libro_Diario[Fecha],"&gt;="&amp;'Libro Mayor'!ED$9,Libro_Diario[Fecha],"&lt;="&amp;EOMONTH('Libro Mayor'!ED$9,0))</f>
        <v>0</v>
      </c>
      <c r="EE10" s="24">
        <f>SUMIFS(Libro_Diario[[Cantidad ]],Libro_Diario[[Tipo ]],Ingresos[[#Headers],[Ingresos]],Libro_Diario[[Categoria ]],Ingresos[[#This Row],[Ingresos]],Libro_Diario[Fecha],"&gt;="&amp;'Libro Mayor'!EE$9,Libro_Diario[Fecha],"&lt;="&amp;EOMONTH('Libro Mayor'!EE$9,0))</f>
        <v>0</v>
      </c>
      <c r="EF10" s="24">
        <f>SUMIFS(Libro_Diario[[Cantidad ]],Libro_Diario[[Tipo ]],Ingresos[[#Headers],[Ingresos]],Libro_Diario[[Categoria ]],Ingresos[[#This Row],[Ingresos]],Libro_Diario[Fecha],"&gt;="&amp;'Libro Mayor'!EF$9,Libro_Diario[Fecha],"&lt;="&amp;EOMONTH('Libro Mayor'!EF$9,0))</f>
        <v>0</v>
      </c>
      <c r="EG10" s="24">
        <f>SUMIFS(Libro_Diario[[Cantidad ]],Libro_Diario[[Tipo ]],Ingresos[[#Headers],[Ingresos]],Libro_Diario[[Categoria ]],Ingresos[[#This Row],[Ingresos]],Libro_Diario[Fecha],"&gt;="&amp;'Libro Mayor'!EG$9,Libro_Diario[Fecha],"&lt;="&amp;EOMONTH('Libro Mayor'!EG$9,0))</f>
        <v>0</v>
      </c>
      <c r="EH10" s="24">
        <f>SUMIFS(Libro_Diario[[Cantidad ]],Libro_Diario[[Tipo ]],Ingresos[[#Headers],[Ingresos]],Libro_Diario[[Categoria ]],Ingresos[[#This Row],[Ingresos]],Libro_Diario[Fecha],"&gt;="&amp;'Libro Mayor'!EH$9,Libro_Diario[Fecha],"&lt;="&amp;EOMONTH('Libro Mayor'!EH$9,0))</f>
        <v>0</v>
      </c>
      <c r="EI10" s="24">
        <f>SUMIFS(Libro_Diario[[Cantidad ]],Libro_Diario[[Tipo ]],Ingresos[[#Headers],[Ingresos]],Libro_Diario[[Categoria ]],Ingresos[[#This Row],[Ingresos]],Libro_Diario[Fecha],"&gt;="&amp;'Libro Mayor'!EI$9,Libro_Diario[Fecha],"&lt;="&amp;EOMONTH('Libro Mayor'!EI$9,0))</f>
        <v>0</v>
      </c>
      <c r="EJ10" s="24">
        <f>SUMIFS(Libro_Diario[[Cantidad ]],Libro_Diario[[Tipo ]],Ingresos[[#Headers],[Ingresos]],Libro_Diario[[Categoria ]],Ingresos[[#This Row],[Ingresos]],Libro_Diario[Fecha],"&gt;="&amp;'Libro Mayor'!EJ$9,Libro_Diario[Fecha],"&lt;="&amp;EOMONTH('Libro Mayor'!EJ$9,0))</f>
        <v>0</v>
      </c>
      <c r="EK10" s="24">
        <f>SUMIFS(Libro_Diario[[Cantidad ]],Libro_Diario[[Tipo ]],Ingresos[[#Headers],[Ingresos]],Libro_Diario[[Categoria ]],Ingresos[[#This Row],[Ingresos]],Libro_Diario[Fecha],"&gt;="&amp;'Libro Mayor'!EK$9,Libro_Diario[Fecha],"&lt;="&amp;EOMONTH('Libro Mayor'!EK$9,0))</f>
        <v>0</v>
      </c>
      <c r="EL10" s="24">
        <f>SUMIFS(Libro_Diario[[Cantidad ]],Libro_Diario[[Tipo ]],Ingresos[[#Headers],[Ingresos]],Libro_Diario[[Categoria ]],Ingresos[[#This Row],[Ingresos]],Libro_Diario[Fecha],"&gt;="&amp;'Libro Mayor'!EL$9,Libro_Diario[Fecha],"&lt;="&amp;EOMONTH('Libro Mayor'!EL$9,0))</f>
        <v>0</v>
      </c>
      <c r="EM10" s="25">
        <f>SUM(EA10:EL10)</f>
        <v>0</v>
      </c>
      <c r="EO10" s="24">
        <f>SUMIFS(Libro_Diario[[Cantidad ]],Libro_Diario[[Tipo ]],Ingresos[[#Headers],[Ingresos]],Libro_Diario[[Categoria ]],Ingresos[[#This Row],[Ingresos]],Libro_Diario[Fecha],"&gt;="&amp;'Libro Mayor'!EO$9,Libro_Diario[Fecha],"&lt;="&amp;EOMONTH('Libro Mayor'!EO$9,0))</f>
        <v>0</v>
      </c>
      <c r="EP10" s="24">
        <f>SUMIFS(Libro_Diario[[Cantidad ]],Libro_Diario[[Tipo ]],Ingresos[[#Headers],[Ingresos]],Libro_Diario[[Categoria ]],Ingresos[[#This Row],[Ingresos]],Libro_Diario[Fecha],"&gt;="&amp;'Libro Mayor'!EP$9,Libro_Diario[Fecha],"&lt;="&amp;EOMONTH('Libro Mayor'!EP$9,0))</f>
        <v>0</v>
      </c>
      <c r="EQ10" s="24">
        <f>SUMIFS(Libro_Diario[[Cantidad ]],Libro_Diario[[Tipo ]],Ingresos[[#Headers],[Ingresos]],Libro_Diario[[Categoria ]],Ingresos[[#This Row],[Ingresos]],Libro_Diario[Fecha],"&gt;="&amp;'Libro Mayor'!EQ$9,Libro_Diario[Fecha],"&lt;="&amp;EOMONTH('Libro Mayor'!EQ$9,0))</f>
        <v>0</v>
      </c>
      <c r="ER10" s="24">
        <f>SUMIFS(Libro_Diario[[Cantidad ]],Libro_Diario[[Tipo ]],Ingresos[[#Headers],[Ingresos]],Libro_Diario[[Categoria ]],Ingresos[[#This Row],[Ingresos]],Libro_Diario[Fecha],"&gt;="&amp;'Libro Mayor'!ER$9,Libro_Diario[Fecha],"&lt;="&amp;EOMONTH('Libro Mayor'!ER$9,0))</f>
        <v>0</v>
      </c>
      <c r="ES10" s="24">
        <f>SUMIFS(Libro_Diario[[Cantidad ]],Libro_Diario[[Tipo ]],Ingresos[[#Headers],[Ingresos]],Libro_Diario[[Categoria ]],Ingresos[[#This Row],[Ingresos]],Libro_Diario[Fecha],"&gt;="&amp;'Libro Mayor'!ES$9,Libro_Diario[Fecha],"&lt;="&amp;EOMONTH('Libro Mayor'!ES$9,0))</f>
        <v>0</v>
      </c>
      <c r="ET10" s="24">
        <f>SUMIFS(Libro_Diario[[Cantidad ]],Libro_Diario[[Tipo ]],Ingresos[[#Headers],[Ingresos]],Libro_Diario[[Categoria ]],Ingresos[[#This Row],[Ingresos]],Libro_Diario[Fecha],"&gt;="&amp;'Libro Mayor'!ET$9,Libro_Diario[Fecha],"&lt;="&amp;EOMONTH('Libro Mayor'!ET$9,0))</f>
        <v>0</v>
      </c>
      <c r="EU10" s="24">
        <f>SUMIFS(Libro_Diario[[Cantidad ]],Libro_Diario[[Tipo ]],Ingresos[[#Headers],[Ingresos]],Libro_Diario[[Categoria ]],Ingresos[[#This Row],[Ingresos]],Libro_Diario[Fecha],"&gt;="&amp;'Libro Mayor'!EU$9,Libro_Diario[Fecha],"&lt;="&amp;EOMONTH('Libro Mayor'!EU$9,0))</f>
        <v>0</v>
      </c>
      <c r="EV10" s="24">
        <f>SUMIFS(Libro_Diario[[Cantidad ]],Libro_Diario[[Tipo ]],Ingresos[[#Headers],[Ingresos]],Libro_Diario[[Categoria ]],Ingresos[[#This Row],[Ingresos]],Libro_Diario[Fecha],"&gt;="&amp;'Libro Mayor'!EV$9,Libro_Diario[Fecha],"&lt;="&amp;EOMONTH('Libro Mayor'!EV$9,0))</f>
        <v>0</v>
      </c>
      <c r="EW10" s="24">
        <f>SUMIFS(Libro_Diario[[Cantidad ]],Libro_Diario[[Tipo ]],Ingresos[[#Headers],[Ingresos]],Libro_Diario[[Categoria ]],Ingresos[[#This Row],[Ingresos]],Libro_Diario[Fecha],"&gt;="&amp;'Libro Mayor'!EW$9,Libro_Diario[Fecha],"&lt;="&amp;EOMONTH('Libro Mayor'!EW$9,0))</f>
        <v>0</v>
      </c>
      <c r="EX10" s="24">
        <f>SUMIFS(Libro_Diario[[Cantidad ]],Libro_Diario[[Tipo ]],Ingresos[[#Headers],[Ingresos]],Libro_Diario[[Categoria ]],Ingresos[[#This Row],[Ingresos]],Libro_Diario[Fecha],"&gt;="&amp;'Libro Mayor'!EX$9,Libro_Diario[Fecha],"&lt;="&amp;EOMONTH('Libro Mayor'!EX$9,0))</f>
        <v>0</v>
      </c>
      <c r="EY10" s="24">
        <f>SUMIFS(Libro_Diario[[Cantidad ]],Libro_Diario[[Tipo ]],Ingresos[[#Headers],[Ingresos]],Libro_Diario[[Categoria ]],Ingresos[[#This Row],[Ingresos]],Libro_Diario[Fecha],"&gt;="&amp;'Libro Mayor'!EY$9,Libro_Diario[Fecha],"&lt;="&amp;EOMONTH('Libro Mayor'!EY$9,0))</f>
        <v>0</v>
      </c>
      <c r="EZ10" s="24">
        <f>SUMIFS(Libro_Diario[[Cantidad ]],Libro_Diario[[Tipo ]],Ingresos[[#Headers],[Ingresos]],Libro_Diario[[Categoria ]],Ingresos[[#This Row],[Ingresos]],Libro_Diario[Fecha],"&gt;="&amp;'Libro Mayor'!EZ$9,Libro_Diario[Fecha],"&lt;="&amp;EOMONTH('Libro Mayor'!EZ$9,0))</f>
        <v>0</v>
      </c>
      <c r="FA10" s="25">
        <f>SUM(EO10:EZ10)</f>
        <v>0</v>
      </c>
    </row>
    <row r="11" spans="3:157" x14ac:dyDescent="0.3">
      <c r="C11" s="17" t="s">
        <v>9</v>
      </c>
      <c r="D11" s="23"/>
      <c r="E11" s="24">
        <f>SUMIFS(Libro_Diario[[Cantidad ]],Libro_Diario[[Tipo ]],Ingresos[[#Headers],[Ingresos]],Libro_Diario[[Categoria ]],Ingresos[[#This Row],[Ingresos]],Libro_Diario[Fecha],"&gt;="&amp;'Libro Mayor'!E$9,Libro_Diario[Fecha],"&lt;="&amp;EOMONTH('Libro Mayor'!E$9,0))</f>
        <v>0</v>
      </c>
      <c r="F11" s="24">
        <f>SUMIFS(Libro_Diario[[Cantidad ]],Libro_Diario[[Tipo ]],Ingresos[[#Headers],[Ingresos]],Libro_Diario[[Categoria ]],Ingresos[[#This Row],[Ingresos]],Libro_Diario[Fecha],"&gt;="&amp;'Libro Mayor'!F$9,Libro_Diario[Fecha],"&lt;="&amp;EOMONTH('Libro Mayor'!F$9,0))</f>
        <v>0</v>
      </c>
      <c r="G11" s="24">
        <f>SUMIFS(Libro_Diario[[Cantidad ]],Libro_Diario[[Tipo ]],Ingresos[[#Headers],[Ingresos]],Libro_Diario[[Categoria ]],Ingresos[[#This Row],[Ingresos]],Libro_Diario[Fecha],"&gt;="&amp;'Libro Mayor'!G$9,Libro_Diario[Fecha],"&lt;="&amp;EOMONTH('Libro Mayor'!G$9,0))</f>
        <v>0</v>
      </c>
      <c r="H11" s="24">
        <f>SUMIFS(Libro_Diario[[Cantidad ]],Libro_Diario[[Tipo ]],Ingresos[[#Headers],[Ingresos]],Libro_Diario[[Categoria ]],Ingresos[[#This Row],[Ingresos]],Libro_Diario[Fecha],"&gt;="&amp;'Libro Mayor'!H$9,Libro_Diario[Fecha],"&lt;="&amp;EOMONTH('Libro Mayor'!H$9,0))</f>
        <v>0</v>
      </c>
      <c r="I11" s="24">
        <f>SUMIFS(Libro_Diario[[Cantidad ]],Libro_Diario[[Tipo ]],Ingresos[[#Headers],[Ingresos]],Libro_Diario[[Categoria ]],Ingresos[[#This Row],[Ingresos]],Libro_Diario[Fecha],"&gt;="&amp;'Libro Mayor'!I$9,Libro_Diario[Fecha],"&lt;="&amp;EOMONTH('Libro Mayor'!I$9,0))</f>
        <v>0</v>
      </c>
      <c r="J11" s="24">
        <f>SUMIFS(Libro_Diario[[Cantidad ]],Libro_Diario[[Tipo ]],Ingresos[[#Headers],[Ingresos]],Libro_Diario[[Categoria ]],Ingresos[[#This Row],[Ingresos]],Libro_Diario[Fecha],"&gt;="&amp;'Libro Mayor'!J$9,Libro_Diario[Fecha],"&lt;="&amp;EOMONTH('Libro Mayor'!J$9,0))</f>
        <v>0</v>
      </c>
      <c r="K11" s="24">
        <f>SUMIFS(Libro_Diario[[Cantidad ]],Libro_Diario[[Tipo ]],Ingresos[[#Headers],[Ingresos]],Libro_Diario[[Categoria ]],Ingresos[[#This Row],[Ingresos]],Libro_Diario[Fecha],"&gt;="&amp;'Libro Mayor'!K$9,Libro_Diario[Fecha],"&lt;="&amp;EOMONTH('Libro Mayor'!K$9,0))</f>
        <v>0</v>
      </c>
      <c r="L11" s="24">
        <f>SUMIFS(Libro_Diario[[Cantidad ]],Libro_Diario[[Tipo ]],Ingresos[[#Headers],[Ingresos]],Libro_Diario[[Categoria ]],Ingresos[[#This Row],[Ingresos]],Libro_Diario[Fecha],"&gt;="&amp;'Libro Mayor'!L$9,Libro_Diario[Fecha],"&lt;="&amp;EOMONTH('Libro Mayor'!L$9,0))</f>
        <v>0</v>
      </c>
      <c r="M11" s="24">
        <f>SUMIFS(Libro_Diario[[Cantidad ]],Libro_Diario[[Tipo ]],Ingresos[[#Headers],[Ingresos]],Libro_Diario[[Categoria ]],Ingresos[[#This Row],[Ingresos]],Libro_Diario[Fecha],"&gt;="&amp;'Libro Mayor'!M$9,Libro_Diario[Fecha],"&lt;="&amp;EOMONTH('Libro Mayor'!M$9,0))</f>
        <v>0</v>
      </c>
      <c r="N11" s="24">
        <f>SUMIFS(Libro_Diario[[Cantidad ]],Libro_Diario[[Tipo ]],Ingresos[[#Headers],[Ingresos]],Libro_Diario[[Categoria ]],Ingresos[[#This Row],[Ingresos]],Libro_Diario[Fecha],"&gt;="&amp;'Libro Mayor'!N$9,Libro_Diario[Fecha],"&lt;="&amp;EOMONTH('Libro Mayor'!N$9,0))</f>
        <v>0</v>
      </c>
      <c r="O11" s="24">
        <f>SUMIFS(Libro_Diario[[Cantidad ]],Libro_Diario[[Tipo ]],Ingresos[[#Headers],[Ingresos]],Libro_Diario[[Categoria ]],Ingresos[[#This Row],[Ingresos]],Libro_Diario[Fecha],"&gt;="&amp;'Libro Mayor'!O$9,Libro_Diario[Fecha],"&lt;="&amp;EOMONTH('Libro Mayor'!O$9,0))</f>
        <v>0</v>
      </c>
      <c r="P11" s="24">
        <f>SUMIFS(Libro_Diario[[Cantidad ]],Libro_Diario[[Tipo ]],Ingresos[[#Headers],[Ingresos]],Libro_Diario[[Categoria ]],Ingresos[[#This Row],[Ingresos]],Libro_Diario[Fecha],"&gt;="&amp;'Libro Mayor'!P$9,Libro_Diario[Fecha],"&lt;="&amp;EOMONTH('Libro Mayor'!P$9,0))</f>
        <v>0</v>
      </c>
      <c r="Q11" s="25">
        <f>SUM(E11:P11)</f>
        <v>0</v>
      </c>
      <c r="S11" s="24">
        <f>SUMIFS(Libro_Diario[[Cantidad ]],Libro_Diario[[Tipo ]],Ingresos[[#Headers],[Ingresos]],Libro_Diario[[Categoria ]],Ingresos[[#This Row],[Ingresos]],Libro_Diario[Fecha],"&gt;="&amp;'Libro Mayor'!S$9,Libro_Diario[Fecha],"&lt;="&amp;EOMONTH('Libro Mayor'!S$9,0))</f>
        <v>0</v>
      </c>
      <c r="T11" s="24">
        <f>SUMIFS(Libro_Diario[[Cantidad ]],Libro_Diario[[Tipo ]],Ingresos[[#Headers],[Ingresos]],Libro_Diario[[Categoria ]],Ingresos[[#This Row],[Ingresos]],Libro_Diario[Fecha],"&gt;="&amp;'Libro Mayor'!T$9,Libro_Diario[Fecha],"&lt;="&amp;EOMONTH('Libro Mayor'!T$9,0))</f>
        <v>0</v>
      </c>
      <c r="U11" s="24">
        <f>SUMIFS(Libro_Diario[[Cantidad ]],Libro_Diario[[Tipo ]],Ingresos[[#Headers],[Ingresos]],Libro_Diario[[Categoria ]],Ingresos[[#This Row],[Ingresos]],Libro_Diario[Fecha],"&gt;="&amp;'Libro Mayor'!U$9,Libro_Diario[Fecha],"&lt;="&amp;EOMONTH('Libro Mayor'!U$9,0))</f>
        <v>0</v>
      </c>
      <c r="V11" s="24">
        <f>SUMIFS(Libro_Diario[[Cantidad ]],Libro_Diario[[Tipo ]],Ingresos[[#Headers],[Ingresos]],Libro_Diario[[Categoria ]],Ingresos[[#This Row],[Ingresos]],Libro_Diario[Fecha],"&gt;="&amp;'Libro Mayor'!V$9,Libro_Diario[Fecha],"&lt;="&amp;EOMONTH('Libro Mayor'!V$9,0))</f>
        <v>0</v>
      </c>
      <c r="W11" s="24">
        <f>SUMIFS(Libro_Diario[[Cantidad ]],Libro_Diario[[Tipo ]],Ingresos[[#Headers],[Ingresos]],Libro_Diario[[Categoria ]],Ingresos[[#This Row],[Ingresos]],Libro_Diario[Fecha],"&gt;="&amp;'Libro Mayor'!W$9,Libro_Diario[Fecha],"&lt;="&amp;EOMONTH('Libro Mayor'!W$9,0))</f>
        <v>0</v>
      </c>
      <c r="X11" s="24">
        <f>SUMIFS(Libro_Diario[[Cantidad ]],Libro_Diario[[Tipo ]],Ingresos[[#Headers],[Ingresos]],Libro_Diario[[Categoria ]],Ingresos[[#This Row],[Ingresos]],Libro_Diario[Fecha],"&gt;="&amp;'Libro Mayor'!X$9,Libro_Diario[Fecha],"&lt;="&amp;EOMONTH('Libro Mayor'!X$9,0))</f>
        <v>0</v>
      </c>
      <c r="Y11" s="24">
        <f>SUMIFS(Libro_Diario[[Cantidad ]],Libro_Diario[[Tipo ]],Ingresos[[#Headers],[Ingresos]],Libro_Diario[[Categoria ]],Ingresos[[#This Row],[Ingresos]],Libro_Diario[Fecha],"&gt;="&amp;'Libro Mayor'!Y$9,Libro_Diario[Fecha],"&lt;="&amp;EOMONTH('Libro Mayor'!Y$9,0))</f>
        <v>0</v>
      </c>
      <c r="Z11" s="24">
        <f>SUMIFS(Libro_Diario[[Cantidad ]],Libro_Diario[[Tipo ]],Ingresos[[#Headers],[Ingresos]],Libro_Diario[[Categoria ]],Ingresos[[#This Row],[Ingresos]],Libro_Diario[Fecha],"&gt;="&amp;'Libro Mayor'!Z$9,Libro_Diario[Fecha],"&lt;="&amp;EOMONTH('Libro Mayor'!Z$9,0))</f>
        <v>0</v>
      </c>
      <c r="AA11" s="24">
        <f>SUMIFS(Libro_Diario[[Cantidad ]],Libro_Diario[[Tipo ]],Ingresos[[#Headers],[Ingresos]],Libro_Diario[[Categoria ]],Ingresos[[#This Row],[Ingresos]],Libro_Diario[Fecha],"&gt;="&amp;'Libro Mayor'!AA$9,Libro_Diario[Fecha],"&lt;="&amp;EOMONTH('Libro Mayor'!AA$9,0))</f>
        <v>0</v>
      </c>
      <c r="AB11" s="24">
        <f>SUMIFS(Libro_Diario[[Cantidad ]],Libro_Diario[[Tipo ]],Ingresos[[#Headers],[Ingresos]],Libro_Diario[[Categoria ]],Ingresos[[#This Row],[Ingresos]],Libro_Diario[Fecha],"&gt;="&amp;'Libro Mayor'!AB$9,Libro_Diario[Fecha],"&lt;="&amp;EOMONTH('Libro Mayor'!AB$9,0))</f>
        <v>0</v>
      </c>
      <c r="AC11" s="24">
        <f>SUMIFS(Libro_Diario[[Cantidad ]],Libro_Diario[[Tipo ]],Ingresos[[#Headers],[Ingresos]],Libro_Diario[[Categoria ]],Ingresos[[#This Row],[Ingresos]],Libro_Diario[Fecha],"&gt;="&amp;'Libro Mayor'!AC$9,Libro_Diario[Fecha],"&lt;="&amp;EOMONTH('Libro Mayor'!AC$9,0))</f>
        <v>0</v>
      </c>
      <c r="AD11" s="24">
        <f>SUMIFS(Libro_Diario[[Cantidad ]],Libro_Diario[[Tipo ]],Ingresos[[#Headers],[Ingresos]],Libro_Diario[[Categoria ]],Ingresos[[#This Row],[Ingresos]],Libro_Diario[Fecha],"&gt;="&amp;'Libro Mayor'!AD$9,Libro_Diario[Fecha],"&lt;="&amp;EOMONTH('Libro Mayor'!AD$9,0))</f>
        <v>0</v>
      </c>
      <c r="AE11" s="25">
        <f>SUM(S11:AD11)</f>
        <v>0</v>
      </c>
      <c r="AG11" s="24">
        <f>SUMIFS(Libro_Diario[[Cantidad ]],Libro_Diario[[Tipo ]],Ingresos[[#Headers],[Ingresos]],Libro_Diario[[Categoria ]],Ingresos[[#This Row],[Ingresos]],Libro_Diario[Fecha],"&gt;="&amp;'Libro Mayor'!AG$9,Libro_Diario[Fecha],"&lt;="&amp;EOMONTH('Libro Mayor'!AG$9,0))</f>
        <v>0</v>
      </c>
      <c r="AH11" s="24">
        <f>SUMIFS(Libro_Diario[[Cantidad ]],Libro_Diario[[Tipo ]],Ingresos[[#Headers],[Ingresos]],Libro_Diario[[Categoria ]],Ingresos[[#This Row],[Ingresos]],Libro_Diario[Fecha],"&gt;="&amp;'Libro Mayor'!AH$9,Libro_Diario[Fecha],"&lt;="&amp;EOMONTH('Libro Mayor'!AH$9,0))</f>
        <v>0</v>
      </c>
      <c r="AI11" s="24">
        <f>SUMIFS(Libro_Diario[[Cantidad ]],Libro_Diario[[Tipo ]],Ingresos[[#Headers],[Ingresos]],Libro_Diario[[Categoria ]],Ingresos[[#This Row],[Ingresos]],Libro_Diario[Fecha],"&gt;="&amp;'Libro Mayor'!AI$9,Libro_Diario[Fecha],"&lt;="&amp;EOMONTH('Libro Mayor'!AI$9,0))</f>
        <v>0</v>
      </c>
      <c r="AJ11" s="24">
        <f>SUMIFS(Libro_Diario[[Cantidad ]],Libro_Diario[[Tipo ]],Ingresos[[#Headers],[Ingresos]],Libro_Diario[[Categoria ]],Ingresos[[#This Row],[Ingresos]],Libro_Diario[Fecha],"&gt;="&amp;'Libro Mayor'!AJ$9,Libro_Diario[Fecha],"&lt;="&amp;EOMONTH('Libro Mayor'!AJ$9,0))</f>
        <v>0</v>
      </c>
      <c r="AK11" s="24">
        <f>SUMIFS(Libro_Diario[[Cantidad ]],Libro_Diario[[Tipo ]],Ingresos[[#Headers],[Ingresos]],Libro_Diario[[Categoria ]],Ingresos[[#This Row],[Ingresos]],Libro_Diario[Fecha],"&gt;="&amp;'Libro Mayor'!AK$9,Libro_Diario[Fecha],"&lt;="&amp;EOMONTH('Libro Mayor'!AK$9,0))</f>
        <v>0</v>
      </c>
      <c r="AL11" s="24">
        <f>SUMIFS(Libro_Diario[[Cantidad ]],Libro_Diario[[Tipo ]],Ingresos[[#Headers],[Ingresos]],Libro_Diario[[Categoria ]],Ingresos[[#This Row],[Ingresos]],Libro_Diario[Fecha],"&gt;="&amp;'Libro Mayor'!AL$9,Libro_Diario[Fecha],"&lt;="&amp;EOMONTH('Libro Mayor'!AL$9,0))</f>
        <v>0</v>
      </c>
      <c r="AM11" s="24">
        <f>SUMIFS(Libro_Diario[[Cantidad ]],Libro_Diario[[Tipo ]],Ingresos[[#Headers],[Ingresos]],Libro_Diario[[Categoria ]],Ingresos[[#This Row],[Ingresos]],Libro_Diario[Fecha],"&gt;="&amp;'Libro Mayor'!AM$9,Libro_Diario[Fecha],"&lt;="&amp;EOMONTH('Libro Mayor'!AM$9,0))</f>
        <v>0</v>
      </c>
      <c r="AN11" s="24">
        <f>SUMIFS(Libro_Diario[[Cantidad ]],Libro_Diario[[Tipo ]],Ingresos[[#Headers],[Ingresos]],Libro_Diario[[Categoria ]],Ingresos[[#This Row],[Ingresos]],Libro_Diario[Fecha],"&gt;="&amp;'Libro Mayor'!AN$9,Libro_Diario[Fecha],"&lt;="&amp;EOMONTH('Libro Mayor'!AN$9,0))</f>
        <v>0</v>
      </c>
      <c r="AO11" s="24">
        <f>SUMIFS(Libro_Diario[[Cantidad ]],Libro_Diario[[Tipo ]],Ingresos[[#Headers],[Ingresos]],Libro_Diario[[Categoria ]],Ingresos[[#This Row],[Ingresos]],Libro_Diario[Fecha],"&gt;="&amp;'Libro Mayor'!AO$9,Libro_Diario[Fecha],"&lt;="&amp;EOMONTH('Libro Mayor'!AO$9,0))</f>
        <v>0</v>
      </c>
      <c r="AP11" s="24">
        <f>SUMIFS(Libro_Diario[[Cantidad ]],Libro_Diario[[Tipo ]],Ingresos[[#Headers],[Ingresos]],Libro_Diario[[Categoria ]],Ingresos[[#This Row],[Ingresos]],Libro_Diario[Fecha],"&gt;="&amp;'Libro Mayor'!AP$9,Libro_Diario[Fecha],"&lt;="&amp;EOMONTH('Libro Mayor'!AP$9,0))</f>
        <v>0</v>
      </c>
      <c r="AQ11" s="24">
        <f>SUMIFS(Libro_Diario[[Cantidad ]],Libro_Diario[[Tipo ]],Ingresos[[#Headers],[Ingresos]],Libro_Diario[[Categoria ]],Ingresos[[#This Row],[Ingresos]],Libro_Diario[Fecha],"&gt;="&amp;'Libro Mayor'!AQ$9,Libro_Diario[Fecha],"&lt;="&amp;EOMONTH('Libro Mayor'!AQ$9,0))</f>
        <v>0</v>
      </c>
      <c r="AR11" s="24">
        <f>SUMIFS(Libro_Diario[[Cantidad ]],Libro_Diario[[Tipo ]],Ingresos[[#Headers],[Ingresos]],Libro_Diario[[Categoria ]],Ingresos[[#This Row],[Ingresos]],Libro_Diario[Fecha],"&gt;="&amp;'Libro Mayor'!AR$9,Libro_Diario[Fecha],"&lt;="&amp;EOMONTH('Libro Mayor'!AR$9,0))</f>
        <v>0</v>
      </c>
      <c r="AS11" s="25">
        <f>SUM(AG11:AR11)</f>
        <v>0</v>
      </c>
      <c r="AU11" s="24">
        <f>SUMIFS(Libro_Diario[[Cantidad ]],Libro_Diario[[Tipo ]],Ingresos[[#Headers],[Ingresos]],Libro_Diario[[Categoria ]],Ingresos[[#This Row],[Ingresos]],Libro_Diario[Fecha],"&gt;="&amp;'Libro Mayor'!AU$9,Libro_Diario[Fecha],"&lt;="&amp;EOMONTH('Libro Mayor'!AU$9,0))</f>
        <v>0</v>
      </c>
      <c r="AV11" s="24">
        <f>SUMIFS(Libro_Diario[[Cantidad ]],Libro_Diario[[Tipo ]],Ingresos[[#Headers],[Ingresos]],Libro_Diario[[Categoria ]],Ingresos[[#This Row],[Ingresos]],Libro_Diario[Fecha],"&gt;="&amp;'Libro Mayor'!AV$9,Libro_Diario[Fecha],"&lt;="&amp;EOMONTH('Libro Mayor'!AV$9,0))</f>
        <v>0</v>
      </c>
      <c r="AW11" s="24">
        <f>SUMIFS(Libro_Diario[[Cantidad ]],Libro_Diario[[Tipo ]],Ingresos[[#Headers],[Ingresos]],Libro_Diario[[Categoria ]],Ingresos[[#This Row],[Ingresos]],Libro_Diario[Fecha],"&gt;="&amp;'Libro Mayor'!AW$9,Libro_Diario[Fecha],"&lt;="&amp;EOMONTH('Libro Mayor'!AW$9,0))</f>
        <v>0</v>
      </c>
      <c r="AX11" s="24">
        <f>SUMIFS(Libro_Diario[[Cantidad ]],Libro_Diario[[Tipo ]],Ingresos[[#Headers],[Ingresos]],Libro_Diario[[Categoria ]],Ingresos[[#This Row],[Ingresos]],Libro_Diario[Fecha],"&gt;="&amp;'Libro Mayor'!AX$9,Libro_Diario[Fecha],"&lt;="&amp;EOMONTH('Libro Mayor'!AX$9,0))</f>
        <v>0</v>
      </c>
      <c r="AY11" s="24">
        <f>SUMIFS(Libro_Diario[[Cantidad ]],Libro_Diario[[Tipo ]],Ingresos[[#Headers],[Ingresos]],Libro_Diario[[Categoria ]],Ingresos[[#This Row],[Ingresos]],Libro_Diario[Fecha],"&gt;="&amp;'Libro Mayor'!AY$9,Libro_Diario[Fecha],"&lt;="&amp;EOMONTH('Libro Mayor'!AY$9,0))</f>
        <v>0</v>
      </c>
      <c r="AZ11" s="24">
        <f>SUMIFS(Libro_Diario[[Cantidad ]],Libro_Diario[[Tipo ]],Ingresos[[#Headers],[Ingresos]],Libro_Diario[[Categoria ]],Ingresos[[#This Row],[Ingresos]],Libro_Diario[Fecha],"&gt;="&amp;'Libro Mayor'!AZ$9,Libro_Diario[Fecha],"&lt;="&amp;EOMONTH('Libro Mayor'!AZ$9,0))</f>
        <v>0</v>
      </c>
      <c r="BA11" s="24">
        <f>SUMIFS(Libro_Diario[[Cantidad ]],Libro_Diario[[Tipo ]],Ingresos[[#Headers],[Ingresos]],Libro_Diario[[Categoria ]],Ingresos[[#This Row],[Ingresos]],Libro_Diario[Fecha],"&gt;="&amp;'Libro Mayor'!BA$9,Libro_Diario[Fecha],"&lt;="&amp;EOMONTH('Libro Mayor'!BA$9,0))</f>
        <v>0</v>
      </c>
      <c r="BB11" s="24">
        <f>SUMIFS(Libro_Diario[[Cantidad ]],Libro_Diario[[Tipo ]],Ingresos[[#Headers],[Ingresos]],Libro_Diario[[Categoria ]],Ingresos[[#This Row],[Ingresos]],Libro_Diario[Fecha],"&gt;="&amp;'Libro Mayor'!BB$9,Libro_Diario[Fecha],"&lt;="&amp;EOMONTH('Libro Mayor'!BB$9,0))</f>
        <v>0</v>
      </c>
      <c r="BC11" s="24">
        <f>SUMIFS(Libro_Diario[[Cantidad ]],Libro_Diario[[Tipo ]],Ingresos[[#Headers],[Ingresos]],Libro_Diario[[Categoria ]],Ingresos[[#This Row],[Ingresos]],Libro_Diario[Fecha],"&gt;="&amp;'Libro Mayor'!BC$9,Libro_Diario[Fecha],"&lt;="&amp;EOMONTH('Libro Mayor'!BC$9,0))</f>
        <v>0</v>
      </c>
      <c r="BD11" s="24">
        <f>SUMIFS(Libro_Diario[[Cantidad ]],Libro_Diario[[Tipo ]],Ingresos[[#Headers],[Ingresos]],Libro_Diario[[Categoria ]],Ingresos[[#This Row],[Ingresos]],Libro_Diario[Fecha],"&gt;="&amp;'Libro Mayor'!BD$9,Libro_Diario[Fecha],"&lt;="&amp;EOMONTH('Libro Mayor'!BD$9,0))</f>
        <v>0</v>
      </c>
      <c r="BE11" s="24">
        <f>SUMIFS(Libro_Diario[[Cantidad ]],Libro_Diario[[Tipo ]],Ingresos[[#Headers],[Ingresos]],Libro_Diario[[Categoria ]],Ingresos[[#This Row],[Ingresos]],Libro_Diario[Fecha],"&gt;="&amp;'Libro Mayor'!BE$9,Libro_Diario[Fecha],"&lt;="&amp;EOMONTH('Libro Mayor'!BE$9,0))</f>
        <v>0</v>
      </c>
      <c r="BF11" s="24">
        <f>SUMIFS(Libro_Diario[[Cantidad ]],Libro_Diario[[Tipo ]],Ingresos[[#Headers],[Ingresos]],Libro_Diario[[Categoria ]],Ingresos[[#This Row],[Ingresos]],Libro_Diario[Fecha],"&gt;="&amp;'Libro Mayor'!BF$9,Libro_Diario[Fecha],"&lt;="&amp;EOMONTH('Libro Mayor'!BF$9,0))</f>
        <v>0</v>
      </c>
      <c r="BG11" s="25">
        <f>SUM(AU11:BF11)</f>
        <v>0</v>
      </c>
      <c r="BI11" s="24">
        <f>SUMIFS(Libro_Diario[[Cantidad ]],Libro_Diario[[Tipo ]],Ingresos[[#Headers],[Ingresos]],Libro_Diario[[Categoria ]],Ingresos[[#This Row],[Ingresos]],Libro_Diario[Fecha],"&gt;="&amp;'Libro Mayor'!BI$9,Libro_Diario[Fecha],"&lt;="&amp;EOMONTH('Libro Mayor'!BI$9,0))</f>
        <v>0</v>
      </c>
      <c r="BJ11" s="24">
        <f>SUMIFS(Libro_Diario[[Cantidad ]],Libro_Diario[[Tipo ]],Ingresos[[#Headers],[Ingresos]],Libro_Diario[[Categoria ]],Ingresos[[#This Row],[Ingresos]],Libro_Diario[Fecha],"&gt;="&amp;'Libro Mayor'!BJ$9,Libro_Diario[Fecha],"&lt;="&amp;EOMONTH('Libro Mayor'!BJ$9,0))</f>
        <v>0</v>
      </c>
      <c r="BK11" s="24">
        <f>SUMIFS(Libro_Diario[[Cantidad ]],Libro_Diario[[Tipo ]],Ingresos[[#Headers],[Ingresos]],Libro_Diario[[Categoria ]],Ingresos[[#This Row],[Ingresos]],Libro_Diario[Fecha],"&gt;="&amp;'Libro Mayor'!BK$9,Libro_Diario[Fecha],"&lt;="&amp;EOMONTH('Libro Mayor'!BK$9,0))</f>
        <v>0</v>
      </c>
      <c r="BL11" s="24">
        <f>SUMIFS(Libro_Diario[[Cantidad ]],Libro_Diario[[Tipo ]],Ingresos[[#Headers],[Ingresos]],Libro_Diario[[Categoria ]],Ingresos[[#This Row],[Ingresos]],Libro_Diario[Fecha],"&gt;="&amp;'Libro Mayor'!BL$9,Libro_Diario[Fecha],"&lt;="&amp;EOMONTH('Libro Mayor'!BL$9,0))</f>
        <v>0</v>
      </c>
      <c r="BM11" s="24">
        <f>SUMIFS(Libro_Diario[[Cantidad ]],Libro_Diario[[Tipo ]],Ingresos[[#Headers],[Ingresos]],Libro_Diario[[Categoria ]],Ingresos[[#This Row],[Ingresos]],Libro_Diario[Fecha],"&gt;="&amp;'Libro Mayor'!BM$9,Libro_Diario[Fecha],"&lt;="&amp;EOMONTH('Libro Mayor'!BM$9,0))</f>
        <v>0</v>
      </c>
      <c r="BN11" s="24">
        <f>SUMIFS(Libro_Diario[[Cantidad ]],Libro_Diario[[Tipo ]],Ingresos[[#Headers],[Ingresos]],Libro_Diario[[Categoria ]],Ingresos[[#This Row],[Ingresos]],Libro_Diario[Fecha],"&gt;="&amp;'Libro Mayor'!BN$9,Libro_Diario[Fecha],"&lt;="&amp;EOMONTH('Libro Mayor'!BN$9,0))</f>
        <v>0</v>
      </c>
      <c r="BO11" s="24">
        <f>SUMIFS(Libro_Diario[[Cantidad ]],Libro_Diario[[Tipo ]],Ingresos[[#Headers],[Ingresos]],Libro_Diario[[Categoria ]],Ingresos[[#This Row],[Ingresos]],Libro_Diario[Fecha],"&gt;="&amp;'Libro Mayor'!BO$9,Libro_Diario[Fecha],"&lt;="&amp;EOMONTH('Libro Mayor'!BO$9,0))</f>
        <v>0</v>
      </c>
      <c r="BP11" s="24">
        <f>SUMIFS(Libro_Diario[[Cantidad ]],Libro_Diario[[Tipo ]],Ingresos[[#Headers],[Ingresos]],Libro_Diario[[Categoria ]],Ingresos[[#This Row],[Ingresos]],Libro_Diario[Fecha],"&gt;="&amp;'Libro Mayor'!BP$9,Libro_Diario[Fecha],"&lt;="&amp;EOMONTH('Libro Mayor'!BP$9,0))</f>
        <v>0</v>
      </c>
      <c r="BQ11" s="24">
        <f>SUMIFS(Libro_Diario[[Cantidad ]],Libro_Diario[[Tipo ]],Ingresos[[#Headers],[Ingresos]],Libro_Diario[[Categoria ]],Ingresos[[#This Row],[Ingresos]],Libro_Diario[Fecha],"&gt;="&amp;'Libro Mayor'!BQ$9,Libro_Diario[Fecha],"&lt;="&amp;EOMONTH('Libro Mayor'!BQ$9,0))</f>
        <v>0</v>
      </c>
      <c r="BR11" s="24">
        <f>SUMIFS(Libro_Diario[[Cantidad ]],Libro_Diario[[Tipo ]],Ingresos[[#Headers],[Ingresos]],Libro_Diario[[Categoria ]],Ingresos[[#This Row],[Ingresos]],Libro_Diario[Fecha],"&gt;="&amp;'Libro Mayor'!BR$9,Libro_Diario[Fecha],"&lt;="&amp;EOMONTH('Libro Mayor'!BR$9,0))</f>
        <v>0</v>
      </c>
      <c r="BS11" s="24">
        <f>SUMIFS(Libro_Diario[[Cantidad ]],Libro_Diario[[Tipo ]],Ingresos[[#Headers],[Ingresos]],Libro_Diario[[Categoria ]],Ingresos[[#This Row],[Ingresos]],Libro_Diario[Fecha],"&gt;="&amp;'Libro Mayor'!BS$9,Libro_Diario[Fecha],"&lt;="&amp;EOMONTH('Libro Mayor'!BS$9,0))</f>
        <v>0</v>
      </c>
      <c r="BT11" s="24">
        <f>SUMIFS(Libro_Diario[[Cantidad ]],Libro_Diario[[Tipo ]],Ingresos[[#Headers],[Ingresos]],Libro_Diario[[Categoria ]],Ingresos[[#This Row],[Ingresos]],Libro_Diario[Fecha],"&gt;="&amp;'Libro Mayor'!BT$9,Libro_Diario[Fecha],"&lt;="&amp;EOMONTH('Libro Mayor'!BT$9,0))</f>
        <v>0</v>
      </c>
      <c r="BU11" s="25">
        <f>SUM(BI11:BT11)</f>
        <v>0</v>
      </c>
      <c r="BW11" s="24">
        <f>SUMIFS(Libro_Diario[[Cantidad ]],Libro_Diario[[Tipo ]],Ingresos[[#Headers],[Ingresos]],Libro_Diario[[Categoria ]],Ingresos[[#This Row],[Ingresos]],Libro_Diario[Fecha],"&gt;="&amp;'Libro Mayor'!BW$9,Libro_Diario[Fecha],"&lt;="&amp;EOMONTH('Libro Mayor'!BW$9,0))</f>
        <v>0</v>
      </c>
      <c r="BX11" s="24">
        <f>SUMIFS(Libro_Diario[[Cantidad ]],Libro_Diario[[Tipo ]],Ingresos[[#Headers],[Ingresos]],Libro_Diario[[Categoria ]],Ingresos[[#This Row],[Ingresos]],Libro_Diario[Fecha],"&gt;="&amp;'Libro Mayor'!BX$9,Libro_Diario[Fecha],"&lt;="&amp;EOMONTH('Libro Mayor'!BX$9,0))</f>
        <v>0</v>
      </c>
      <c r="BY11" s="24">
        <f>SUMIFS(Libro_Diario[[Cantidad ]],Libro_Diario[[Tipo ]],Ingresos[[#Headers],[Ingresos]],Libro_Diario[[Categoria ]],Ingresos[[#This Row],[Ingresos]],Libro_Diario[Fecha],"&gt;="&amp;'Libro Mayor'!BY$9,Libro_Diario[Fecha],"&lt;="&amp;EOMONTH('Libro Mayor'!BY$9,0))</f>
        <v>0</v>
      </c>
      <c r="BZ11" s="24">
        <f>SUMIFS(Libro_Diario[[Cantidad ]],Libro_Diario[[Tipo ]],Ingresos[[#Headers],[Ingresos]],Libro_Diario[[Categoria ]],Ingresos[[#This Row],[Ingresos]],Libro_Diario[Fecha],"&gt;="&amp;'Libro Mayor'!BZ$9,Libro_Diario[Fecha],"&lt;="&amp;EOMONTH('Libro Mayor'!BZ$9,0))</f>
        <v>0</v>
      </c>
      <c r="CA11" s="24">
        <f>SUMIFS(Libro_Diario[[Cantidad ]],Libro_Diario[[Tipo ]],Ingresos[[#Headers],[Ingresos]],Libro_Diario[[Categoria ]],Ingresos[[#This Row],[Ingresos]],Libro_Diario[Fecha],"&gt;="&amp;'Libro Mayor'!CA$9,Libro_Diario[Fecha],"&lt;="&amp;EOMONTH('Libro Mayor'!CA$9,0))</f>
        <v>0</v>
      </c>
      <c r="CB11" s="24">
        <f>SUMIFS(Libro_Diario[[Cantidad ]],Libro_Diario[[Tipo ]],Ingresos[[#Headers],[Ingresos]],Libro_Diario[[Categoria ]],Ingresos[[#This Row],[Ingresos]],Libro_Diario[Fecha],"&gt;="&amp;'Libro Mayor'!CB$9,Libro_Diario[Fecha],"&lt;="&amp;EOMONTH('Libro Mayor'!CB$9,0))</f>
        <v>0</v>
      </c>
      <c r="CC11" s="24">
        <f>SUMIFS(Libro_Diario[[Cantidad ]],Libro_Diario[[Tipo ]],Ingresos[[#Headers],[Ingresos]],Libro_Diario[[Categoria ]],Ingresos[[#This Row],[Ingresos]],Libro_Diario[Fecha],"&gt;="&amp;'Libro Mayor'!CC$9,Libro_Diario[Fecha],"&lt;="&amp;EOMONTH('Libro Mayor'!CC$9,0))</f>
        <v>0</v>
      </c>
      <c r="CD11" s="24">
        <f>SUMIFS(Libro_Diario[[Cantidad ]],Libro_Diario[[Tipo ]],Ingresos[[#Headers],[Ingresos]],Libro_Diario[[Categoria ]],Ingresos[[#This Row],[Ingresos]],Libro_Diario[Fecha],"&gt;="&amp;'Libro Mayor'!CD$9,Libro_Diario[Fecha],"&lt;="&amp;EOMONTH('Libro Mayor'!CD$9,0))</f>
        <v>0</v>
      </c>
      <c r="CE11" s="24">
        <f>SUMIFS(Libro_Diario[[Cantidad ]],Libro_Diario[[Tipo ]],Ingresos[[#Headers],[Ingresos]],Libro_Diario[[Categoria ]],Ingresos[[#This Row],[Ingresos]],Libro_Diario[Fecha],"&gt;="&amp;'Libro Mayor'!CE$9,Libro_Diario[Fecha],"&lt;="&amp;EOMONTH('Libro Mayor'!CE$9,0))</f>
        <v>0</v>
      </c>
      <c r="CF11" s="24">
        <f>SUMIFS(Libro_Diario[[Cantidad ]],Libro_Diario[[Tipo ]],Ingresos[[#Headers],[Ingresos]],Libro_Diario[[Categoria ]],Ingresos[[#This Row],[Ingresos]],Libro_Diario[Fecha],"&gt;="&amp;'Libro Mayor'!CF$9,Libro_Diario[Fecha],"&lt;="&amp;EOMONTH('Libro Mayor'!CF$9,0))</f>
        <v>0</v>
      </c>
      <c r="CG11" s="24">
        <f>SUMIFS(Libro_Diario[[Cantidad ]],Libro_Diario[[Tipo ]],Ingresos[[#Headers],[Ingresos]],Libro_Diario[[Categoria ]],Ingresos[[#This Row],[Ingresos]],Libro_Diario[Fecha],"&gt;="&amp;'Libro Mayor'!CG$9,Libro_Diario[Fecha],"&lt;="&amp;EOMONTH('Libro Mayor'!CG$9,0))</f>
        <v>0</v>
      </c>
      <c r="CH11" s="24">
        <f>SUMIFS(Libro_Diario[[Cantidad ]],Libro_Diario[[Tipo ]],Ingresos[[#Headers],[Ingresos]],Libro_Diario[[Categoria ]],Ingresos[[#This Row],[Ingresos]],Libro_Diario[Fecha],"&gt;="&amp;'Libro Mayor'!CH$9,Libro_Diario[Fecha],"&lt;="&amp;EOMONTH('Libro Mayor'!CH$9,0))</f>
        <v>0</v>
      </c>
      <c r="CI11" s="25">
        <f>SUM(BW11:CH11)</f>
        <v>0</v>
      </c>
      <c r="CK11" s="24">
        <f>SUMIFS(Libro_Diario[[Cantidad ]],Libro_Diario[[Tipo ]],Ingresos[[#Headers],[Ingresos]],Libro_Diario[[Categoria ]],Ingresos[[#This Row],[Ingresos]],Libro_Diario[Fecha],"&gt;="&amp;'Libro Mayor'!CK$9,Libro_Diario[Fecha],"&lt;="&amp;EOMONTH('Libro Mayor'!CK$9,0))</f>
        <v>0</v>
      </c>
      <c r="CL11" s="24">
        <f>SUMIFS(Libro_Diario[[Cantidad ]],Libro_Diario[[Tipo ]],Ingresos[[#Headers],[Ingresos]],Libro_Diario[[Categoria ]],Ingresos[[#This Row],[Ingresos]],Libro_Diario[Fecha],"&gt;="&amp;'Libro Mayor'!CL$9,Libro_Diario[Fecha],"&lt;="&amp;EOMONTH('Libro Mayor'!CL$9,0))</f>
        <v>0</v>
      </c>
      <c r="CM11" s="24">
        <f>SUMIFS(Libro_Diario[[Cantidad ]],Libro_Diario[[Tipo ]],Ingresos[[#Headers],[Ingresos]],Libro_Diario[[Categoria ]],Ingresos[[#This Row],[Ingresos]],Libro_Diario[Fecha],"&gt;="&amp;'Libro Mayor'!CM$9,Libro_Diario[Fecha],"&lt;="&amp;EOMONTH('Libro Mayor'!CM$9,0))</f>
        <v>0</v>
      </c>
      <c r="CN11" s="24">
        <f>SUMIFS(Libro_Diario[[Cantidad ]],Libro_Diario[[Tipo ]],Ingresos[[#Headers],[Ingresos]],Libro_Diario[[Categoria ]],Ingresos[[#This Row],[Ingresos]],Libro_Diario[Fecha],"&gt;="&amp;'Libro Mayor'!CN$9,Libro_Diario[Fecha],"&lt;="&amp;EOMONTH('Libro Mayor'!CN$9,0))</f>
        <v>0</v>
      </c>
      <c r="CO11" s="24">
        <f>SUMIFS(Libro_Diario[[Cantidad ]],Libro_Diario[[Tipo ]],Ingresos[[#Headers],[Ingresos]],Libro_Diario[[Categoria ]],Ingresos[[#This Row],[Ingresos]],Libro_Diario[Fecha],"&gt;="&amp;'Libro Mayor'!CO$9,Libro_Diario[Fecha],"&lt;="&amp;EOMONTH('Libro Mayor'!CO$9,0))</f>
        <v>0</v>
      </c>
      <c r="CP11" s="24">
        <f>SUMIFS(Libro_Diario[[Cantidad ]],Libro_Diario[[Tipo ]],Ingresos[[#Headers],[Ingresos]],Libro_Diario[[Categoria ]],Ingresos[[#This Row],[Ingresos]],Libro_Diario[Fecha],"&gt;="&amp;'Libro Mayor'!CP$9,Libro_Diario[Fecha],"&lt;="&amp;EOMONTH('Libro Mayor'!CP$9,0))</f>
        <v>0</v>
      </c>
      <c r="CQ11" s="24">
        <f>SUMIFS(Libro_Diario[[Cantidad ]],Libro_Diario[[Tipo ]],Ingresos[[#Headers],[Ingresos]],Libro_Diario[[Categoria ]],Ingresos[[#This Row],[Ingresos]],Libro_Diario[Fecha],"&gt;="&amp;'Libro Mayor'!CQ$9,Libro_Diario[Fecha],"&lt;="&amp;EOMONTH('Libro Mayor'!CQ$9,0))</f>
        <v>0</v>
      </c>
      <c r="CR11" s="24">
        <f>SUMIFS(Libro_Diario[[Cantidad ]],Libro_Diario[[Tipo ]],Ingresos[[#Headers],[Ingresos]],Libro_Diario[[Categoria ]],Ingresos[[#This Row],[Ingresos]],Libro_Diario[Fecha],"&gt;="&amp;'Libro Mayor'!CR$9,Libro_Diario[Fecha],"&lt;="&amp;EOMONTH('Libro Mayor'!CR$9,0))</f>
        <v>0</v>
      </c>
      <c r="CS11" s="24">
        <f>SUMIFS(Libro_Diario[[Cantidad ]],Libro_Diario[[Tipo ]],Ingresos[[#Headers],[Ingresos]],Libro_Diario[[Categoria ]],Ingresos[[#This Row],[Ingresos]],Libro_Diario[Fecha],"&gt;="&amp;'Libro Mayor'!CS$9,Libro_Diario[Fecha],"&lt;="&amp;EOMONTH('Libro Mayor'!CS$9,0))</f>
        <v>0</v>
      </c>
      <c r="CT11" s="24">
        <f>SUMIFS(Libro_Diario[[Cantidad ]],Libro_Diario[[Tipo ]],Ingresos[[#Headers],[Ingresos]],Libro_Diario[[Categoria ]],Ingresos[[#This Row],[Ingresos]],Libro_Diario[Fecha],"&gt;="&amp;'Libro Mayor'!CT$9,Libro_Diario[Fecha],"&lt;="&amp;EOMONTH('Libro Mayor'!CT$9,0))</f>
        <v>0</v>
      </c>
      <c r="CU11" s="24">
        <f>SUMIFS(Libro_Diario[[Cantidad ]],Libro_Diario[[Tipo ]],Ingresos[[#Headers],[Ingresos]],Libro_Diario[[Categoria ]],Ingresos[[#This Row],[Ingresos]],Libro_Diario[Fecha],"&gt;="&amp;'Libro Mayor'!CU$9,Libro_Diario[Fecha],"&lt;="&amp;EOMONTH('Libro Mayor'!CU$9,0))</f>
        <v>0</v>
      </c>
      <c r="CV11" s="24">
        <f>SUMIFS(Libro_Diario[[Cantidad ]],Libro_Diario[[Tipo ]],Ingresos[[#Headers],[Ingresos]],Libro_Diario[[Categoria ]],Ingresos[[#This Row],[Ingresos]],Libro_Diario[Fecha],"&gt;="&amp;'Libro Mayor'!CV$9,Libro_Diario[Fecha],"&lt;="&amp;EOMONTH('Libro Mayor'!CV$9,0))</f>
        <v>0</v>
      </c>
      <c r="CW11" s="25">
        <f>SUM(CK11:CV11)</f>
        <v>0</v>
      </c>
      <c r="CY11" s="24">
        <f>SUMIFS(Libro_Diario[[Cantidad ]],Libro_Diario[[Tipo ]],Ingresos[[#Headers],[Ingresos]],Libro_Diario[[Categoria ]],Ingresos[[#This Row],[Ingresos]],Libro_Diario[Fecha],"&gt;="&amp;'Libro Mayor'!CY$9,Libro_Diario[Fecha],"&lt;="&amp;EOMONTH('Libro Mayor'!CY$9,0))</f>
        <v>0</v>
      </c>
      <c r="CZ11" s="24">
        <f>SUMIFS(Libro_Diario[[Cantidad ]],Libro_Diario[[Tipo ]],Ingresos[[#Headers],[Ingresos]],Libro_Diario[[Categoria ]],Ingresos[[#This Row],[Ingresos]],Libro_Diario[Fecha],"&gt;="&amp;'Libro Mayor'!CZ$9,Libro_Diario[Fecha],"&lt;="&amp;EOMONTH('Libro Mayor'!CZ$9,0))</f>
        <v>0</v>
      </c>
      <c r="DA11" s="24">
        <f>SUMIFS(Libro_Diario[[Cantidad ]],Libro_Diario[[Tipo ]],Ingresos[[#Headers],[Ingresos]],Libro_Diario[[Categoria ]],Ingresos[[#This Row],[Ingresos]],Libro_Diario[Fecha],"&gt;="&amp;'Libro Mayor'!DA$9,Libro_Diario[Fecha],"&lt;="&amp;EOMONTH('Libro Mayor'!DA$9,0))</f>
        <v>0</v>
      </c>
      <c r="DB11" s="24">
        <f>SUMIFS(Libro_Diario[[Cantidad ]],Libro_Diario[[Tipo ]],Ingresos[[#Headers],[Ingresos]],Libro_Diario[[Categoria ]],Ingresos[[#This Row],[Ingresos]],Libro_Diario[Fecha],"&gt;="&amp;'Libro Mayor'!DB$9,Libro_Diario[Fecha],"&lt;="&amp;EOMONTH('Libro Mayor'!DB$9,0))</f>
        <v>0</v>
      </c>
      <c r="DC11" s="24">
        <f>SUMIFS(Libro_Diario[[Cantidad ]],Libro_Diario[[Tipo ]],Ingresos[[#Headers],[Ingresos]],Libro_Diario[[Categoria ]],Ingresos[[#This Row],[Ingresos]],Libro_Diario[Fecha],"&gt;="&amp;'Libro Mayor'!DC$9,Libro_Diario[Fecha],"&lt;="&amp;EOMONTH('Libro Mayor'!DC$9,0))</f>
        <v>0</v>
      </c>
      <c r="DD11" s="24">
        <f>SUMIFS(Libro_Diario[[Cantidad ]],Libro_Diario[[Tipo ]],Ingresos[[#Headers],[Ingresos]],Libro_Diario[[Categoria ]],Ingresos[[#This Row],[Ingresos]],Libro_Diario[Fecha],"&gt;="&amp;'Libro Mayor'!DD$9,Libro_Diario[Fecha],"&lt;="&amp;EOMONTH('Libro Mayor'!DD$9,0))</f>
        <v>0</v>
      </c>
      <c r="DE11" s="24">
        <f>SUMIFS(Libro_Diario[[Cantidad ]],Libro_Diario[[Tipo ]],Ingresos[[#Headers],[Ingresos]],Libro_Diario[[Categoria ]],Ingresos[[#This Row],[Ingresos]],Libro_Diario[Fecha],"&gt;="&amp;'Libro Mayor'!DE$9,Libro_Diario[Fecha],"&lt;="&amp;EOMONTH('Libro Mayor'!DE$9,0))</f>
        <v>0</v>
      </c>
      <c r="DF11" s="24">
        <f>SUMIFS(Libro_Diario[[Cantidad ]],Libro_Diario[[Tipo ]],Ingresos[[#Headers],[Ingresos]],Libro_Diario[[Categoria ]],Ingresos[[#This Row],[Ingresos]],Libro_Diario[Fecha],"&gt;="&amp;'Libro Mayor'!DF$9,Libro_Diario[Fecha],"&lt;="&amp;EOMONTH('Libro Mayor'!DF$9,0))</f>
        <v>0</v>
      </c>
      <c r="DG11" s="24">
        <f>SUMIFS(Libro_Diario[[Cantidad ]],Libro_Diario[[Tipo ]],Ingresos[[#Headers],[Ingresos]],Libro_Diario[[Categoria ]],Ingresos[[#This Row],[Ingresos]],Libro_Diario[Fecha],"&gt;="&amp;'Libro Mayor'!DG$9,Libro_Diario[Fecha],"&lt;="&amp;EOMONTH('Libro Mayor'!DG$9,0))</f>
        <v>0</v>
      </c>
      <c r="DH11" s="24">
        <f>SUMIFS(Libro_Diario[[Cantidad ]],Libro_Diario[[Tipo ]],Ingresos[[#Headers],[Ingresos]],Libro_Diario[[Categoria ]],Ingresos[[#This Row],[Ingresos]],Libro_Diario[Fecha],"&gt;="&amp;'Libro Mayor'!DH$9,Libro_Diario[Fecha],"&lt;="&amp;EOMONTH('Libro Mayor'!DH$9,0))</f>
        <v>0</v>
      </c>
      <c r="DI11" s="24">
        <f>SUMIFS(Libro_Diario[[Cantidad ]],Libro_Diario[[Tipo ]],Ingresos[[#Headers],[Ingresos]],Libro_Diario[[Categoria ]],Ingresos[[#This Row],[Ingresos]],Libro_Diario[Fecha],"&gt;="&amp;'Libro Mayor'!DI$9,Libro_Diario[Fecha],"&lt;="&amp;EOMONTH('Libro Mayor'!DI$9,0))</f>
        <v>0</v>
      </c>
      <c r="DJ11" s="24">
        <f>SUMIFS(Libro_Diario[[Cantidad ]],Libro_Diario[[Tipo ]],Ingresos[[#Headers],[Ingresos]],Libro_Diario[[Categoria ]],Ingresos[[#This Row],[Ingresos]],Libro_Diario[Fecha],"&gt;="&amp;'Libro Mayor'!DJ$9,Libro_Diario[Fecha],"&lt;="&amp;EOMONTH('Libro Mayor'!DJ$9,0))</f>
        <v>0</v>
      </c>
      <c r="DK11" s="25">
        <f>SUM(CY11:DJ11)</f>
        <v>0</v>
      </c>
      <c r="DM11" s="24">
        <f>SUMIFS(Libro_Diario[[Cantidad ]],Libro_Diario[[Tipo ]],Ingresos[[#Headers],[Ingresos]],Libro_Diario[[Categoria ]],Ingresos[[#This Row],[Ingresos]],Libro_Diario[Fecha],"&gt;="&amp;'Libro Mayor'!DM$9,Libro_Diario[Fecha],"&lt;="&amp;EOMONTH('Libro Mayor'!DM$9,0))</f>
        <v>0</v>
      </c>
      <c r="DN11" s="24">
        <f>SUMIFS(Libro_Diario[[Cantidad ]],Libro_Diario[[Tipo ]],Ingresos[[#Headers],[Ingresos]],Libro_Diario[[Categoria ]],Ingresos[[#This Row],[Ingresos]],Libro_Diario[Fecha],"&gt;="&amp;'Libro Mayor'!DN$9,Libro_Diario[Fecha],"&lt;="&amp;EOMONTH('Libro Mayor'!DN$9,0))</f>
        <v>0</v>
      </c>
      <c r="DO11" s="24">
        <f>SUMIFS(Libro_Diario[[Cantidad ]],Libro_Diario[[Tipo ]],Ingresos[[#Headers],[Ingresos]],Libro_Diario[[Categoria ]],Ingresos[[#This Row],[Ingresos]],Libro_Diario[Fecha],"&gt;="&amp;'Libro Mayor'!DO$9,Libro_Diario[Fecha],"&lt;="&amp;EOMONTH('Libro Mayor'!DO$9,0))</f>
        <v>0</v>
      </c>
      <c r="DP11" s="24">
        <f>SUMIFS(Libro_Diario[[Cantidad ]],Libro_Diario[[Tipo ]],Ingresos[[#Headers],[Ingresos]],Libro_Diario[[Categoria ]],Ingresos[[#This Row],[Ingresos]],Libro_Diario[Fecha],"&gt;="&amp;'Libro Mayor'!DP$9,Libro_Diario[Fecha],"&lt;="&amp;EOMONTH('Libro Mayor'!DP$9,0))</f>
        <v>0</v>
      </c>
      <c r="DQ11" s="24">
        <f>SUMIFS(Libro_Diario[[Cantidad ]],Libro_Diario[[Tipo ]],Ingresos[[#Headers],[Ingresos]],Libro_Diario[[Categoria ]],Ingresos[[#This Row],[Ingresos]],Libro_Diario[Fecha],"&gt;="&amp;'Libro Mayor'!DQ$9,Libro_Diario[Fecha],"&lt;="&amp;EOMONTH('Libro Mayor'!DQ$9,0))</f>
        <v>0</v>
      </c>
      <c r="DR11" s="24">
        <f>SUMIFS(Libro_Diario[[Cantidad ]],Libro_Diario[[Tipo ]],Ingresos[[#Headers],[Ingresos]],Libro_Diario[[Categoria ]],Ingresos[[#This Row],[Ingresos]],Libro_Diario[Fecha],"&gt;="&amp;'Libro Mayor'!DR$9,Libro_Diario[Fecha],"&lt;="&amp;EOMONTH('Libro Mayor'!DR$9,0))</f>
        <v>0</v>
      </c>
      <c r="DS11" s="24">
        <f>SUMIFS(Libro_Diario[[Cantidad ]],Libro_Diario[[Tipo ]],Ingresos[[#Headers],[Ingresos]],Libro_Diario[[Categoria ]],Ingresos[[#This Row],[Ingresos]],Libro_Diario[Fecha],"&gt;="&amp;'Libro Mayor'!DS$9,Libro_Diario[Fecha],"&lt;="&amp;EOMONTH('Libro Mayor'!DS$9,0))</f>
        <v>0</v>
      </c>
      <c r="DT11" s="24">
        <f>SUMIFS(Libro_Diario[[Cantidad ]],Libro_Diario[[Tipo ]],Ingresos[[#Headers],[Ingresos]],Libro_Diario[[Categoria ]],Ingresos[[#This Row],[Ingresos]],Libro_Diario[Fecha],"&gt;="&amp;'Libro Mayor'!DT$9,Libro_Diario[Fecha],"&lt;="&amp;EOMONTH('Libro Mayor'!DT$9,0))</f>
        <v>0</v>
      </c>
      <c r="DU11" s="24">
        <f>SUMIFS(Libro_Diario[[Cantidad ]],Libro_Diario[[Tipo ]],Ingresos[[#Headers],[Ingresos]],Libro_Diario[[Categoria ]],Ingresos[[#This Row],[Ingresos]],Libro_Diario[Fecha],"&gt;="&amp;'Libro Mayor'!DU$9,Libro_Diario[Fecha],"&lt;="&amp;EOMONTH('Libro Mayor'!DU$9,0))</f>
        <v>0</v>
      </c>
      <c r="DV11" s="24">
        <f>SUMIFS(Libro_Diario[[Cantidad ]],Libro_Diario[[Tipo ]],Ingresos[[#Headers],[Ingresos]],Libro_Diario[[Categoria ]],Ingresos[[#This Row],[Ingresos]],Libro_Diario[Fecha],"&gt;="&amp;'Libro Mayor'!DV$9,Libro_Diario[Fecha],"&lt;="&amp;EOMONTH('Libro Mayor'!DV$9,0))</f>
        <v>0</v>
      </c>
      <c r="DW11" s="24">
        <f>SUMIFS(Libro_Diario[[Cantidad ]],Libro_Diario[[Tipo ]],Ingresos[[#Headers],[Ingresos]],Libro_Diario[[Categoria ]],Ingresos[[#This Row],[Ingresos]],Libro_Diario[Fecha],"&gt;="&amp;'Libro Mayor'!DW$9,Libro_Diario[Fecha],"&lt;="&amp;EOMONTH('Libro Mayor'!DW$9,0))</f>
        <v>0</v>
      </c>
      <c r="DX11" s="24">
        <f>SUMIFS(Libro_Diario[[Cantidad ]],Libro_Diario[[Tipo ]],Ingresos[[#Headers],[Ingresos]],Libro_Diario[[Categoria ]],Ingresos[[#This Row],[Ingresos]],Libro_Diario[Fecha],"&gt;="&amp;'Libro Mayor'!DX$9,Libro_Diario[Fecha],"&lt;="&amp;EOMONTH('Libro Mayor'!DX$9,0))</f>
        <v>0</v>
      </c>
      <c r="DY11" s="25">
        <f>SUM(DM11:DX11)</f>
        <v>0</v>
      </c>
      <c r="EA11" s="24">
        <f>SUMIFS(Libro_Diario[[Cantidad ]],Libro_Diario[[Tipo ]],Ingresos[[#Headers],[Ingresos]],Libro_Diario[[Categoria ]],Ingresos[[#This Row],[Ingresos]],Libro_Diario[Fecha],"&gt;="&amp;'Libro Mayor'!EA$9,Libro_Diario[Fecha],"&lt;="&amp;EOMONTH('Libro Mayor'!EA$9,0))</f>
        <v>0</v>
      </c>
      <c r="EB11" s="24">
        <f>SUMIFS(Libro_Diario[[Cantidad ]],Libro_Diario[[Tipo ]],Ingresos[[#Headers],[Ingresos]],Libro_Diario[[Categoria ]],Ingresos[[#This Row],[Ingresos]],Libro_Diario[Fecha],"&gt;="&amp;'Libro Mayor'!EB$9,Libro_Diario[Fecha],"&lt;="&amp;EOMONTH('Libro Mayor'!EB$9,0))</f>
        <v>0</v>
      </c>
      <c r="EC11" s="24">
        <f>SUMIFS(Libro_Diario[[Cantidad ]],Libro_Diario[[Tipo ]],Ingresos[[#Headers],[Ingresos]],Libro_Diario[[Categoria ]],Ingresos[[#This Row],[Ingresos]],Libro_Diario[Fecha],"&gt;="&amp;'Libro Mayor'!EC$9,Libro_Diario[Fecha],"&lt;="&amp;EOMONTH('Libro Mayor'!EC$9,0))</f>
        <v>0</v>
      </c>
      <c r="ED11" s="24">
        <f>SUMIFS(Libro_Diario[[Cantidad ]],Libro_Diario[[Tipo ]],Ingresos[[#Headers],[Ingresos]],Libro_Diario[[Categoria ]],Ingresos[[#This Row],[Ingresos]],Libro_Diario[Fecha],"&gt;="&amp;'Libro Mayor'!ED$9,Libro_Diario[Fecha],"&lt;="&amp;EOMONTH('Libro Mayor'!ED$9,0))</f>
        <v>0</v>
      </c>
      <c r="EE11" s="24">
        <f>SUMIFS(Libro_Diario[[Cantidad ]],Libro_Diario[[Tipo ]],Ingresos[[#Headers],[Ingresos]],Libro_Diario[[Categoria ]],Ingresos[[#This Row],[Ingresos]],Libro_Diario[Fecha],"&gt;="&amp;'Libro Mayor'!EE$9,Libro_Diario[Fecha],"&lt;="&amp;EOMONTH('Libro Mayor'!EE$9,0))</f>
        <v>0</v>
      </c>
      <c r="EF11" s="24">
        <f>SUMIFS(Libro_Diario[[Cantidad ]],Libro_Diario[[Tipo ]],Ingresos[[#Headers],[Ingresos]],Libro_Diario[[Categoria ]],Ingresos[[#This Row],[Ingresos]],Libro_Diario[Fecha],"&gt;="&amp;'Libro Mayor'!EF$9,Libro_Diario[Fecha],"&lt;="&amp;EOMONTH('Libro Mayor'!EF$9,0))</f>
        <v>0</v>
      </c>
      <c r="EG11" s="24">
        <f>SUMIFS(Libro_Diario[[Cantidad ]],Libro_Diario[[Tipo ]],Ingresos[[#Headers],[Ingresos]],Libro_Diario[[Categoria ]],Ingresos[[#This Row],[Ingresos]],Libro_Diario[Fecha],"&gt;="&amp;'Libro Mayor'!EG$9,Libro_Diario[Fecha],"&lt;="&amp;EOMONTH('Libro Mayor'!EG$9,0))</f>
        <v>0</v>
      </c>
      <c r="EH11" s="24">
        <f>SUMIFS(Libro_Diario[[Cantidad ]],Libro_Diario[[Tipo ]],Ingresos[[#Headers],[Ingresos]],Libro_Diario[[Categoria ]],Ingresos[[#This Row],[Ingresos]],Libro_Diario[Fecha],"&gt;="&amp;'Libro Mayor'!EH$9,Libro_Diario[Fecha],"&lt;="&amp;EOMONTH('Libro Mayor'!EH$9,0))</f>
        <v>0</v>
      </c>
      <c r="EI11" s="24">
        <f>SUMIFS(Libro_Diario[[Cantidad ]],Libro_Diario[[Tipo ]],Ingresos[[#Headers],[Ingresos]],Libro_Diario[[Categoria ]],Ingresos[[#This Row],[Ingresos]],Libro_Diario[Fecha],"&gt;="&amp;'Libro Mayor'!EI$9,Libro_Diario[Fecha],"&lt;="&amp;EOMONTH('Libro Mayor'!EI$9,0))</f>
        <v>0</v>
      </c>
      <c r="EJ11" s="24">
        <f>SUMIFS(Libro_Diario[[Cantidad ]],Libro_Diario[[Tipo ]],Ingresos[[#Headers],[Ingresos]],Libro_Diario[[Categoria ]],Ingresos[[#This Row],[Ingresos]],Libro_Diario[Fecha],"&gt;="&amp;'Libro Mayor'!EJ$9,Libro_Diario[Fecha],"&lt;="&amp;EOMONTH('Libro Mayor'!EJ$9,0))</f>
        <v>0</v>
      </c>
      <c r="EK11" s="24">
        <f>SUMIFS(Libro_Diario[[Cantidad ]],Libro_Diario[[Tipo ]],Ingresos[[#Headers],[Ingresos]],Libro_Diario[[Categoria ]],Ingresos[[#This Row],[Ingresos]],Libro_Diario[Fecha],"&gt;="&amp;'Libro Mayor'!EK$9,Libro_Diario[Fecha],"&lt;="&amp;EOMONTH('Libro Mayor'!EK$9,0))</f>
        <v>0</v>
      </c>
      <c r="EL11" s="24">
        <f>SUMIFS(Libro_Diario[[Cantidad ]],Libro_Diario[[Tipo ]],Ingresos[[#Headers],[Ingresos]],Libro_Diario[[Categoria ]],Ingresos[[#This Row],[Ingresos]],Libro_Diario[Fecha],"&gt;="&amp;'Libro Mayor'!EL$9,Libro_Diario[Fecha],"&lt;="&amp;EOMONTH('Libro Mayor'!EL$9,0))</f>
        <v>0</v>
      </c>
      <c r="EM11" s="25">
        <f>SUM(EA11:EL11)</f>
        <v>0</v>
      </c>
      <c r="EO11" s="24">
        <f>SUMIFS(Libro_Diario[[Cantidad ]],Libro_Diario[[Tipo ]],Ingresos[[#Headers],[Ingresos]],Libro_Diario[[Categoria ]],Ingresos[[#This Row],[Ingresos]],Libro_Diario[Fecha],"&gt;="&amp;'Libro Mayor'!EO$9,Libro_Diario[Fecha],"&lt;="&amp;EOMONTH('Libro Mayor'!EO$9,0))</f>
        <v>0</v>
      </c>
      <c r="EP11" s="24">
        <f>SUMIFS(Libro_Diario[[Cantidad ]],Libro_Diario[[Tipo ]],Ingresos[[#Headers],[Ingresos]],Libro_Diario[[Categoria ]],Ingresos[[#This Row],[Ingresos]],Libro_Diario[Fecha],"&gt;="&amp;'Libro Mayor'!EP$9,Libro_Diario[Fecha],"&lt;="&amp;EOMONTH('Libro Mayor'!EP$9,0))</f>
        <v>0</v>
      </c>
      <c r="EQ11" s="24">
        <f>SUMIFS(Libro_Diario[[Cantidad ]],Libro_Diario[[Tipo ]],Ingresos[[#Headers],[Ingresos]],Libro_Diario[[Categoria ]],Ingresos[[#This Row],[Ingresos]],Libro_Diario[Fecha],"&gt;="&amp;'Libro Mayor'!EQ$9,Libro_Diario[Fecha],"&lt;="&amp;EOMONTH('Libro Mayor'!EQ$9,0))</f>
        <v>0</v>
      </c>
      <c r="ER11" s="24">
        <f>SUMIFS(Libro_Diario[[Cantidad ]],Libro_Diario[[Tipo ]],Ingresos[[#Headers],[Ingresos]],Libro_Diario[[Categoria ]],Ingresos[[#This Row],[Ingresos]],Libro_Diario[Fecha],"&gt;="&amp;'Libro Mayor'!ER$9,Libro_Diario[Fecha],"&lt;="&amp;EOMONTH('Libro Mayor'!ER$9,0))</f>
        <v>0</v>
      </c>
      <c r="ES11" s="24">
        <f>SUMIFS(Libro_Diario[[Cantidad ]],Libro_Diario[[Tipo ]],Ingresos[[#Headers],[Ingresos]],Libro_Diario[[Categoria ]],Ingresos[[#This Row],[Ingresos]],Libro_Diario[Fecha],"&gt;="&amp;'Libro Mayor'!ES$9,Libro_Diario[Fecha],"&lt;="&amp;EOMONTH('Libro Mayor'!ES$9,0))</f>
        <v>0</v>
      </c>
      <c r="ET11" s="24">
        <f>SUMIFS(Libro_Diario[[Cantidad ]],Libro_Diario[[Tipo ]],Ingresos[[#Headers],[Ingresos]],Libro_Diario[[Categoria ]],Ingresos[[#This Row],[Ingresos]],Libro_Diario[Fecha],"&gt;="&amp;'Libro Mayor'!ET$9,Libro_Diario[Fecha],"&lt;="&amp;EOMONTH('Libro Mayor'!ET$9,0))</f>
        <v>0</v>
      </c>
      <c r="EU11" s="24">
        <f>SUMIFS(Libro_Diario[[Cantidad ]],Libro_Diario[[Tipo ]],Ingresos[[#Headers],[Ingresos]],Libro_Diario[[Categoria ]],Ingresos[[#This Row],[Ingresos]],Libro_Diario[Fecha],"&gt;="&amp;'Libro Mayor'!EU$9,Libro_Diario[Fecha],"&lt;="&amp;EOMONTH('Libro Mayor'!EU$9,0))</f>
        <v>0</v>
      </c>
      <c r="EV11" s="24">
        <f>SUMIFS(Libro_Diario[[Cantidad ]],Libro_Diario[[Tipo ]],Ingresos[[#Headers],[Ingresos]],Libro_Diario[[Categoria ]],Ingresos[[#This Row],[Ingresos]],Libro_Diario[Fecha],"&gt;="&amp;'Libro Mayor'!EV$9,Libro_Diario[Fecha],"&lt;="&amp;EOMONTH('Libro Mayor'!EV$9,0))</f>
        <v>0</v>
      </c>
      <c r="EW11" s="24">
        <f>SUMIFS(Libro_Diario[[Cantidad ]],Libro_Diario[[Tipo ]],Ingresos[[#Headers],[Ingresos]],Libro_Diario[[Categoria ]],Ingresos[[#This Row],[Ingresos]],Libro_Diario[Fecha],"&gt;="&amp;'Libro Mayor'!EW$9,Libro_Diario[Fecha],"&lt;="&amp;EOMONTH('Libro Mayor'!EW$9,0))</f>
        <v>0</v>
      </c>
      <c r="EX11" s="24">
        <f>SUMIFS(Libro_Diario[[Cantidad ]],Libro_Diario[[Tipo ]],Ingresos[[#Headers],[Ingresos]],Libro_Diario[[Categoria ]],Ingresos[[#This Row],[Ingresos]],Libro_Diario[Fecha],"&gt;="&amp;'Libro Mayor'!EX$9,Libro_Diario[Fecha],"&lt;="&amp;EOMONTH('Libro Mayor'!EX$9,0))</f>
        <v>0</v>
      </c>
      <c r="EY11" s="24">
        <f>SUMIFS(Libro_Diario[[Cantidad ]],Libro_Diario[[Tipo ]],Ingresos[[#Headers],[Ingresos]],Libro_Diario[[Categoria ]],Ingresos[[#This Row],[Ingresos]],Libro_Diario[Fecha],"&gt;="&amp;'Libro Mayor'!EY$9,Libro_Diario[Fecha],"&lt;="&amp;EOMONTH('Libro Mayor'!EY$9,0))</f>
        <v>0</v>
      </c>
      <c r="EZ11" s="24">
        <f>SUMIFS(Libro_Diario[[Cantidad ]],Libro_Diario[[Tipo ]],Ingresos[[#Headers],[Ingresos]],Libro_Diario[[Categoria ]],Ingresos[[#This Row],[Ingresos]],Libro_Diario[Fecha],"&gt;="&amp;'Libro Mayor'!EZ$9,Libro_Diario[Fecha],"&lt;="&amp;EOMONTH('Libro Mayor'!EZ$9,0))</f>
        <v>0</v>
      </c>
      <c r="FA11" s="25">
        <f>SUM(EO11:EZ11)</f>
        <v>0</v>
      </c>
    </row>
    <row r="12" spans="3:157" x14ac:dyDescent="0.3">
      <c r="C12" s="17" t="s">
        <v>15</v>
      </c>
      <c r="D12" s="23"/>
      <c r="E12" s="24">
        <f>SUMIFS(Libro_Diario[[Cantidad ]],Libro_Diario[[Tipo ]],Ingresos[[#Headers],[Ingresos]],Libro_Diario[[Categoria ]],Ingresos[[#This Row],[Ingresos]],Libro_Diario[Fecha],"&gt;="&amp;'Libro Mayor'!E$9,Libro_Diario[Fecha],"&lt;="&amp;EOMONTH('Libro Mayor'!E$9,0))</f>
        <v>0</v>
      </c>
      <c r="F12" s="24">
        <f>SUMIFS(Libro_Diario[[Cantidad ]],Libro_Diario[[Tipo ]],Ingresos[[#Headers],[Ingresos]],Libro_Diario[[Categoria ]],Ingresos[[#This Row],[Ingresos]],Libro_Diario[Fecha],"&gt;="&amp;'Libro Mayor'!F$9,Libro_Diario[Fecha],"&lt;="&amp;EOMONTH('Libro Mayor'!F$9,0))</f>
        <v>0</v>
      </c>
      <c r="G12" s="24">
        <f>SUMIFS(Libro_Diario[[Cantidad ]],Libro_Diario[[Tipo ]],Ingresos[[#Headers],[Ingresos]],Libro_Diario[[Categoria ]],Ingresos[[#This Row],[Ingresos]],Libro_Diario[Fecha],"&gt;="&amp;'Libro Mayor'!G$9,Libro_Diario[Fecha],"&lt;="&amp;EOMONTH('Libro Mayor'!G$9,0))</f>
        <v>0</v>
      </c>
      <c r="H12" s="24">
        <f>SUMIFS(Libro_Diario[[Cantidad ]],Libro_Diario[[Tipo ]],Ingresos[[#Headers],[Ingresos]],Libro_Diario[[Categoria ]],Ingresos[[#This Row],[Ingresos]],Libro_Diario[Fecha],"&gt;="&amp;'Libro Mayor'!H$9,Libro_Diario[Fecha],"&lt;="&amp;EOMONTH('Libro Mayor'!H$9,0))</f>
        <v>0</v>
      </c>
      <c r="I12" s="24">
        <f>SUMIFS(Libro_Diario[[Cantidad ]],Libro_Diario[[Tipo ]],Ingresos[[#Headers],[Ingresos]],Libro_Diario[[Categoria ]],Ingresos[[#This Row],[Ingresos]],Libro_Diario[Fecha],"&gt;="&amp;'Libro Mayor'!I$9,Libro_Diario[Fecha],"&lt;="&amp;EOMONTH('Libro Mayor'!I$9,0))</f>
        <v>0</v>
      </c>
      <c r="J12" s="24">
        <f>SUMIFS(Libro_Diario[[Cantidad ]],Libro_Diario[[Tipo ]],Ingresos[[#Headers],[Ingresos]],Libro_Diario[[Categoria ]],Ingresos[[#This Row],[Ingresos]],Libro_Diario[Fecha],"&gt;="&amp;'Libro Mayor'!J$9,Libro_Diario[Fecha],"&lt;="&amp;EOMONTH('Libro Mayor'!J$9,0))</f>
        <v>0</v>
      </c>
      <c r="K12" s="24">
        <f>SUMIFS(Libro_Diario[[Cantidad ]],Libro_Diario[[Tipo ]],Ingresos[[#Headers],[Ingresos]],Libro_Diario[[Categoria ]],Ingresos[[#This Row],[Ingresos]],Libro_Diario[Fecha],"&gt;="&amp;'Libro Mayor'!K$9,Libro_Diario[Fecha],"&lt;="&amp;EOMONTH('Libro Mayor'!K$9,0))</f>
        <v>0</v>
      </c>
      <c r="L12" s="24">
        <f>SUMIFS(Libro_Diario[[Cantidad ]],Libro_Diario[[Tipo ]],Ingresos[[#Headers],[Ingresos]],Libro_Diario[[Categoria ]],Ingresos[[#This Row],[Ingresos]],Libro_Diario[Fecha],"&gt;="&amp;'Libro Mayor'!L$9,Libro_Diario[Fecha],"&lt;="&amp;EOMONTH('Libro Mayor'!L$9,0))</f>
        <v>0</v>
      </c>
      <c r="M12" s="24">
        <f>SUMIFS(Libro_Diario[[Cantidad ]],Libro_Diario[[Tipo ]],Ingresos[[#Headers],[Ingresos]],Libro_Diario[[Categoria ]],Ingresos[[#This Row],[Ingresos]],Libro_Diario[Fecha],"&gt;="&amp;'Libro Mayor'!M$9,Libro_Diario[Fecha],"&lt;="&amp;EOMONTH('Libro Mayor'!M$9,0))</f>
        <v>0</v>
      </c>
      <c r="N12" s="24">
        <f>SUMIFS(Libro_Diario[[Cantidad ]],Libro_Diario[[Tipo ]],Ingresos[[#Headers],[Ingresos]],Libro_Diario[[Categoria ]],Ingresos[[#This Row],[Ingresos]],Libro_Diario[Fecha],"&gt;="&amp;'Libro Mayor'!N$9,Libro_Diario[Fecha],"&lt;="&amp;EOMONTH('Libro Mayor'!N$9,0))</f>
        <v>0</v>
      </c>
      <c r="O12" s="24">
        <f>SUMIFS(Libro_Diario[[Cantidad ]],Libro_Diario[[Tipo ]],Ingresos[[#Headers],[Ingresos]],Libro_Diario[[Categoria ]],Ingresos[[#This Row],[Ingresos]],Libro_Diario[Fecha],"&gt;="&amp;'Libro Mayor'!O$9,Libro_Diario[Fecha],"&lt;="&amp;EOMONTH('Libro Mayor'!O$9,0))</f>
        <v>0</v>
      </c>
      <c r="P12" s="24">
        <f>SUMIFS(Libro_Diario[[Cantidad ]],Libro_Diario[[Tipo ]],Ingresos[[#Headers],[Ingresos]],Libro_Diario[[Categoria ]],Ingresos[[#This Row],[Ingresos]],Libro_Diario[Fecha],"&gt;="&amp;'Libro Mayor'!P$9,Libro_Diario[Fecha],"&lt;="&amp;EOMONTH('Libro Mayor'!P$9,0))</f>
        <v>0</v>
      </c>
      <c r="Q12" s="25">
        <f t="shared" ref="Q12:Q19" si="11">SUM(E12:P12)</f>
        <v>0</v>
      </c>
      <c r="S12" s="24"/>
      <c r="T12" s="24"/>
      <c r="U12" s="24"/>
      <c r="V12" s="24">
        <f>SUMIFS(Libro_Diario[Detalles],Libro_Diario[[Categoria ]],Ingresos[[#Headers],[Ingresos]],Libro_Diario[[Cantidad ]],Ingresos[[#This Row],[Ingresos]],Libro_Diario[[Tipo ]],"&gt;="&amp;'Libro Mayor'!V$9,Libro_Diario[[Tipo ]],"&lt;="&amp;EOMONTH('Libro Mayor'!V$9,0))</f>
        <v>0</v>
      </c>
      <c r="W12" s="24"/>
      <c r="X12" s="24"/>
      <c r="Y12" s="24"/>
      <c r="Z12" s="24">
        <f>SUMIFS(Libro_Diario[[Cantidad ]],Libro_Diario[[Tipo ]],Ingresos[[#Headers],[Ingresos]],Libro_Diario[[Categoria ]],Ingresos[[#This Row],[Ingresos]],Libro_Diario[Fecha],"&gt;="&amp;'Libro Mayor'!Z$9,Libro_Diario[Fecha],"&lt;="&amp;EOMONTH('Libro Mayor'!Z$9,0))</f>
        <v>0</v>
      </c>
      <c r="AA12" s="24"/>
      <c r="AB12" s="24">
        <f>SUMIFS(Libro_Diario[[Cantidad ]],Libro_Diario[[Tipo ]],Ingresos[[#Headers],[Ingresos]],Libro_Diario[[Categoria ]],Ingresos[[#This Row],[Ingresos]],Libro_Diario[Fecha],"&gt;="&amp;'Libro Mayor'!AB$9,Libro_Diario[Fecha],"&lt;="&amp;EOMONTH('Libro Mayor'!AB$9,0))</f>
        <v>0</v>
      </c>
      <c r="AC12" s="24"/>
      <c r="AD12" s="24"/>
      <c r="AE12" s="25">
        <f t="shared" ref="AE12:AE19" si="12">SUM(S12:AD12)</f>
        <v>0</v>
      </c>
      <c r="AG12" s="24"/>
      <c r="AH12" s="24"/>
      <c r="AI12" s="24"/>
      <c r="AJ12" s="24">
        <f>SUMIFS(Libro_Diario[Detalles],Libro_Diario[[Categoria ]],Ingresos[[#Headers],[Ingresos]],Libro_Diario[[Cantidad ]],Ingresos[[#This Row],[Ingresos]],Libro_Diario[[Tipo ]],"&gt;="&amp;'Libro Mayor'!AJ$9,Libro_Diario[[Tipo ]],"&lt;="&amp;EOMONTH('Libro Mayor'!AJ$9,0))</f>
        <v>0</v>
      </c>
      <c r="AK12" s="24"/>
      <c r="AL12" s="24"/>
      <c r="AM12" s="24"/>
      <c r="AN12" s="24">
        <f>SUMIFS(Libro_Diario[[Cantidad ]],Libro_Diario[[Tipo ]],Ingresos[[#Headers],[Ingresos]],Libro_Diario[[Categoria ]],Ingresos[[#This Row],[Ingresos]],Libro_Diario[Fecha],"&gt;="&amp;'Libro Mayor'!AN$9,Libro_Diario[Fecha],"&lt;="&amp;EOMONTH('Libro Mayor'!AN$9,0))</f>
        <v>0</v>
      </c>
      <c r="AO12" s="24"/>
      <c r="AP12" s="24">
        <f>SUMIFS(Libro_Diario[[Cantidad ]],Libro_Diario[[Tipo ]],Ingresos[[#Headers],[Ingresos]],Libro_Diario[[Categoria ]],Ingresos[[#This Row],[Ingresos]],Libro_Diario[Fecha],"&gt;="&amp;'Libro Mayor'!AP$9,Libro_Diario[Fecha],"&lt;="&amp;EOMONTH('Libro Mayor'!AP$9,0))</f>
        <v>0</v>
      </c>
      <c r="AQ12" s="24"/>
      <c r="AR12" s="24"/>
      <c r="AS12" s="25">
        <f t="shared" ref="AS12:AS19" si="13">SUM(AG12:AR12)</f>
        <v>0</v>
      </c>
      <c r="AU12" s="24"/>
      <c r="AV12" s="24"/>
      <c r="AW12" s="24"/>
      <c r="AX12" s="24">
        <f>SUMIFS(Libro_Diario[Detalles],Libro_Diario[[Categoria ]],Ingresos[[#Headers],[Ingresos]],Libro_Diario[[Cantidad ]],Ingresos[[#This Row],[Ingresos]],Libro_Diario[[Tipo ]],"&gt;="&amp;'Libro Mayor'!AX$9,Libro_Diario[[Tipo ]],"&lt;="&amp;EOMONTH('Libro Mayor'!AX$9,0))</f>
        <v>0</v>
      </c>
      <c r="AY12" s="24"/>
      <c r="AZ12" s="24"/>
      <c r="BA12" s="24"/>
      <c r="BB12" s="24">
        <f>SUMIFS(Libro_Diario[[Cantidad ]],Libro_Diario[[Tipo ]],Ingresos[[#Headers],[Ingresos]],Libro_Diario[[Categoria ]],Ingresos[[#This Row],[Ingresos]],Libro_Diario[Fecha],"&gt;="&amp;'Libro Mayor'!BB$9,Libro_Diario[Fecha],"&lt;="&amp;EOMONTH('Libro Mayor'!BB$9,0))</f>
        <v>0</v>
      </c>
      <c r="BC12" s="24"/>
      <c r="BD12" s="24">
        <f>SUMIFS(Libro_Diario[[Cantidad ]],Libro_Diario[[Tipo ]],Ingresos[[#Headers],[Ingresos]],Libro_Diario[[Categoria ]],Ingresos[[#This Row],[Ingresos]],Libro_Diario[Fecha],"&gt;="&amp;'Libro Mayor'!BD$9,Libro_Diario[Fecha],"&lt;="&amp;EOMONTH('Libro Mayor'!BD$9,0))</f>
        <v>0</v>
      </c>
      <c r="BE12" s="24"/>
      <c r="BF12" s="24"/>
      <c r="BG12" s="25">
        <f t="shared" ref="BG12:BG19" si="14">SUM(AU12:BF12)</f>
        <v>0</v>
      </c>
      <c r="BI12" s="24"/>
      <c r="BJ12" s="24"/>
      <c r="BK12" s="24"/>
      <c r="BL12" s="24">
        <f>SUMIFS(Libro_Diario[Detalles],Libro_Diario[[Categoria ]],Ingresos[[#Headers],[Ingresos]],Libro_Diario[[Cantidad ]],Ingresos[[#This Row],[Ingresos]],Libro_Diario[[Tipo ]],"&gt;="&amp;'Libro Mayor'!BL$9,Libro_Diario[[Tipo ]],"&lt;="&amp;EOMONTH('Libro Mayor'!BL$9,0))</f>
        <v>0</v>
      </c>
      <c r="BM12" s="24"/>
      <c r="BN12" s="24"/>
      <c r="BO12" s="24"/>
      <c r="BP12" s="24">
        <f>SUMIFS(Libro_Diario[[Cantidad ]],Libro_Diario[[Tipo ]],Ingresos[[#Headers],[Ingresos]],Libro_Diario[[Categoria ]],Ingresos[[#This Row],[Ingresos]],Libro_Diario[Fecha],"&gt;="&amp;'Libro Mayor'!BP$9,Libro_Diario[Fecha],"&lt;="&amp;EOMONTH('Libro Mayor'!BP$9,0))</f>
        <v>0</v>
      </c>
      <c r="BQ12" s="24"/>
      <c r="BR12" s="24">
        <f>SUMIFS(Libro_Diario[[Cantidad ]],Libro_Diario[[Tipo ]],Ingresos[[#Headers],[Ingresos]],Libro_Diario[[Categoria ]],Ingresos[[#This Row],[Ingresos]],Libro_Diario[Fecha],"&gt;="&amp;'Libro Mayor'!BR$9,Libro_Diario[Fecha],"&lt;="&amp;EOMONTH('Libro Mayor'!BR$9,0))</f>
        <v>0</v>
      </c>
      <c r="BS12" s="24"/>
      <c r="BT12" s="24"/>
      <c r="BU12" s="25">
        <f t="shared" ref="BU12:BU19" si="15">SUM(BI12:BT12)</f>
        <v>0</v>
      </c>
      <c r="BW12" s="24"/>
      <c r="BX12" s="24"/>
      <c r="BY12" s="24"/>
      <c r="BZ12" s="24">
        <f>SUMIFS(Libro_Diario[Detalles],Libro_Diario[[Categoria ]],Ingresos[[#Headers],[Ingresos]],Libro_Diario[[Cantidad ]],Ingresos[[#This Row],[Ingresos]],Libro_Diario[[Tipo ]],"&gt;="&amp;'Libro Mayor'!BZ$9,Libro_Diario[[Tipo ]],"&lt;="&amp;EOMONTH('Libro Mayor'!BZ$9,0))</f>
        <v>0</v>
      </c>
      <c r="CA12" s="24"/>
      <c r="CB12" s="24"/>
      <c r="CC12" s="24"/>
      <c r="CD12" s="24">
        <f>SUMIFS(Libro_Diario[[Cantidad ]],Libro_Diario[[Tipo ]],Ingresos[[#Headers],[Ingresos]],Libro_Diario[[Categoria ]],Ingresos[[#This Row],[Ingresos]],Libro_Diario[Fecha],"&gt;="&amp;'Libro Mayor'!CD$9,Libro_Diario[Fecha],"&lt;="&amp;EOMONTH('Libro Mayor'!CD$9,0))</f>
        <v>0</v>
      </c>
      <c r="CE12" s="24"/>
      <c r="CF12" s="24">
        <f>SUMIFS(Libro_Diario[[Cantidad ]],Libro_Diario[[Tipo ]],Ingresos[[#Headers],[Ingresos]],Libro_Diario[[Categoria ]],Ingresos[[#This Row],[Ingresos]],Libro_Diario[Fecha],"&gt;="&amp;'Libro Mayor'!CF$9,Libro_Diario[Fecha],"&lt;="&amp;EOMONTH('Libro Mayor'!CF$9,0))</f>
        <v>0</v>
      </c>
      <c r="CG12" s="24"/>
      <c r="CH12" s="24"/>
      <c r="CI12" s="25">
        <f t="shared" ref="CI12:CI19" si="16">SUM(BW12:CH12)</f>
        <v>0</v>
      </c>
      <c r="CK12" s="24"/>
      <c r="CL12" s="24"/>
      <c r="CM12" s="24"/>
      <c r="CN12" s="24">
        <f>SUMIFS(Libro_Diario[Detalles],Libro_Diario[[Categoria ]],Ingresos[[#Headers],[Ingresos]],Libro_Diario[[Cantidad ]],Ingresos[[#This Row],[Ingresos]],Libro_Diario[[Tipo ]],"&gt;="&amp;'Libro Mayor'!CN$9,Libro_Diario[[Tipo ]],"&lt;="&amp;EOMONTH('Libro Mayor'!CN$9,0))</f>
        <v>0</v>
      </c>
      <c r="CO12" s="24"/>
      <c r="CP12" s="24"/>
      <c r="CQ12" s="24"/>
      <c r="CR12" s="24">
        <f>SUMIFS(Libro_Diario[[Cantidad ]],Libro_Diario[[Tipo ]],Ingresos[[#Headers],[Ingresos]],Libro_Diario[[Categoria ]],Ingresos[[#This Row],[Ingresos]],Libro_Diario[Fecha],"&gt;="&amp;'Libro Mayor'!CR$9,Libro_Diario[Fecha],"&lt;="&amp;EOMONTH('Libro Mayor'!CR$9,0))</f>
        <v>0</v>
      </c>
      <c r="CS12" s="24"/>
      <c r="CT12" s="24">
        <f>SUMIFS(Libro_Diario[[Cantidad ]],Libro_Diario[[Tipo ]],Ingresos[[#Headers],[Ingresos]],Libro_Diario[[Categoria ]],Ingresos[[#This Row],[Ingresos]],Libro_Diario[Fecha],"&gt;="&amp;'Libro Mayor'!CT$9,Libro_Diario[Fecha],"&lt;="&amp;EOMONTH('Libro Mayor'!CT$9,0))</f>
        <v>0</v>
      </c>
      <c r="CU12" s="24"/>
      <c r="CV12" s="24"/>
      <c r="CW12" s="25">
        <f t="shared" ref="CW12:CW19" si="17">SUM(CK12:CV12)</f>
        <v>0</v>
      </c>
      <c r="CY12" s="24"/>
      <c r="CZ12" s="24"/>
      <c r="DA12" s="24"/>
      <c r="DB12" s="24">
        <f>SUMIFS(Libro_Diario[Detalles],Libro_Diario[[Categoria ]],Ingresos[[#Headers],[Ingresos]],Libro_Diario[[Cantidad ]],Ingresos[[#This Row],[Ingresos]],Libro_Diario[[Tipo ]],"&gt;="&amp;'Libro Mayor'!DB$9,Libro_Diario[[Tipo ]],"&lt;="&amp;EOMONTH('Libro Mayor'!DB$9,0))</f>
        <v>0</v>
      </c>
      <c r="DC12" s="24"/>
      <c r="DD12" s="24"/>
      <c r="DE12" s="24"/>
      <c r="DF12" s="24">
        <f>SUMIFS(Libro_Diario[[Cantidad ]],Libro_Diario[[Tipo ]],Ingresos[[#Headers],[Ingresos]],Libro_Diario[[Categoria ]],Ingresos[[#This Row],[Ingresos]],Libro_Diario[Fecha],"&gt;="&amp;'Libro Mayor'!DF$9,Libro_Diario[Fecha],"&lt;="&amp;EOMONTH('Libro Mayor'!DF$9,0))</f>
        <v>0</v>
      </c>
      <c r="DG12" s="24"/>
      <c r="DH12" s="24">
        <f>SUMIFS(Libro_Diario[[Cantidad ]],Libro_Diario[[Tipo ]],Ingresos[[#Headers],[Ingresos]],Libro_Diario[[Categoria ]],Ingresos[[#This Row],[Ingresos]],Libro_Diario[Fecha],"&gt;="&amp;'Libro Mayor'!DH$9,Libro_Diario[Fecha],"&lt;="&amp;EOMONTH('Libro Mayor'!DH$9,0))</f>
        <v>0</v>
      </c>
      <c r="DI12" s="24"/>
      <c r="DJ12" s="24"/>
      <c r="DK12" s="25">
        <f t="shared" ref="DK12:DK19" si="18">SUM(CY12:DJ12)</f>
        <v>0</v>
      </c>
      <c r="DM12" s="24"/>
      <c r="DN12" s="24"/>
      <c r="DO12" s="24"/>
      <c r="DP12" s="24">
        <f>SUMIFS(Libro_Diario[Detalles],Libro_Diario[[Categoria ]],Ingresos[[#Headers],[Ingresos]],Libro_Diario[[Cantidad ]],Ingresos[[#This Row],[Ingresos]],Libro_Diario[[Tipo ]],"&gt;="&amp;'Libro Mayor'!DP$9,Libro_Diario[[Tipo ]],"&lt;="&amp;EOMONTH('Libro Mayor'!DP$9,0))</f>
        <v>0</v>
      </c>
      <c r="DQ12" s="24"/>
      <c r="DR12" s="24"/>
      <c r="DS12" s="24"/>
      <c r="DT12" s="24">
        <f>SUMIFS(Libro_Diario[[Cantidad ]],Libro_Diario[[Tipo ]],Ingresos[[#Headers],[Ingresos]],Libro_Diario[[Categoria ]],Ingresos[[#This Row],[Ingresos]],Libro_Diario[Fecha],"&gt;="&amp;'Libro Mayor'!DT$9,Libro_Diario[Fecha],"&lt;="&amp;EOMONTH('Libro Mayor'!DT$9,0))</f>
        <v>0</v>
      </c>
      <c r="DU12" s="24"/>
      <c r="DV12" s="24">
        <f>SUMIFS(Libro_Diario[[Cantidad ]],Libro_Diario[[Tipo ]],Ingresos[[#Headers],[Ingresos]],Libro_Diario[[Categoria ]],Ingresos[[#This Row],[Ingresos]],Libro_Diario[Fecha],"&gt;="&amp;'Libro Mayor'!DV$9,Libro_Diario[Fecha],"&lt;="&amp;EOMONTH('Libro Mayor'!DV$9,0))</f>
        <v>0</v>
      </c>
      <c r="DW12" s="24"/>
      <c r="DX12" s="24"/>
      <c r="DY12" s="25">
        <f t="shared" ref="DY12:DY19" si="19">SUM(DM12:DX12)</f>
        <v>0</v>
      </c>
      <c r="EA12" s="24"/>
      <c r="EB12" s="24"/>
      <c r="EC12" s="24"/>
      <c r="ED12" s="24">
        <f>SUMIFS(Libro_Diario[Detalles],Libro_Diario[[Categoria ]],Ingresos[[#Headers],[Ingresos]],Libro_Diario[[Cantidad ]],Ingresos[[#This Row],[Ingresos]],Libro_Diario[[Tipo ]],"&gt;="&amp;'Libro Mayor'!ED$9,Libro_Diario[[Tipo ]],"&lt;="&amp;EOMONTH('Libro Mayor'!ED$9,0))</f>
        <v>0</v>
      </c>
      <c r="EE12" s="24"/>
      <c r="EF12" s="24"/>
      <c r="EG12" s="24"/>
      <c r="EH12" s="24">
        <f>SUMIFS(Libro_Diario[[Cantidad ]],Libro_Diario[[Tipo ]],Ingresos[[#Headers],[Ingresos]],Libro_Diario[[Categoria ]],Ingresos[[#This Row],[Ingresos]],Libro_Diario[Fecha],"&gt;="&amp;'Libro Mayor'!EH$9,Libro_Diario[Fecha],"&lt;="&amp;EOMONTH('Libro Mayor'!EH$9,0))</f>
        <v>0</v>
      </c>
      <c r="EI12" s="24"/>
      <c r="EJ12" s="24">
        <f>SUMIFS(Libro_Diario[[Cantidad ]],Libro_Diario[[Tipo ]],Ingresos[[#Headers],[Ingresos]],Libro_Diario[[Categoria ]],Ingresos[[#This Row],[Ingresos]],Libro_Diario[Fecha],"&gt;="&amp;'Libro Mayor'!EJ$9,Libro_Diario[Fecha],"&lt;="&amp;EOMONTH('Libro Mayor'!EJ$9,0))</f>
        <v>0</v>
      </c>
      <c r="EK12" s="24"/>
      <c r="EL12" s="24"/>
      <c r="EM12" s="25">
        <f t="shared" ref="EM12:EM19" si="20">SUM(EA12:EL12)</f>
        <v>0</v>
      </c>
      <c r="EO12" s="24">
        <f>SUMIFS(Libro_Diario[[Cantidad ]],Libro_Diario[[Tipo ]],Ingresos[[#Headers],[Ingresos]],Libro_Diario[[Categoria ]],Ingresos[[#This Row],[Ingresos]],Libro_Diario[Fecha],"&gt;="&amp;'Libro Mayor'!EO$9,Libro_Diario[Fecha],"&lt;="&amp;EOMONTH('Libro Mayor'!EO$9,0))</f>
        <v>0</v>
      </c>
      <c r="EP12" s="24">
        <f>SUMIFS(Libro_Diario[[Cantidad ]],Libro_Diario[[Tipo ]],Ingresos[[#Headers],[Ingresos]],Libro_Diario[[Categoria ]],Ingresos[[#This Row],[Ingresos]],Libro_Diario[Fecha],"&gt;="&amp;'Libro Mayor'!EP$9,Libro_Diario[Fecha],"&lt;="&amp;EOMONTH('Libro Mayor'!EP$9,0))</f>
        <v>0</v>
      </c>
      <c r="EQ12" s="24">
        <f>SUMIFS(Libro_Diario[[Cantidad ]],Libro_Diario[[Tipo ]],Ingresos[[#Headers],[Ingresos]],Libro_Diario[[Categoria ]],Ingresos[[#This Row],[Ingresos]],Libro_Diario[Fecha],"&gt;="&amp;'Libro Mayor'!EQ$9,Libro_Diario[Fecha],"&lt;="&amp;EOMONTH('Libro Mayor'!EQ$9,0))</f>
        <v>0</v>
      </c>
      <c r="ER12" s="24">
        <f>SUMIFS(Libro_Diario[[Cantidad ]],Libro_Diario[[Tipo ]],Ingresos[[#Headers],[Ingresos]],Libro_Diario[[Categoria ]],Ingresos[[#This Row],[Ingresos]],Libro_Diario[Fecha],"&gt;="&amp;'Libro Mayor'!ER$9,Libro_Diario[Fecha],"&lt;="&amp;EOMONTH('Libro Mayor'!ER$9,0))</f>
        <v>0</v>
      </c>
      <c r="ES12" s="24">
        <f>SUMIFS(Libro_Diario[[Cantidad ]],Libro_Diario[[Tipo ]],Ingresos[[#Headers],[Ingresos]],Libro_Diario[[Categoria ]],Ingresos[[#This Row],[Ingresos]],Libro_Diario[Fecha],"&gt;="&amp;'Libro Mayor'!ES$9,Libro_Diario[Fecha],"&lt;="&amp;EOMONTH('Libro Mayor'!ES$9,0))</f>
        <v>0</v>
      </c>
      <c r="ET12" s="24">
        <f>SUMIFS(Libro_Diario[[Cantidad ]],Libro_Diario[[Tipo ]],Ingresos[[#Headers],[Ingresos]],Libro_Diario[[Categoria ]],Ingresos[[#This Row],[Ingresos]],Libro_Diario[Fecha],"&gt;="&amp;'Libro Mayor'!ET$9,Libro_Diario[Fecha],"&lt;="&amp;EOMONTH('Libro Mayor'!ET$9,0))</f>
        <v>0</v>
      </c>
      <c r="EU12" s="24">
        <f>SUMIFS(Libro_Diario[[Cantidad ]],Libro_Diario[[Tipo ]],Ingresos[[#Headers],[Ingresos]],Libro_Diario[[Categoria ]],Ingresos[[#This Row],[Ingresos]],Libro_Diario[Fecha],"&gt;="&amp;'Libro Mayor'!EU$9,Libro_Diario[Fecha],"&lt;="&amp;EOMONTH('Libro Mayor'!EU$9,0))</f>
        <v>0</v>
      </c>
      <c r="EV12" s="24">
        <f>SUMIFS(Libro_Diario[[Cantidad ]],Libro_Diario[[Tipo ]],Ingresos[[#Headers],[Ingresos]],Libro_Diario[[Categoria ]],Ingresos[[#This Row],[Ingresos]],Libro_Diario[Fecha],"&gt;="&amp;'Libro Mayor'!EV$9,Libro_Diario[Fecha],"&lt;="&amp;EOMONTH('Libro Mayor'!EV$9,0))</f>
        <v>0</v>
      </c>
      <c r="EW12" s="24">
        <f>SUMIFS(Libro_Diario[[Cantidad ]],Libro_Diario[[Tipo ]],Ingresos[[#Headers],[Ingresos]],Libro_Diario[[Categoria ]],Ingresos[[#This Row],[Ingresos]],Libro_Diario[Fecha],"&gt;="&amp;'Libro Mayor'!EW$9,Libro_Diario[Fecha],"&lt;="&amp;EOMONTH('Libro Mayor'!EW$9,0))</f>
        <v>0</v>
      </c>
      <c r="EX12" s="24">
        <f>SUMIFS(Libro_Diario[[Cantidad ]],Libro_Diario[[Tipo ]],Ingresos[[#Headers],[Ingresos]],Libro_Diario[[Categoria ]],Ingresos[[#This Row],[Ingresos]],Libro_Diario[Fecha],"&gt;="&amp;'Libro Mayor'!EX$9,Libro_Diario[Fecha],"&lt;="&amp;EOMONTH('Libro Mayor'!EX$9,0))</f>
        <v>0</v>
      </c>
      <c r="EY12" s="24">
        <f>SUMIFS(Libro_Diario[[Cantidad ]],Libro_Diario[[Tipo ]],Ingresos[[#Headers],[Ingresos]],Libro_Diario[[Categoria ]],Ingresos[[#This Row],[Ingresos]],Libro_Diario[Fecha],"&gt;="&amp;'Libro Mayor'!EY$9,Libro_Diario[Fecha],"&lt;="&amp;EOMONTH('Libro Mayor'!EY$9,0))</f>
        <v>0</v>
      </c>
      <c r="EZ12" s="24">
        <f>SUMIFS(Libro_Diario[[Cantidad ]],Libro_Diario[[Tipo ]],Ingresos[[#Headers],[Ingresos]],Libro_Diario[[Categoria ]],Ingresos[[#This Row],[Ingresos]],Libro_Diario[Fecha],"&gt;="&amp;'Libro Mayor'!EZ$9,Libro_Diario[Fecha],"&lt;="&amp;EOMONTH('Libro Mayor'!EZ$9,0))</f>
        <v>0</v>
      </c>
      <c r="FA12" s="25">
        <f t="shared" ref="FA12:FA19" si="21">SUM(EO12:EZ12)</f>
        <v>0</v>
      </c>
    </row>
    <row r="13" spans="3:157" hidden="1" x14ac:dyDescent="0.3">
      <c r="C13" s="22" t="s">
        <v>6</v>
      </c>
      <c r="D13" s="23"/>
      <c r="E13" s="24"/>
      <c r="F13" s="24"/>
      <c r="G13" s="24"/>
      <c r="H13" s="24">
        <f>SUMIFS(Libro_Diario[[Cantidad ]],Libro_Diario[[Tipo ]],Ingresos[[#Headers],[Ingresos]],Libro_Diario[[Categoria ]],Ingresos[[#This Row],[Ingresos]],Libro_Diario[Fecha],"&gt;="&amp;'Libro Mayor'!H$9,Libro_Diario[Fecha],"&lt;="&amp;EOMONTH('Libro Mayor'!H$9,0))</f>
        <v>0</v>
      </c>
      <c r="I13" s="24"/>
      <c r="J13" s="24"/>
      <c r="K13" s="24"/>
      <c r="L13" s="24"/>
      <c r="M13" s="24"/>
      <c r="N13" s="24"/>
      <c r="O13" s="24"/>
      <c r="P13" s="24"/>
      <c r="Q13" s="25">
        <f t="shared" si="11"/>
        <v>0</v>
      </c>
      <c r="S13" s="24"/>
      <c r="T13" s="24"/>
      <c r="U13" s="24"/>
      <c r="V13" s="24">
        <f>SUMIFS(Libro_Diario[Detalles],Libro_Diario[[Categoria ]],Ingresos[[#Headers],[Ingresos]],Libro_Diario[[Cantidad ]],Ingresos[[#This Row],[Ingresos]],Libro_Diario[[Tipo ]],"&gt;="&amp;'Libro Mayor'!V$9,Libro_Diario[[Tipo ]],"&lt;="&amp;EOMONTH('Libro Mayor'!V$9,0))</f>
        <v>0</v>
      </c>
      <c r="W13" s="24"/>
      <c r="X13" s="24"/>
      <c r="Y13" s="24"/>
      <c r="Z13" s="24">
        <f>SUMIFS(Libro_Diario[[Cantidad ]],Libro_Diario[[Tipo ]],Ingresos[[#Headers],[Ingresos]],Libro_Diario[[Categoria ]],Ingresos[[#This Row],[Ingresos]],Libro_Diario[Fecha],"&gt;="&amp;'Libro Mayor'!Z$9,Libro_Diario[Fecha],"&lt;="&amp;EOMONTH('Libro Mayor'!Z$9,0))</f>
        <v>0</v>
      </c>
      <c r="AA13" s="24"/>
      <c r="AB13" s="24">
        <f>SUMIFS(Libro_Diario[[Cantidad ]],Libro_Diario[[Tipo ]],Ingresos[[#Headers],[Ingresos]],Libro_Diario[[Categoria ]],Ingresos[[#This Row],[Ingresos]],Libro_Diario[Fecha],"&gt;="&amp;'Libro Mayor'!AB$9,Libro_Diario[Fecha],"&lt;="&amp;EOMONTH('Libro Mayor'!AB$9,0))</f>
        <v>0</v>
      </c>
      <c r="AC13" s="24"/>
      <c r="AD13" s="24"/>
      <c r="AE13" s="25">
        <f t="shared" si="12"/>
        <v>0</v>
      </c>
      <c r="AG13" s="24"/>
      <c r="AH13" s="24"/>
      <c r="AI13" s="24"/>
      <c r="AJ13" s="24">
        <f>SUMIFS(Libro_Diario[Detalles],Libro_Diario[[Categoria ]],Ingresos[[#Headers],[Ingresos]],Libro_Diario[[Cantidad ]],Ingresos[[#This Row],[Ingresos]],Libro_Diario[[Tipo ]],"&gt;="&amp;'Libro Mayor'!AJ$9,Libro_Diario[[Tipo ]],"&lt;="&amp;EOMONTH('Libro Mayor'!AJ$9,0))</f>
        <v>0</v>
      </c>
      <c r="AK13" s="24"/>
      <c r="AL13" s="24"/>
      <c r="AM13" s="24"/>
      <c r="AN13" s="24">
        <f>SUMIFS(Libro_Diario[[Cantidad ]],Libro_Diario[[Tipo ]],Ingresos[[#Headers],[Ingresos]],Libro_Diario[[Categoria ]],Ingresos[[#This Row],[Ingresos]],Libro_Diario[Fecha],"&gt;="&amp;'Libro Mayor'!AN$9,Libro_Diario[Fecha],"&lt;="&amp;EOMONTH('Libro Mayor'!AN$9,0))</f>
        <v>0</v>
      </c>
      <c r="AO13" s="24"/>
      <c r="AP13" s="24">
        <f>SUMIFS(Libro_Diario[[Cantidad ]],Libro_Diario[[Tipo ]],Ingresos[[#Headers],[Ingresos]],Libro_Diario[[Categoria ]],Ingresos[[#This Row],[Ingresos]],Libro_Diario[Fecha],"&gt;="&amp;'Libro Mayor'!AP$9,Libro_Diario[Fecha],"&lt;="&amp;EOMONTH('Libro Mayor'!AP$9,0))</f>
        <v>0</v>
      </c>
      <c r="AQ13" s="24"/>
      <c r="AR13" s="24"/>
      <c r="AS13" s="25">
        <f t="shared" si="13"/>
        <v>0</v>
      </c>
      <c r="AU13" s="24"/>
      <c r="AV13" s="24"/>
      <c r="AW13" s="24"/>
      <c r="AX13" s="24">
        <f>SUMIFS(Libro_Diario[Detalles],Libro_Diario[[Categoria ]],Ingresos[[#Headers],[Ingresos]],Libro_Diario[[Cantidad ]],Ingresos[[#This Row],[Ingresos]],Libro_Diario[[Tipo ]],"&gt;="&amp;'Libro Mayor'!AX$9,Libro_Diario[[Tipo ]],"&lt;="&amp;EOMONTH('Libro Mayor'!AX$9,0))</f>
        <v>0</v>
      </c>
      <c r="AY13" s="24"/>
      <c r="AZ13" s="24"/>
      <c r="BA13" s="24"/>
      <c r="BB13" s="24">
        <f>SUMIFS(Libro_Diario[[Cantidad ]],Libro_Diario[[Tipo ]],Ingresos[[#Headers],[Ingresos]],Libro_Diario[[Categoria ]],Ingresos[[#This Row],[Ingresos]],Libro_Diario[Fecha],"&gt;="&amp;'Libro Mayor'!BB$9,Libro_Diario[Fecha],"&lt;="&amp;EOMONTH('Libro Mayor'!BB$9,0))</f>
        <v>0</v>
      </c>
      <c r="BC13" s="24"/>
      <c r="BD13" s="24">
        <f>SUMIFS(Libro_Diario[[Cantidad ]],Libro_Diario[[Tipo ]],Ingresos[[#Headers],[Ingresos]],Libro_Diario[[Categoria ]],Ingresos[[#This Row],[Ingresos]],Libro_Diario[Fecha],"&gt;="&amp;'Libro Mayor'!BD$9,Libro_Diario[Fecha],"&lt;="&amp;EOMONTH('Libro Mayor'!BD$9,0))</f>
        <v>0</v>
      </c>
      <c r="BE13" s="24"/>
      <c r="BF13" s="24"/>
      <c r="BG13" s="25">
        <f t="shared" si="14"/>
        <v>0</v>
      </c>
      <c r="BI13" s="24"/>
      <c r="BJ13" s="24"/>
      <c r="BK13" s="24"/>
      <c r="BL13" s="24">
        <f>SUMIFS(Libro_Diario[Detalles],Libro_Diario[[Categoria ]],Ingresos[[#Headers],[Ingresos]],Libro_Diario[[Cantidad ]],Ingresos[[#This Row],[Ingresos]],Libro_Diario[[Tipo ]],"&gt;="&amp;'Libro Mayor'!BL$9,Libro_Diario[[Tipo ]],"&lt;="&amp;EOMONTH('Libro Mayor'!BL$9,0))</f>
        <v>0</v>
      </c>
      <c r="BM13" s="24"/>
      <c r="BN13" s="24"/>
      <c r="BO13" s="24"/>
      <c r="BP13" s="24">
        <f>SUMIFS(Libro_Diario[[Cantidad ]],Libro_Diario[[Tipo ]],Ingresos[[#Headers],[Ingresos]],Libro_Diario[[Categoria ]],Ingresos[[#This Row],[Ingresos]],Libro_Diario[Fecha],"&gt;="&amp;'Libro Mayor'!BP$9,Libro_Diario[Fecha],"&lt;="&amp;EOMONTH('Libro Mayor'!BP$9,0))</f>
        <v>0</v>
      </c>
      <c r="BQ13" s="24"/>
      <c r="BR13" s="24">
        <f>SUMIFS(Libro_Diario[[Cantidad ]],Libro_Diario[[Tipo ]],Ingresos[[#Headers],[Ingresos]],Libro_Diario[[Categoria ]],Ingresos[[#This Row],[Ingresos]],Libro_Diario[Fecha],"&gt;="&amp;'Libro Mayor'!BR$9,Libro_Diario[Fecha],"&lt;="&amp;EOMONTH('Libro Mayor'!BR$9,0))</f>
        <v>0</v>
      </c>
      <c r="BS13" s="24"/>
      <c r="BT13" s="24"/>
      <c r="BU13" s="25">
        <f t="shared" si="15"/>
        <v>0</v>
      </c>
      <c r="BW13" s="24"/>
      <c r="BX13" s="24"/>
      <c r="BY13" s="24"/>
      <c r="BZ13" s="24">
        <f>SUMIFS(Libro_Diario[Detalles],Libro_Diario[[Categoria ]],Ingresos[[#Headers],[Ingresos]],Libro_Diario[[Cantidad ]],Ingresos[[#This Row],[Ingresos]],Libro_Diario[[Tipo ]],"&gt;="&amp;'Libro Mayor'!BZ$9,Libro_Diario[[Tipo ]],"&lt;="&amp;EOMONTH('Libro Mayor'!BZ$9,0))</f>
        <v>0</v>
      </c>
      <c r="CA13" s="24"/>
      <c r="CB13" s="24"/>
      <c r="CC13" s="24"/>
      <c r="CD13" s="24">
        <f>SUMIFS(Libro_Diario[[Cantidad ]],Libro_Diario[[Tipo ]],Ingresos[[#Headers],[Ingresos]],Libro_Diario[[Categoria ]],Ingresos[[#This Row],[Ingresos]],Libro_Diario[Fecha],"&gt;="&amp;'Libro Mayor'!CD$9,Libro_Diario[Fecha],"&lt;="&amp;EOMONTH('Libro Mayor'!CD$9,0))</f>
        <v>0</v>
      </c>
      <c r="CE13" s="24"/>
      <c r="CF13" s="24">
        <f>SUMIFS(Libro_Diario[[Cantidad ]],Libro_Diario[[Tipo ]],Ingresos[[#Headers],[Ingresos]],Libro_Diario[[Categoria ]],Ingresos[[#This Row],[Ingresos]],Libro_Diario[Fecha],"&gt;="&amp;'Libro Mayor'!CF$9,Libro_Diario[Fecha],"&lt;="&amp;EOMONTH('Libro Mayor'!CF$9,0))</f>
        <v>0</v>
      </c>
      <c r="CG13" s="24"/>
      <c r="CH13" s="24"/>
      <c r="CI13" s="25">
        <f t="shared" si="16"/>
        <v>0</v>
      </c>
      <c r="CK13" s="24"/>
      <c r="CL13" s="24"/>
      <c r="CM13" s="24"/>
      <c r="CN13" s="24">
        <f>SUMIFS(Libro_Diario[Detalles],Libro_Diario[[Categoria ]],Ingresos[[#Headers],[Ingresos]],Libro_Diario[[Cantidad ]],Ingresos[[#This Row],[Ingresos]],Libro_Diario[[Tipo ]],"&gt;="&amp;'Libro Mayor'!CN$9,Libro_Diario[[Tipo ]],"&lt;="&amp;EOMONTH('Libro Mayor'!CN$9,0))</f>
        <v>0</v>
      </c>
      <c r="CO13" s="24"/>
      <c r="CP13" s="24"/>
      <c r="CQ13" s="24"/>
      <c r="CR13" s="24">
        <f>SUMIFS(Libro_Diario[[Cantidad ]],Libro_Diario[[Tipo ]],Ingresos[[#Headers],[Ingresos]],Libro_Diario[[Categoria ]],Ingresos[[#This Row],[Ingresos]],Libro_Diario[Fecha],"&gt;="&amp;'Libro Mayor'!CR$9,Libro_Diario[Fecha],"&lt;="&amp;EOMONTH('Libro Mayor'!CR$9,0))</f>
        <v>0</v>
      </c>
      <c r="CS13" s="24"/>
      <c r="CT13" s="24">
        <f>SUMIFS(Libro_Diario[[Cantidad ]],Libro_Diario[[Tipo ]],Ingresos[[#Headers],[Ingresos]],Libro_Diario[[Categoria ]],Ingresos[[#This Row],[Ingresos]],Libro_Diario[Fecha],"&gt;="&amp;'Libro Mayor'!CT$9,Libro_Diario[Fecha],"&lt;="&amp;EOMONTH('Libro Mayor'!CT$9,0))</f>
        <v>0</v>
      </c>
      <c r="CU13" s="24"/>
      <c r="CV13" s="24"/>
      <c r="CW13" s="25">
        <f t="shared" si="17"/>
        <v>0</v>
      </c>
      <c r="CY13" s="24"/>
      <c r="CZ13" s="24"/>
      <c r="DA13" s="24"/>
      <c r="DB13" s="24">
        <f>SUMIFS(Libro_Diario[Detalles],Libro_Diario[[Categoria ]],Ingresos[[#Headers],[Ingresos]],Libro_Diario[[Cantidad ]],Ingresos[[#This Row],[Ingresos]],Libro_Diario[[Tipo ]],"&gt;="&amp;'Libro Mayor'!DB$9,Libro_Diario[[Tipo ]],"&lt;="&amp;EOMONTH('Libro Mayor'!DB$9,0))</f>
        <v>0</v>
      </c>
      <c r="DC13" s="24"/>
      <c r="DD13" s="24"/>
      <c r="DE13" s="24"/>
      <c r="DF13" s="24">
        <f>SUMIFS(Libro_Diario[[Cantidad ]],Libro_Diario[[Tipo ]],Ingresos[[#Headers],[Ingresos]],Libro_Diario[[Categoria ]],Ingresos[[#This Row],[Ingresos]],Libro_Diario[Fecha],"&gt;="&amp;'Libro Mayor'!DF$9,Libro_Diario[Fecha],"&lt;="&amp;EOMONTH('Libro Mayor'!DF$9,0))</f>
        <v>0</v>
      </c>
      <c r="DG13" s="24"/>
      <c r="DH13" s="24">
        <f>SUMIFS(Libro_Diario[[Cantidad ]],Libro_Diario[[Tipo ]],Ingresos[[#Headers],[Ingresos]],Libro_Diario[[Categoria ]],Ingresos[[#This Row],[Ingresos]],Libro_Diario[Fecha],"&gt;="&amp;'Libro Mayor'!DH$9,Libro_Diario[Fecha],"&lt;="&amp;EOMONTH('Libro Mayor'!DH$9,0))</f>
        <v>0</v>
      </c>
      <c r="DI13" s="24"/>
      <c r="DJ13" s="24"/>
      <c r="DK13" s="25">
        <f t="shared" si="18"/>
        <v>0</v>
      </c>
      <c r="DM13" s="24"/>
      <c r="DN13" s="24"/>
      <c r="DO13" s="24"/>
      <c r="DP13" s="24">
        <f>SUMIFS(Libro_Diario[Detalles],Libro_Diario[[Categoria ]],Ingresos[[#Headers],[Ingresos]],Libro_Diario[[Cantidad ]],Ingresos[[#This Row],[Ingresos]],Libro_Diario[[Tipo ]],"&gt;="&amp;'Libro Mayor'!DP$9,Libro_Diario[[Tipo ]],"&lt;="&amp;EOMONTH('Libro Mayor'!DP$9,0))</f>
        <v>0</v>
      </c>
      <c r="DQ13" s="24"/>
      <c r="DR13" s="24"/>
      <c r="DS13" s="24"/>
      <c r="DT13" s="24">
        <f>SUMIFS(Libro_Diario[[Cantidad ]],Libro_Diario[[Tipo ]],Ingresos[[#Headers],[Ingresos]],Libro_Diario[[Categoria ]],Ingresos[[#This Row],[Ingresos]],Libro_Diario[Fecha],"&gt;="&amp;'Libro Mayor'!DT$9,Libro_Diario[Fecha],"&lt;="&amp;EOMONTH('Libro Mayor'!DT$9,0))</f>
        <v>0</v>
      </c>
      <c r="DU13" s="24"/>
      <c r="DV13" s="24">
        <f>SUMIFS(Libro_Diario[[Cantidad ]],Libro_Diario[[Tipo ]],Ingresos[[#Headers],[Ingresos]],Libro_Diario[[Categoria ]],Ingresos[[#This Row],[Ingresos]],Libro_Diario[Fecha],"&gt;="&amp;'Libro Mayor'!DV$9,Libro_Diario[Fecha],"&lt;="&amp;EOMONTH('Libro Mayor'!DV$9,0))</f>
        <v>0</v>
      </c>
      <c r="DW13" s="24"/>
      <c r="DX13" s="24"/>
      <c r="DY13" s="25">
        <f t="shared" si="19"/>
        <v>0</v>
      </c>
      <c r="EA13" s="24"/>
      <c r="EB13" s="24"/>
      <c r="EC13" s="24"/>
      <c r="ED13" s="24">
        <f>SUMIFS(Libro_Diario[Detalles],Libro_Diario[[Categoria ]],Ingresos[[#Headers],[Ingresos]],Libro_Diario[[Cantidad ]],Ingresos[[#This Row],[Ingresos]],Libro_Diario[[Tipo ]],"&gt;="&amp;'Libro Mayor'!ED$9,Libro_Diario[[Tipo ]],"&lt;="&amp;EOMONTH('Libro Mayor'!ED$9,0))</f>
        <v>0</v>
      </c>
      <c r="EE13" s="24"/>
      <c r="EF13" s="24"/>
      <c r="EG13" s="24"/>
      <c r="EH13" s="24">
        <f>SUMIFS(Libro_Diario[[Cantidad ]],Libro_Diario[[Tipo ]],Ingresos[[#Headers],[Ingresos]],Libro_Diario[[Categoria ]],Ingresos[[#This Row],[Ingresos]],Libro_Diario[Fecha],"&gt;="&amp;'Libro Mayor'!EH$9,Libro_Diario[Fecha],"&lt;="&amp;EOMONTH('Libro Mayor'!EH$9,0))</f>
        <v>0</v>
      </c>
      <c r="EI13" s="24"/>
      <c r="EJ13" s="24">
        <f>SUMIFS(Libro_Diario[[Cantidad ]],Libro_Diario[[Tipo ]],Ingresos[[#Headers],[Ingresos]],Libro_Diario[[Categoria ]],Ingresos[[#This Row],[Ingresos]],Libro_Diario[Fecha],"&gt;="&amp;'Libro Mayor'!EJ$9,Libro_Diario[Fecha],"&lt;="&amp;EOMONTH('Libro Mayor'!EJ$9,0))</f>
        <v>0</v>
      </c>
      <c r="EK13" s="24"/>
      <c r="EL13" s="24"/>
      <c r="EM13" s="25">
        <f t="shared" si="20"/>
        <v>0</v>
      </c>
      <c r="EO13" s="24">
        <f>SUMIFS(Libro_Diario[[Cantidad ]],Libro_Diario[[Tipo ]],Ingresos[[#Headers],[Ingresos]],Libro_Diario[[Categoria ]],Ingresos[[#This Row],[Ingresos]],Libro_Diario[Fecha],"&gt;="&amp;'Libro Mayor'!EO$9,Libro_Diario[Fecha],"&lt;="&amp;EOMONTH('Libro Mayor'!EO$9,0))</f>
        <v>0</v>
      </c>
      <c r="EP13" s="24">
        <f>SUMIFS(Libro_Diario[[Cantidad ]],Libro_Diario[[Tipo ]],Ingresos[[#Headers],[Ingresos]],Libro_Diario[[Categoria ]],Ingresos[[#This Row],[Ingresos]],Libro_Diario[Fecha],"&gt;="&amp;'Libro Mayor'!EP$9,Libro_Diario[Fecha],"&lt;="&amp;EOMONTH('Libro Mayor'!EP$9,0))</f>
        <v>0</v>
      </c>
      <c r="EQ13" s="24">
        <f>SUMIFS(Libro_Diario[[Cantidad ]],Libro_Diario[[Tipo ]],Ingresos[[#Headers],[Ingresos]],Libro_Diario[[Categoria ]],Ingresos[[#This Row],[Ingresos]],Libro_Diario[Fecha],"&gt;="&amp;'Libro Mayor'!EQ$9,Libro_Diario[Fecha],"&lt;="&amp;EOMONTH('Libro Mayor'!EQ$9,0))</f>
        <v>0</v>
      </c>
      <c r="ER13" s="24">
        <f>SUMIFS(Libro_Diario[[Cantidad ]],Libro_Diario[[Tipo ]],Ingresos[[#Headers],[Ingresos]],Libro_Diario[[Categoria ]],Ingresos[[#This Row],[Ingresos]],Libro_Diario[Fecha],"&gt;="&amp;'Libro Mayor'!ER$9,Libro_Diario[Fecha],"&lt;="&amp;EOMONTH('Libro Mayor'!ER$9,0))</f>
        <v>0</v>
      </c>
      <c r="ES13" s="24">
        <f>SUMIFS(Libro_Diario[[Cantidad ]],Libro_Diario[[Tipo ]],Ingresos[[#Headers],[Ingresos]],Libro_Diario[[Categoria ]],Ingresos[[#This Row],[Ingresos]],Libro_Diario[Fecha],"&gt;="&amp;'Libro Mayor'!ES$9,Libro_Diario[Fecha],"&lt;="&amp;EOMONTH('Libro Mayor'!ES$9,0))</f>
        <v>0</v>
      </c>
      <c r="ET13" s="24">
        <f>SUMIFS(Libro_Diario[[Cantidad ]],Libro_Diario[[Tipo ]],Ingresos[[#Headers],[Ingresos]],Libro_Diario[[Categoria ]],Ingresos[[#This Row],[Ingresos]],Libro_Diario[Fecha],"&gt;="&amp;'Libro Mayor'!ET$9,Libro_Diario[Fecha],"&lt;="&amp;EOMONTH('Libro Mayor'!ET$9,0))</f>
        <v>0</v>
      </c>
      <c r="EU13" s="24">
        <f>SUMIFS(Libro_Diario[[Cantidad ]],Libro_Diario[[Tipo ]],Ingresos[[#Headers],[Ingresos]],Libro_Diario[[Categoria ]],Ingresos[[#This Row],[Ingresos]],Libro_Diario[Fecha],"&gt;="&amp;'Libro Mayor'!EU$9,Libro_Diario[Fecha],"&lt;="&amp;EOMONTH('Libro Mayor'!EU$9,0))</f>
        <v>0</v>
      </c>
      <c r="EV13" s="24">
        <f>SUMIFS(Libro_Diario[[Cantidad ]],Libro_Diario[[Tipo ]],Ingresos[[#Headers],[Ingresos]],Libro_Diario[[Categoria ]],Ingresos[[#This Row],[Ingresos]],Libro_Diario[Fecha],"&gt;="&amp;'Libro Mayor'!EV$9,Libro_Diario[Fecha],"&lt;="&amp;EOMONTH('Libro Mayor'!EV$9,0))</f>
        <v>0</v>
      </c>
      <c r="EW13" s="24">
        <f>SUMIFS(Libro_Diario[[Cantidad ]],Libro_Diario[[Tipo ]],Ingresos[[#Headers],[Ingresos]],Libro_Diario[[Categoria ]],Ingresos[[#This Row],[Ingresos]],Libro_Diario[Fecha],"&gt;="&amp;'Libro Mayor'!EW$9,Libro_Diario[Fecha],"&lt;="&amp;EOMONTH('Libro Mayor'!EW$9,0))</f>
        <v>0</v>
      </c>
      <c r="EX13" s="24">
        <f>SUMIFS(Libro_Diario[[Cantidad ]],Libro_Diario[[Tipo ]],Ingresos[[#Headers],[Ingresos]],Libro_Diario[[Categoria ]],Ingresos[[#This Row],[Ingresos]],Libro_Diario[Fecha],"&gt;="&amp;'Libro Mayor'!EX$9,Libro_Diario[Fecha],"&lt;="&amp;EOMONTH('Libro Mayor'!EX$9,0))</f>
        <v>0</v>
      </c>
      <c r="EY13" s="24">
        <f>SUMIFS(Libro_Diario[[Cantidad ]],Libro_Diario[[Tipo ]],Ingresos[[#Headers],[Ingresos]],Libro_Diario[[Categoria ]],Ingresos[[#This Row],[Ingresos]],Libro_Diario[Fecha],"&gt;="&amp;'Libro Mayor'!EY$9,Libro_Diario[Fecha],"&lt;="&amp;EOMONTH('Libro Mayor'!EY$9,0))</f>
        <v>0</v>
      </c>
      <c r="EZ13" s="24">
        <f>SUMIFS(Libro_Diario[[Cantidad ]],Libro_Diario[[Tipo ]],Ingresos[[#Headers],[Ingresos]],Libro_Diario[[Categoria ]],Ingresos[[#This Row],[Ingresos]],Libro_Diario[Fecha],"&gt;="&amp;'Libro Mayor'!EZ$9,Libro_Diario[Fecha],"&lt;="&amp;EOMONTH('Libro Mayor'!EZ$9,0))</f>
        <v>0</v>
      </c>
      <c r="FA13" s="25">
        <f t="shared" si="21"/>
        <v>0</v>
      </c>
    </row>
    <row r="14" spans="3:157" hidden="1" x14ac:dyDescent="0.3">
      <c r="C14" s="22" t="s">
        <v>6</v>
      </c>
      <c r="D14" s="23"/>
      <c r="E14" s="24"/>
      <c r="F14" s="24"/>
      <c r="G14" s="24"/>
      <c r="H14" s="24">
        <f>SUMIFS(Libro_Diario[[Cantidad ]],Libro_Diario[[Tipo ]],Ingresos[[#Headers],[Ingresos]],Libro_Diario[[Categoria ]],Ingresos[[#This Row],[Ingresos]],Libro_Diario[Fecha],"&gt;="&amp;'Libro Mayor'!H$9,Libro_Diario[Fecha],"&lt;="&amp;EOMONTH('Libro Mayor'!H$9,0))</f>
        <v>0</v>
      </c>
      <c r="I14" s="24"/>
      <c r="J14" s="24"/>
      <c r="K14" s="24"/>
      <c r="L14" s="24"/>
      <c r="M14" s="24"/>
      <c r="N14" s="24"/>
      <c r="O14" s="24"/>
      <c r="P14" s="24"/>
      <c r="Q14" s="25">
        <f t="shared" si="11"/>
        <v>0</v>
      </c>
      <c r="S14" s="24"/>
      <c r="T14" s="24"/>
      <c r="U14" s="24"/>
      <c r="V14" s="24">
        <f>SUMIFS(Libro_Diario[Detalles],Libro_Diario[[Categoria ]],Ingresos[[#Headers],[Ingresos]],Libro_Diario[[Cantidad ]],Ingresos[[#This Row],[Ingresos]],Libro_Diario[[Tipo ]],"&gt;="&amp;'Libro Mayor'!V$9,Libro_Diario[[Tipo ]],"&lt;="&amp;EOMONTH('Libro Mayor'!V$9,0))</f>
        <v>0</v>
      </c>
      <c r="W14" s="24"/>
      <c r="X14" s="24"/>
      <c r="Y14" s="24"/>
      <c r="Z14" s="24">
        <f>SUMIFS(Libro_Diario[[Cantidad ]],Libro_Diario[[Tipo ]],Ingresos[[#Headers],[Ingresos]],Libro_Diario[[Categoria ]],Ingresos[[#This Row],[Ingresos]],Libro_Diario[Fecha],"&gt;="&amp;'Libro Mayor'!Z$9,Libro_Diario[Fecha],"&lt;="&amp;EOMONTH('Libro Mayor'!Z$9,0))</f>
        <v>0</v>
      </c>
      <c r="AA14" s="24"/>
      <c r="AB14" s="24">
        <f>SUMIFS(Libro_Diario[[Cantidad ]],Libro_Diario[[Tipo ]],Ingresos[[#Headers],[Ingresos]],Libro_Diario[[Categoria ]],Ingresos[[#This Row],[Ingresos]],Libro_Diario[Fecha],"&gt;="&amp;'Libro Mayor'!AB$9,Libro_Diario[Fecha],"&lt;="&amp;EOMONTH('Libro Mayor'!AB$9,0))</f>
        <v>0</v>
      </c>
      <c r="AC14" s="24"/>
      <c r="AD14" s="24"/>
      <c r="AE14" s="25">
        <f t="shared" si="12"/>
        <v>0</v>
      </c>
      <c r="AG14" s="24"/>
      <c r="AH14" s="24"/>
      <c r="AI14" s="24"/>
      <c r="AJ14" s="24">
        <f>SUMIFS(Libro_Diario[Detalles],Libro_Diario[[Categoria ]],Ingresos[[#Headers],[Ingresos]],Libro_Diario[[Cantidad ]],Ingresos[[#This Row],[Ingresos]],Libro_Diario[[Tipo ]],"&gt;="&amp;'Libro Mayor'!AJ$9,Libro_Diario[[Tipo ]],"&lt;="&amp;EOMONTH('Libro Mayor'!AJ$9,0))</f>
        <v>0</v>
      </c>
      <c r="AK14" s="24"/>
      <c r="AL14" s="24"/>
      <c r="AM14" s="24"/>
      <c r="AN14" s="24">
        <f>SUMIFS(Libro_Diario[[Cantidad ]],Libro_Diario[[Tipo ]],Ingresos[[#Headers],[Ingresos]],Libro_Diario[[Categoria ]],Ingresos[[#This Row],[Ingresos]],Libro_Diario[Fecha],"&gt;="&amp;'Libro Mayor'!AN$9,Libro_Diario[Fecha],"&lt;="&amp;EOMONTH('Libro Mayor'!AN$9,0))</f>
        <v>0</v>
      </c>
      <c r="AO14" s="24"/>
      <c r="AP14" s="24">
        <f>SUMIFS(Libro_Diario[[Cantidad ]],Libro_Diario[[Tipo ]],Ingresos[[#Headers],[Ingresos]],Libro_Diario[[Categoria ]],Ingresos[[#This Row],[Ingresos]],Libro_Diario[Fecha],"&gt;="&amp;'Libro Mayor'!AP$9,Libro_Diario[Fecha],"&lt;="&amp;EOMONTH('Libro Mayor'!AP$9,0))</f>
        <v>0</v>
      </c>
      <c r="AQ14" s="24"/>
      <c r="AR14" s="24"/>
      <c r="AS14" s="25">
        <f t="shared" si="13"/>
        <v>0</v>
      </c>
      <c r="AU14" s="24"/>
      <c r="AV14" s="24"/>
      <c r="AW14" s="24"/>
      <c r="AX14" s="24">
        <f>SUMIFS(Libro_Diario[Detalles],Libro_Diario[[Categoria ]],Ingresos[[#Headers],[Ingresos]],Libro_Diario[[Cantidad ]],Ingresos[[#This Row],[Ingresos]],Libro_Diario[[Tipo ]],"&gt;="&amp;'Libro Mayor'!AX$9,Libro_Diario[[Tipo ]],"&lt;="&amp;EOMONTH('Libro Mayor'!AX$9,0))</f>
        <v>0</v>
      </c>
      <c r="AY14" s="24"/>
      <c r="AZ14" s="24"/>
      <c r="BA14" s="24"/>
      <c r="BB14" s="24">
        <f>SUMIFS(Libro_Diario[[Cantidad ]],Libro_Diario[[Tipo ]],Ingresos[[#Headers],[Ingresos]],Libro_Diario[[Categoria ]],Ingresos[[#This Row],[Ingresos]],Libro_Diario[Fecha],"&gt;="&amp;'Libro Mayor'!BB$9,Libro_Diario[Fecha],"&lt;="&amp;EOMONTH('Libro Mayor'!BB$9,0))</f>
        <v>0</v>
      </c>
      <c r="BC14" s="24"/>
      <c r="BD14" s="24">
        <f>SUMIFS(Libro_Diario[[Cantidad ]],Libro_Diario[[Tipo ]],Ingresos[[#Headers],[Ingresos]],Libro_Diario[[Categoria ]],Ingresos[[#This Row],[Ingresos]],Libro_Diario[Fecha],"&gt;="&amp;'Libro Mayor'!BD$9,Libro_Diario[Fecha],"&lt;="&amp;EOMONTH('Libro Mayor'!BD$9,0))</f>
        <v>0</v>
      </c>
      <c r="BE14" s="24"/>
      <c r="BF14" s="24"/>
      <c r="BG14" s="25">
        <f t="shared" si="14"/>
        <v>0</v>
      </c>
      <c r="BI14" s="24"/>
      <c r="BJ14" s="24"/>
      <c r="BK14" s="24"/>
      <c r="BL14" s="24">
        <f>SUMIFS(Libro_Diario[Detalles],Libro_Diario[[Categoria ]],Ingresos[[#Headers],[Ingresos]],Libro_Diario[[Cantidad ]],Ingresos[[#This Row],[Ingresos]],Libro_Diario[[Tipo ]],"&gt;="&amp;'Libro Mayor'!BL$9,Libro_Diario[[Tipo ]],"&lt;="&amp;EOMONTH('Libro Mayor'!BL$9,0))</f>
        <v>0</v>
      </c>
      <c r="BM14" s="24"/>
      <c r="BN14" s="24"/>
      <c r="BO14" s="24"/>
      <c r="BP14" s="24">
        <f>SUMIFS(Libro_Diario[[Cantidad ]],Libro_Diario[[Tipo ]],Ingresos[[#Headers],[Ingresos]],Libro_Diario[[Categoria ]],Ingresos[[#This Row],[Ingresos]],Libro_Diario[Fecha],"&gt;="&amp;'Libro Mayor'!BP$9,Libro_Diario[Fecha],"&lt;="&amp;EOMONTH('Libro Mayor'!BP$9,0))</f>
        <v>0</v>
      </c>
      <c r="BQ14" s="24"/>
      <c r="BR14" s="24">
        <f>SUMIFS(Libro_Diario[[Cantidad ]],Libro_Diario[[Tipo ]],Ingresos[[#Headers],[Ingresos]],Libro_Diario[[Categoria ]],Ingresos[[#This Row],[Ingresos]],Libro_Diario[Fecha],"&gt;="&amp;'Libro Mayor'!BR$9,Libro_Diario[Fecha],"&lt;="&amp;EOMONTH('Libro Mayor'!BR$9,0))</f>
        <v>0</v>
      </c>
      <c r="BS14" s="24"/>
      <c r="BT14" s="24"/>
      <c r="BU14" s="25">
        <f t="shared" si="15"/>
        <v>0</v>
      </c>
      <c r="BW14" s="24"/>
      <c r="BX14" s="24"/>
      <c r="BY14" s="24"/>
      <c r="BZ14" s="24">
        <f>SUMIFS(Libro_Diario[Detalles],Libro_Diario[[Categoria ]],Ingresos[[#Headers],[Ingresos]],Libro_Diario[[Cantidad ]],Ingresos[[#This Row],[Ingresos]],Libro_Diario[[Tipo ]],"&gt;="&amp;'Libro Mayor'!BZ$9,Libro_Diario[[Tipo ]],"&lt;="&amp;EOMONTH('Libro Mayor'!BZ$9,0))</f>
        <v>0</v>
      </c>
      <c r="CA14" s="24"/>
      <c r="CB14" s="24"/>
      <c r="CC14" s="24"/>
      <c r="CD14" s="24">
        <f>SUMIFS(Libro_Diario[[Cantidad ]],Libro_Diario[[Tipo ]],Ingresos[[#Headers],[Ingresos]],Libro_Diario[[Categoria ]],Ingresos[[#This Row],[Ingresos]],Libro_Diario[Fecha],"&gt;="&amp;'Libro Mayor'!CD$9,Libro_Diario[Fecha],"&lt;="&amp;EOMONTH('Libro Mayor'!CD$9,0))</f>
        <v>0</v>
      </c>
      <c r="CE14" s="24"/>
      <c r="CF14" s="24">
        <f>SUMIFS(Libro_Diario[[Cantidad ]],Libro_Diario[[Tipo ]],Ingresos[[#Headers],[Ingresos]],Libro_Diario[[Categoria ]],Ingresos[[#This Row],[Ingresos]],Libro_Diario[Fecha],"&gt;="&amp;'Libro Mayor'!CF$9,Libro_Diario[Fecha],"&lt;="&amp;EOMONTH('Libro Mayor'!CF$9,0))</f>
        <v>0</v>
      </c>
      <c r="CG14" s="24"/>
      <c r="CH14" s="24"/>
      <c r="CI14" s="25">
        <f t="shared" si="16"/>
        <v>0</v>
      </c>
      <c r="CK14" s="24"/>
      <c r="CL14" s="24"/>
      <c r="CM14" s="24"/>
      <c r="CN14" s="24">
        <f>SUMIFS(Libro_Diario[Detalles],Libro_Diario[[Categoria ]],Ingresos[[#Headers],[Ingresos]],Libro_Diario[[Cantidad ]],Ingresos[[#This Row],[Ingresos]],Libro_Diario[[Tipo ]],"&gt;="&amp;'Libro Mayor'!CN$9,Libro_Diario[[Tipo ]],"&lt;="&amp;EOMONTH('Libro Mayor'!CN$9,0))</f>
        <v>0</v>
      </c>
      <c r="CO14" s="24"/>
      <c r="CP14" s="24"/>
      <c r="CQ14" s="24"/>
      <c r="CR14" s="24">
        <f>SUMIFS(Libro_Diario[[Cantidad ]],Libro_Diario[[Tipo ]],Ingresos[[#Headers],[Ingresos]],Libro_Diario[[Categoria ]],Ingresos[[#This Row],[Ingresos]],Libro_Diario[Fecha],"&gt;="&amp;'Libro Mayor'!CR$9,Libro_Diario[Fecha],"&lt;="&amp;EOMONTH('Libro Mayor'!CR$9,0))</f>
        <v>0</v>
      </c>
      <c r="CS14" s="24"/>
      <c r="CT14" s="24">
        <f>SUMIFS(Libro_Diario[[Cantidad ]],Libro_Diario[[Tipo ]],Ingresos[[#Headers],[Ingresos]],Libro_Diario[[Categoria ]],Ingresos[[#This Row],[Ingresos]],Libro_Diario[Fecha],"&gt;="&amp;'Libro Mayor'!CT$9,Libro_Diario[Fecha],"&lt;="&amp;EOMONTH('Libro Mayor'!CT$9,0))</f>
        <v>0</v>
      </c>
      <c r="CU14" s="24"/>
      <c r="CV14" s="24"/>
      <c r="CW14" s="25">
        <f t="shared" si="17"/>
        <v>0</v>
      </c>
      <c r="CY14" s="24"/>
      <c r="CZ14" s="24"/>
      <c r="DA14" s="24"/>
      <c r="DB14" s="24">
        <f>SUMIFS(Libro_Diario[Detalles],Libro_Diario[[Categoria ]],Ingresos[[#Headers],[Ingresos]],Libro_Diario[[Cantidad ]],Ingresos[[#This Row],[Ingresos]],Libro_Diario[[Tipo ]],"&gt;="&amp;'Libro Mayor'!DB$9,Libro_Diario[[Tipo ]],"&lt;="&amp;EOMONTH('Libro Mayor'!DB$9,0))</f>
        <v>0</v>
      </c>
      <c r="DC14" s="24"/>
      <c r="DD14" s="24"/>
      <c r="DE14" s="24"/>
      <c r="DF14" s="24">
        <f>SUMIFS(Libro_Diario[[Cantidad ]],Libro_Diario[[Tipo ]],Ingresos[[#Headers],[Ingresos]],Libro_Diario[[Categoria ]],Ingresos[[#This Row],[Ingresos]],Libro_Diario[Fecha],"&gt;="&amp;'Libro Mayor'!DF$9,Libro_Diario[Fecha],"&lt;="&amp;EOMONTH('Libro Mayor'!DF$9,0))</f>
        <v>0</v>
      </c>
      <c r="DG14" s="24"/>
      <c r="DH14" s="24">
        <f>SUMIFS(Libro_Diario[[Cantidad ]],Libro_Diario[[Tipo ]],Ingresos[[#Headers],[Ingresos]],Libro_Diario[[Categoria ]],Ingresos[[#This Row],[Ingresos]],Libro_Diario[Fecha],"&gt;="&amp;'Libro Mayor'!DH$9,Libro_Diario[Fecha],"&lt;="&amp;EOMONTH('Libro Mayor'!DH$9,0))</f>
        <v>0</v>
      </c>
      <c r="DI14" s="24"/>
      <c r="DJ14" s="24"/>
      <c r="DK14" s="25">
        <f t="shared" si="18"/>
        <v>0</v>
      </c>
      <c r="DM14" s="24"/>
      <c r="DN14" s="24"/>
      <c r="DO14" s="24"/>
      <c r="DP14" s="24">
        <f>SUMIFS(Libro_Diario[Detalles],Libro_Diario[[Categoria ]],Ingresos[[#Headers],[Ingresos]],Libro_Diario[[Cantidad ]],Ingresos[[#This Row],[Ingresos]],Libro_Diario[[Tipo ]],"&gt;="&amp;'Libro Mayor'!DP$9,Libro_Diario[[Tipo ]],"&lt;="&amp;EOMONTH('Libro Mayor'!DP$9,0))</f>
        <v>0</v>
      </c>
      <c r="DQ14" s="24"/>
      <c r="DR14" s="24"/>
      <c r="DS14" s="24"/>
      <c r="DT14" s="24">
        <f>SUMIFS(Libro_Diario[[Cantidad ]],Libro_Diario[[Tipo ]],Ingresos[[#Headers],[Ingresos]],Libro_Diario[[Categoria ]],Ingresos[[#This Row],[Ingresos]],Libro_Diario[Fecha],"&gt;="&amp;'Libro Mayor'!DT$9,Libro_Diario[Fecha],"&lt;="&amp;EOMONTH('Libro Mayor'!DT$9,0))</f>
        <v>0</v>
      </c>
      <c r="DU14" s="24"/>
      <c r="DV14" s="24">
        <f>SUMIFS(Libro_Diario[[Cantidad ]],Libro_Diario[[Tipo ]],Ingresos[[#Headers],[Ingresos]],Libro_Diario[[Categoria ]],Ingresos[[#This Row],[Ingresos]],Libro_Diario[Fecha],"&gt;="&amp;'Libro Mayor'!DV$9,Libro_Diario[Fecha],"&lt;="&amp;EOMONTH('Libro Mayor'!DV$9,0))</f>
        <v>0</v>
      </c>
      <c r="DW14" s="24"/>
      <c r="DX14" s="24"/>
      <c r="DY14" s="25">
        <f t="shared" si="19"/>
        <v>0</v>
      </c>
      <c r="EA14" s="24"/>
      <c r="EB14" s="24"/>
      <c r="EC14" s="24"/>
      <c r="ED14" s="24">
        <f>SUMIFS(Libro_Diario[Detalles],Libro_Diario[[Categoria ]],Ingresos[[#Headers],[Ingresos]],Libro_Diario[[Cantidad ]],Ingresos[[#This Row],[Ingresos]],Libro_Diario[[Tipo ]],"&gt;="&amp;'Libro Mayor'!ED$9,Libro_Diario[[Tipo ]],"&lt;="&amp;EOMONTH('Libro Mayor'!ED$9,0))</f>
        <v>0</v>
      </c>
      <c r="EE14" s="24"/>
      <c r="EF14" s="24"/>
      <c r="EG14" s="24"/>
      <c r="EH14" s="24">
        <f>SUMIFS(Libro_Diario[[Cantidad ]],Libro_Diario[[Tipo ]],Ingresos[[#Headers],[Ingresos]],Libro_Diario[[Categoria ]],Ingresos[[#This Row],[Ingresos]],Libro_Diario[Fecha],"&gt;="&amp;'Libro Mayor'!EH$9,Libro_Diario[Fecha],"&lt;="&amp;EOMONTH('Libro Mayor'!EH$9,0))</f>
        <v>0</v>
      </c>
      <c r="EI14" s="24"/>
      <c r="EJ14" s="24">
        <f>SUMIFS(Libro_Diario[[Cantidad ]],Libro_Diario[[Tipo ]],Ingresos[[#Headers],[Ingresos]],Libro_Diario[[Categoria ]],Ingresos[[#This Row],[Ingresos]],Libro_Diario[Fecha],"&gt;="&amp;'Libro Mayor'!EJ$9,Libro_Diario[Fecha],"&lt;="&amp;EOMONTH('Libro Mayor'!EJ$9,0))</f>
        <v>0</v>
      </c>
      <c r="EK14" s="24"/>
      <c r="EL14" s="24"/>
      <c r="EM14" s="25">
        <f t="shared" si="20"/>
        <v>0</v>
      </c>
      <c r="EO14" s="24">
        <f>SUMIFS(Libro_Diario[[Cantidad ]],Libro_Diario[[Tipo ]],Ingresos[[#Headers],[Ingresos]],Libro_Diario[[Categoria ]],Ingresos[[#This Row],[Ingresos]],Libro_Diario[Fecha],"&gt;="&amp;'Libro Mayor'!EO$9,Libro_Diario[Fecha],"&lt;="&amp;EOMONTH('Libro Mayor'!EO$9,0))</f>
        <v>0</v>
      </c>
      <c r="EP14" s="24">
        <f>SUMIFS(Libro_Diario[[Cantidad ]],Libro_Diario[[Tipo ]],Ingresos[[#Headers],[Ingresos]],Libro_Diario[[Categoria ]],Ingresos[[#This Row],[Ingresos]],Libro_Diario[Fecha],"&gt;="&amp;'Libro Mayor'!EP$9,Libro_Diario[Fecha],"&lt;="&amp;EOMONTH('Libro Mayor'!EP$9,0))</f>
        <v>0</v>
      </c>
      <c r="EQ14" s="24">
        <f>SUMIFS(Libro_Diario[[Cantidad ]],Libro_Diario[[Tipo ]],Ingresos[[#Headers],[Ingresos]],Libro_Diario[[Categoria ]],Ingresos[[#This Row],[Ingresos]],Libro_Diario[Fecha],"&gt;="&amp;'Libro Mayor'!EQ$9,Libro_Diario[Fecha],"&lt;="&amp;EOMONTH('Libro Mayor'!EQ$9,0))</f>
        <v>0</v>
      </c>
      <c r="ER14" s="24">
        <f>SUMIFS(Libro_Diario[[Cantidad ]],Libro_Diario[[Tipo ]],Ingresos[[#Headers],[Ingresos]],Libro_Diario[[Categoria ]],Ingresos[[#This Row],[Ingresos]],Libro_Diario[Fecha],"&gt;="&amp;'Libro Mayor'!ER$9,Libro_Diario[Fecha],"&lt;="&amp;EOMONTH('Libro Mayor'!ER$9,0))</f>
        <v>0</v>
      </c>
      <c r="ES14" s="24">
        <f>SUMIFS(Libro_Diario[[Cantidad ]],Libro_Diario[[Tipo ]],Ingresos[[#Headers],[Ingresos]],Libro_Diario[[Categoria ]],Ingresos[[#This Row],[Ingresos]],Libro_Diario[Fecha],"&gt;="&amp;'Libro Mayor'!ES$9,Libro_Diario[Fecha],"&lt;="&amp;EOMONTH('Libro Mayor'!ES$9,0))</f>
        <v>0</v>
      </c>
      <c r="ET14" s="24">
        <f>SUMIFS(Libro_Diario[[Cantidad ]],Libro_Diario[[Tipo ]],Ingresos[[#Headers],[Ingresos]],Libro_Diario[[Categoria ]],Ingresos[[#This Row],[Ingresos]],Libro_Diario[Fecha],"&gt;="&amp;'Libro Mayor'!ET$9,Libro_Diario[Fecha],"&lt;="&amp;EOMONTH('Libro Mayor'!ET$9,0))</f>
        <v>0</v>
      </c>
      <c r="EU14" s="24">
        <f>SUMIFS(Libro_Diario[[Cantidad ]],Libro_Diario[[Tipo ]],Ingresos[[#Headers],[Ingresos]],Libro_Diario[[Categoria ]],Ingresos[[#This Row],[Ingresos]],Libro_Diario[Fecha],"&gt;="&amp;'Libro Mayor'!EU$9,Libro_Diario[Fecha],"&lt;="&amp;EOMONTH('Libro Mayor'!EU$9,0))</f>
        <v>0</v>
      </c>
      <c r="EV14" s="24">
        <f>SUMIFS(Libro_Diario[[Cantidad ]],Libro_Diario[[Tipo ]],Ingresos[[#Headers],[Ingresos]],Libro_Diario[[Categoria ]],Ingresos[[#This Row],[Ingresos]],Libro_Diario[Fecha],"&gt;="&amp;'Libro Mayor'!EV$9,Libro_Diario[Fecha],"&lt;="&amp;EOMONTH('Libro Mayor'!EV$9,0))</f>
        <v>0</v>
      </c>
      <c r="EW14" s="24">
        <f>SUMIFS(Libro_Diario[[Cantidad ]],Libro_Diario[[Tipo ]],Ingresos[[#Headers],[Ingresos]],Libro_Diario[[Categoria ]],Ingresos[[#This Row],[Ingresos]],Libro_Diario[Fecha],"&gt;="&amp;'Libro Mayor'!EW$9,Libro_Diario[Fecha],"&lt;="&amp;EOMONTH('Libro Mayor'!EW$9,0))</f>
        <v>0</v>
      </c>
      <c r="EX14" s="24">
        <f>SUMIFS(Libro_Diario[[Cantidad ]],Libro_Diario[[Tipo ]],Ingresos[[#Headers],[Ingresos]],Libro_Diario[[Categoria ]],Ingresos[[#This Row],[Ingresos]],Libro_Diario[Fecha],"&gt;="&amp;'Libro Mayor'!EX$9,Libro_Diario[Fecha],"&lt;="&amp;EOMONTH('Libro Mayor'!EX$9,0))</f>
        <v>0</v>
      </c>
      <c r="EY14" s="24">
        <f>SUMIFS(Libro_Diario[[Cantidad ]],Libro_Diario[[Tipo ]],Ingresos[[#Headers],[Ingresos]],Libro_Diario[[Categoria ]],Ingresos[[#This Row],[Ingresos]],Libro_Diario[Fecha],"&gt;="&amp;'Libro Mayor'!EY$9,Libro_Diario[Fecha],"&lt;="&amp;EOMONTH('Libro Mayor'!EY$9,0))</f>
        <v>0</v>
      </c>
      <c r="EZ14" s="24">
        <f>SUMIFS(Libro_Diario[[Cantidad ]],Libro_Diario[[Tipo ]],Ingresos[[#Headers],[Ingresos]],Libro_Diario[[Categoria ]],Ingresos[[#This Row],[Ingresos]],Libro_Diario[Fecha],"&gt;="&amp;'Libro Mayor'!EZ$9,Libro_Diario[Fecha],"&lt;="&amp;EOMONTH('Libro Mayor'!EZ$9,0))</f>
        <v>0</v>
      </c>
      <c r="FA14" s="25">
        <f t="shared" si="21"/>
        <v>0</v>
      </c>
    </row>
    <row r="15" spans="3:157" hidden="1" x14ac:dyDescent="0.3">
      <c r="C15" s="22" t="s">
        <v>6</v>
      </c>
      <c r="D15" s="23"/>
      <c r="E15" s="24"/>
      <c r="F15" s="24"/>
      <c r="G15" s="24"/>
      <c r="H15" s="24">
        <f>SUMIFS(Libro_Diario[[Cantidad ]],Libro_Diario[[Tipo ]],Ingresos[[#Headers],[Ingresos]],Libro_Diario[[Categoria ]],Ingresos[[#This Row],[Ingresos]],Libro_Diario[Fecha],"&gt;="&amp;'Libro Mayor'!H$9,Libro_Diario[Fecha],"&lt;="&amp;EOMONTH('Libro Mayor'!H$9,0))</f>
        <v>0</v>
      </c>
      <c r="I15" s="24"/>
      <c r="J15" s="24"/>
      <c r="K15" s="24"/>
      <c r="L15" s="24"/>
      <c r="M15" s="24"/>
      <c r="N15" s="24"/>
      <c r="O15" s="24"/>
      <c r="P15" s="24"/>
      <c r="Q15" s="25">
        <f t="shared" si="11"/>
        <v>0</v>
      </c>
      <c r="S15" s="24"/>
      <c r="T15" s="24"/>
      <c r="U15" s="24"/>
      <c r="V15" s="24">
        <f>SUMIFS(Libro_Diario[Detalles],Libro_Diario[[Categoria ]],Ingresos[[#Headers],[Ingresos]],Libro_Diario[[Cantidad ]],Ingresos[[#This Row],[Ingresos]],Libro_Diario[[Tipo ]],"&gt;="&amp;'Libro Mayor'!V$9,Libro_Diario[[Tipo ]],"&lt;="&amp;EOMONTH('Libro Mayor'!V$9,0))</f>
        <v>0</v>
      </c>
      <c r="W15" s="24"/>
      <c r="X15" s="24"/>
      <c r="Y15" s="24"/>
      <c r="Z15" s="24">
        <f>SUMIFS(Libro_Diario[[Cantidad ]],Libro_Diario[[Tipo ]],Ingresos[[#Headers],[Ingresos]],Libro_Diario[[Categoria ]],Ingresos[[#This Row],[Ingresos]],Libro_Diario[Fecha],"&gt;="&amp;'Libro Mayor'!Z$9,Libro_Diario[Fecha],"&lt;="&amp;EOMONTH('Libro Mayor'!Z$9,0))</f>
        <v>0</v>
      </c>
      <c r="AA15" s="24"/>
      <c r="AB15" s="24">
        <f>SUMIFS(Libro_Diario[[Cantidad ]],Libro_Diario[[Tipo ]],Ingresos[[#Headers],[Ingresos]],Libro_Diario[[Categoria ]],Ingresos[[#This Row],[Ingresos]],Libro_Diario[Fecha],"&gt;="&amp;'Libro Mayor'!AB$9,Libro_Diario[Fecha],"&lt;="&amp;EOMONTH('Libro Mayor'!AB$9,0))</f>
        <v>0</v>
      </c>
      <c r="AC15" s="24"/>
      <c r="AD15" s="24"/>
      <c r="AE15" s="25">
        <f t="shared" si="12"/>
        <v>0</v>
      </c>
      <c r="AG15" s="24"/>
      <c r="AH15" s="24"/>
      <c r="AI15" s="24"/>
      <c r="AJ15" s="24">
        <f>SUMIFS(Libro_Diario[Detalles],Libro_Diario[[Categoria ]],Ingresos[[#Headers],[Ingresos]],Libro_Diario[[Cantidad ]],Ingresos[[#This Row],[Ingresos]],Libro_Diario[[Tipo ]],"&gt;="&amp;'Libro Mayor'!AJ$9,Libro_Diario[[Tipo ]],"&lt;="&amp;EOMONTH('Libro Mayor'!AJ$9,0))</f>
        <v>0</v>
      </c>
      <c r="AK15" s="24"/>
      <c r="AL15" s="24"/>
      <c r="AM15" s="24"/>
      <c r="AN15" s="24">
        <f>SUMIFS(Libro_Diario[[Cantidad ]],Libro_Diario[[Tipo ]],Ingresos[[#Headers],[Ingresos]],Libro_Diario[[Categoria ]],Ingresos[[#This Row],[Ingresos]],Libro_Diario[Fecha],"&gt;="&amp;'Libro Mayor'!AN$9,Libro_Diario[Fecha],"&lt;="&amp;EOMONTH('Libro Mayor'!AN$9,0))</f>
        <v>0</v>
      </c>
      <c r="AO15" s="24"/>
      <c r="AP15" s="24">
        <f>SUMIFS(Libro_Diario[[Cantidad ]],Libro_Diario[[Tipo ]],Ingresos[[#Headers],[Ingresos]],Libro_Diario[[Categoria ]],Ingresos[[#This Row],[Ingresos]],Libro_Diario[Fecha],"&gt;="&amp;'Libro Mayor'!AP$9,Libro_Diario[Fecha],"&lt;="&amp;EOMONTH('Libro Mayor'!AP$9,0))</f>
        <v>0</v>
      </c>
      <c r="AQ15" s="24"/>
      <c r="AR15" s="24"/>
      <c r="AS15" s="25">
        <f t="shared" si="13"/>
        <v>0</v>
      </c>
      <c r="AU15" s="24"/>
      <c r="AV15" s="24"/>
      <c r="AW15" s="24"/>
      <c r="AX15" s="24">
        <f>SUMIFS(Libro_Diario[Detalles],Libro_Diario[[Categoria ]],Ingresos[[#Headers],[Ingresos]],Libro_Diario[[Cantidad ]],Ingresos[[#This Row],[Ingresos]],Libro_Diario[[Tipo ]],"&gt;="&amp;'Libro Mayor'!AX$9,Libro_Diario[[Tipo ]],"&lt;="&amp;EOMONTH('Libro Mayor'!AX$9,0))</f>
        <v>0</v>
      </c>
      <c r="AY15" s="24"/>
      <c r="AZ15" s="24"/>
      <c r="BA15" s="24"/>
      <c r="BB15" s="24">
        <f>SUMIFS(Libro_Diario[[Cantidad ]],Libro_Diario[[Tipo ]],Ingresos[[#Headers],[Ingresos]],Libro_Diario[[Categoria ]],Ingresos[[#This Row],[Ingresos]],Libro_Diario[Fecha],"&gt;="&amp;'Libro Mayor'!BB$9,Libro_Diario[Fecha],"&lt;="&amp;EOMONTH('Libro Mayor'!BB$9,0))</f>
        <v>0</v>
      </c>
      <c r="BC15" s="24"/>
      <c r="BD15" s="24">
        <f>SUMIFS(Libro_Diario[[Cantidad ]],Libro_Diario[[Tipo ]],Ingresos[[#Headers],[Ingresos]],Libro_Diario[[Categoria ]],Ingresos[[#This Row],[Ingresos]],Libro_Diario[Fecha],"&gt;="&amp;'Libro Mayor'!BD$9,Libro_Diario[Fecha],"&lt;="&amp;EOMONTH('Libro Mayor'!BD$9,0))</f>
        <v>0</v>
      </c>
      <c r="BE15" s="24"/>
      <c r="BF15" s="24"/>
      <c r="BG15" s="25">
        <f t="shared" si="14"/>
        <v>0</v>
      </c>
      <c r="BI15" s="24"/>
      <c r="BJ15" s="24"/>
      <c r="BK15" s="24"/>
      <c r="BL15" s="24">
        <f>SUMIFS(Libro_Diario[Detalles],Libro_Diario[[Categoria ]],Ingresos[[#Headers],[Ingresos]],Libro_Diario[[Cantidad ]],Ingresos[[#This Row],[Ingresos]],Libro_Diario[[Tipo ]],"&gt;="&amp;'Libro Mayor'!BL$9,Libro_Diario[[Tipo ]],"&lt;="&amp;EOMONTH('Libro Mayor'!BL$9,0))</f>
        <v>0</v>
      </c>
      <c r="BM15" s="24"/>
      <c r="BN15" s="24"/>
      <c r="BO15" s="24"/>
      <c r="BP15" s="24">
        <f>SUMIFS(Libro_Diario[[Cantidad ]],Libro_Diario[[Tipo ]],Ingresos[[#Headers],[Ingresos]],Libro_Diario[[Categoria ]],Ingresos[[#This Row],[Ingresos]],Libro_Diario[Fecha],"&gt;="&amp;'Libro Mayor'!BP$9,Libro_Diario[Fecha],"&lt;="&amp;EOMONTH('Libro Mayor'!BP$9,0))</f>
        <v>0</v>
      </c>
      <c r="BQ15" s="24"/>
      <c r="BR15" s="24">
        <f>SUMIFS(Libro_Diario[[Cantidad ]],Libro_Diario[[Tipo ]],Ingresos[[#Headers],[Ingresos]],Libro_Diario[[Categoria ]],Ingresos[[#This Row],[Ingresos]],Libro_Diario[Fecha],"&gt;="&amp;'Libro Mayor'!BR$9,Libro_Diario[Fecha],"&lt;="&amp;EOMONTH('Libro Mayor'!BR$9,0))</f>
        <v>0</v>
      </c>
      <c r="BS15" s="24"/>
      <c r="BT15" s="24"/>
      <c r="BU15" s="25">
        <f t="shared" si="15"/>
        <v>0</v>
      </c>
      <c r="BW15" s="24"/>
      <c r="BX15" s="24"/>
      <c r="BY15" s="24"/>
      <c r="BZ15" s="24">
        <f>SUMIFS(Libro_Diario[Detalles],Libro_Diario[[Categoria ]],Ingresos[[#Headers],[Ingresos]],Libro_Diario[[Cantidad ]],Ingresos[[#This Row],[Ingresos]],Libro_Diario[[Tipo ]],"&gt;="&amp;'Libro Mayor'!BZ$9,Libro_Diario[[Tipo ]],"&lt;="&amp;EOMONTH('Libro Mayor'!BZ$9,0))</f>
        <v>0</v>
      </c>
      <c r="CA15" s="24"/>
      <c r="CB15" s="24"/>
      <c r="CC15" s="24"/>
      <c r="CD15" s="24">
        <f>SUMIFS(Libro_Diario[[Cantidad ]],Libro_Diario[[Tipo ]],Ingresos[[#Headers],[Ingresos]],Libro_Diario[[Categoria ]],Ingresos[[#This Row],[Ingresos]],Libro_Diario[Fecha],"&gt;="&amp;'Libro Mayor'!CD$9,Libro_Diario[Fecha],"&lt;="&amp;EOMONTH('Libro Mayor'!CD$9,0))</f>
        <v>0</v>
      </c>
      <c r="CE15" s="24"/>
      <c r="CF15" s="24">
        <f>SUMIFS(Libro_Diario[[Cantidad ]],Libro_Diario[[Tipo ]],Ingresos[[#Headers],[Ingresos]],Libro_Diario[[Categoria ]],Ingresos[[#This Row],[Ingresos]],Libro_Diario[Fecha],"&gt;="&amp;'Libro Mayor'!CF$9,Libro_Diario[Fecha],"&lt;="&amp;EOMONTH('Libro Mayor'!CF$9,0))</f>
        <v>0</v>
      </c>
      <c r="CG15" s="24"/>
      <c r="CH15" s="24"/>
      <c r="CI15" s="25">
        <f t="shared" si="16"/>
        <v>0</v>
      </c>
      <c r="CK15" s="24"/>
      <c r="CL15" s="24"/>
      <c r="CM15" s="24"/>
      <c r="CN15" s="24">
        <f>SUMIFS(Libro_Diario[Detalles],Libro_Diario[[Categoria ]],Ingresos[[#Headers],[Ingresos]],Libro_Diario[[Cantidad ]],Ingresos[[#This Row],[Ingresos]],Libro_Diario[[Tipo ]],"&gt;="&amp;'Libro Mayor'!CN$9,Libro_Diario[[Tipo ]],"&lt;="&amp;EOMONTH('Libro Mayor'!CN$9,0))</f>
        <v>0</v>
      </c>
      <c r="CO15" s="24"/>
      <c r="CP15" s="24"/>
      <c r="CQ15" s="24"/>
      <c r="CR15" s="24">
        <f>SUMIFS(Libro_Diario[[Cantidad ]],Libro_Diario[[Tipo ]],Ingresos[[#Headers],[Ingresos]],Libro_Diario[[Categoria ]],Ingresos[[#This Row],[Ingresos]],Libro_Diario[Fecha],"&gt;="&amp;'Libro Mayor'!CR$9,Libro_Diario[Fecha],"&lt;="&amp;EOMONTH('Libro Mayor'!CR$9,0))</f>
        <v>0</v>
      </c>
      <c r="CS15" s="24"/>
      <c r="CT15" s="24">
        <f>SUMIFS(Libro_Diario[[Cantidad ]],Libro_Diario[[Tipo ]],Ingresos[[#Headers],[Ingresos]],Libro_Diario[[Categoria ]],Ingresos[[#This Row],[Ingresos]],Libro_Diario[Fecha],"&gt;="&amp;'Libro Mayor'!CT$9,Libro_Diario[Fecha],"&lt;="&amp;EOMONTH('Libro Mayor'!CT$9,0))</f>
        <v>0</v>
      </c>
      <c r="CU15" s="24"/>
      <c r="CV15" s="24"/>
      <c r="CW15" s="25">
        <f t="shared" si="17"/>
        <v>0</v>
      </c>
      <c r="CY15" s="24"/>
      <c r="CZ15" s="24"/>
      <c r="DA15" s="24"/>
      <c r="DB15" s="24">
        <f>SUMIFS(Libro_Diario[Detalles],Libro_Diario[[Categoria ]],Ingresos[[#Headers],[Ingresos]],Libro_Diario[[Cantidad ]],Ingresos[[#This Row],[Ingresos]],Libro_Diario[[Tipo ]],"&gt;="&amp;'Libro Mayor'!DB$9,Libro_Diario[[Tipo ]],"&lt;="&amp;EOMONTH('Libro Mayor'!DB$9,0))</f>
        <v>0</v>
      </c>
      <c r="DC15" s="24"/>
      <c r="DD15" s="24"/>
      <c r="DE15" s="24"/>
      <c r="DF15" s="24">
        <f>SUMIFS(Libro_Diario[[Cantidad ]],Libro_Diario[[Tipo ]],Ingresos[[#Headers],[Ingresos]],Libro_Diario[[Categoria ]],Ingresos[[#This Row],[Ingresos]],Libro_Diario[Fecha],"&gt;="&amp;'Libro Mayor'!DF$9,Libro_Diario[Fecha],"&lt;="&amp;EOMONTH('Libro Mayor'!DF$9,0))</f>
        <v>0</v>
      </c>
      <c r="DG15" s="24"/>
      <c r="DH15" s="24">
        <f>SUMIFS(Libro_Diario[[Cantidad ]],Libro_Diario[[Tipo ]],Ingresos[[#Headers],[Ingresos]],Libro_Diario[[Categoria ]],Ingresos[[#This Row],[Ingresos]],Libro_Diario[Fecha],"&gt;="&amp;'Libro Mayor'!DH$9,Libro_Diario[Fecha],"&lt;="&amp;EOMONTH('Libro Mayor'!DH$9,0))</f>
        <v>0</v>
      </c>
      <c r="DI15" s="24"/>
      <c r="DJ15" s="24"/>
      <c r="DK15" s="25">
        <f t="shared" si="18"/>
        <v>0</v>
      </c>
      <c r="DM15" s="24"/>
      <c r="DN15" s="24"/>
      <c r="DO15" s="24"/>
      <c r="DP15" s="24">
        <f>SUMIFS(Libro_Diario[Detalles],Libro_Diario[[Categoria ]],Ingresos[[#Headers],[Ingresos]],Libro_Diario[[Cantidad ]],Ingresos[[#This Row],[Ingresos]],Libro_Diario[[Tipo ]],"&gt;="&amp;'Libro Mayor'!DP$9,Libro_Diario[[Tipo ]],"&lt;="&amp;EOMONTH('Libro Mayor'!DP$9,0))</f>
        <v>0</v>
      </c>
      <c r="DQ15" s="24"/>
      <c r="DR15" s="24"/>
      <c r="DS15" s="24"/>
      <c r="DT15" s="24">
        <f>SUMIFS(Libro_Diario[[Cantidad ]],Libro_Diario[[Tipo ]],Ingresos[[#Headers],[Ingresos]],Libro_Diario[[Categoria ]],Ingresos[[#This Row],[Ingresos]],Libro_Diario[Fecha],"&gt;="&amp;'Libro Mayor'!DT$9,Libro_Diario[Fecha],"&lt;="&amp;EOMONTH('Libro Mayor'!DT$9,0))</f>
        <v>0</v>
      </c>
      <c r="DU15" s="24"/>
      <c r="DV15" s="24">
        <f>SUMIFS(Libro_Diario[[Cantidad ]],Libro_Diario[[Tipo ]],Ingresos[[#Headers],[Ingresos]],Libro_Diario[[Categoria ]],Ingresos[[#This Row],[Ingresos]],Libro_Diario[Fecha],"&gt;="&amp;'Libro Mayor'!DV$9,Libro_Diario[Fecha],"&lt;="&amp;EOMONTH('Libro Mayor'!DV$9,0))</f>
        <v>0</v>
      </c>
      <c r="DW15" s="24"/>
      <c r="DX15" s="24"/>
      <c r="DY15" s="25">
        <f t="shared" si="19"/>
        <v>0</v>
      </c>
      <c r="EA15" s="24"/>
      <c r="EB15" s="24"/>
      <c r="EC15" s="24"/>
      <c r="ED15" s="24">
        <f>SUMIFS(Libro_Diario[Detalles],Libro_Diario[[Categoria ]],Ingresos[[#Headers],[Ingresos]],Libro_Diario[[Cantidad ]],Ingresos[[#This Row],[Ingresos]],Libro_Diario[[Tipo ]],"&gt;="&amp;'Libro Mayor'!ED$9,Libro_Diario[[Tipo ]],"&lt;="&amp;EOMONTH('Libro Mayor'!ED$9,0))</f>
        <v>0</v>
      </c>
      <c r="EE15" s="24"/>
      <c r="EF15" s="24"/>
      <c r="EG15" s="24"/>
      <c r="EH15" s="24">
        <f>SUMIFS(Libro_Diario[[Cantidad ]],Libro_Diario[[Tipo ]],Ingresos[[#Headers],[Ingresos]],Libro_Diario[[Categoria ]],Ingresos[[#This Row],[Ingresos]],Libro_Diario[Fecha],"&gt;="&amp;'Libro Mayor'!EH$9,Libro_Diario[Fecha],"&lt;="&amp;EOMONTH('Libro Mayor'!EH$9,0))</f>
        <v>0</v>
      </c>
      <c r="EI15" s="24"/>
      <c r="EJ15" s="24">
        <f>SUMIFS(Libro_Diario[[Cantidad ]],Libro_Diario[[Tipo ]],Ingresos[[#Headers],[Ingresos]],Libro_Diario[[Categoria ]],Ingresos[[#This Row],[Ingresos]],Libro_Diario[Fecha],"&gt;="&amp;'Libro Mayor'!EJ$9,Libro_Diario[Fecha],"&lt;="&amp;EOMONTH('Libro Mayor'!EJ$9,0))</f>
        <v>0</v>
      </c>
      <c r="EK15" s="24"/>
      <c r="EL15" s="24"/>
      <c r="EM15" s="25">
        <f t="shared" si="20"/>
        <v>0</v>
      </c>
      <c r="EO15" s="24">
        <f>SUMIFS(Libro_Diario[[Cantidad ]],Libro_Diario[[Tipo ]],Ingresos[[#Headers],[Ingresos]],Libro_Diario[[Categoria ]],Ingresos[[#This Row],[Ingresos]],Libro_Diario[Fecha],"&gt;="&amp;'Libro Mayor'!EO$9,Libro_Diario[Fecha],"&lt;="&amp;EOMONTH('Libro Mayor'!EO$9,0))</f>
        <v>0</v>
      </c>
      <c r="EP15" s="24">
        <f>SUMIFS(Libro_Diario[[Cantidad ]],Libro_Diario[[Tipo ]],Ingresos[[#Headers],[Ingresos]],Libro_Diario[[Categoria ]],Ingresos[[#This Row],[Ingresos]],Libro_Diario[Fecha],"&gt;="&amp;'Libro Mayor'!EP$9,Libro_Diario[Fecha],"&lt;="&amp;EOMONTH('Libro Mayor'!EP$9,0))</f>
        <v>0</v>
      </c>
      <c r="EQ15" s="24">
        <f>SUMIFS(Libro_Diario[[Cantidad ]],Libro_Diario[[Tipo ]],Ingresos[[#Headers],[Ingresos]],Libro_Diario[[Categoria ]],Ingresos[[#This Row],[Ingresos]],Libro_Diario[Fecha],"&gt;="&amp;'Libro Mayor'!EQ$9,Libro_Diario[Fecha],"&lt;="&amp;EOMONTH('Libro Mayor'!EQ$9,0))</f>
        <v>0</v>
      </c>
      <c r="ER15" s="24">
        <f>SUMIFS(Libro_Diario[[Cantidad ]],Libro_Diario[[Tipo ]],Ingresos[[#Headers],[Ingresos]],Libro_Diario[[Categoria ]],Ingresos[[#This Row],[Ingresos]],Libro_Diario[Fecha],"&gt;="&amp;'Libro Mayor'!ER$9,Libro_Diario[Fecha],"&lt;="&amp;EOMONTH('Libro Mayor'!ER$9,0))</f>
        <v>0</v>
      </c>
      <c r="ES15" s="24">
        <f>SUMIFS(Libro_Diario[[Cantidad ]],Libro_Diario[[Tipo ]],Ingresos[[#Headers],[Ingresos]],Libro_Diario[[Categoria ]],Ingresos[[#This Row],[Ingresos]],Libro_Diario[Fecha],"&gt;="&amp;'Libro Mayor'!ES$9,Libro_Diario[Fecha],"&lt;="&amp;EOMONTH('Libro Mayor'!ES$9,0))</f>
        <v>0</v>
      </c>
      <c r="ET15" s="24">
        <f>SUMIFS(Libro_Diario[[Cantidad ]],Libro_Diario[[Tipo ]],Ingresos[[#Headers],[Ingresos]],Libro_Diario[[Categoria ]],Ingresos[[#This Row],[Ingresos]],Libro_Diario[Fecha],"&gt;="&amp;'Libro Mayor'!ET$9,Libro_Diario[Fecha],"&lt;="&amp;EOMONTH('Libro Mayor'!ET$9,0))</f>
        <v>0</v>
      </c>
      <c r="EU15" s="24">
        <f>SUMIFS(Libro_Diario[[Cantidad ]],Libro_Diario[[Tipo ]],Ingresos[[#Headers],[Ingresos]],Libro_Diario[[Categoria ]],Ingresos[[#This Row],[Ingresos]],Libro_Diario[Fecha],"&gt;="&amp;'Libro Mayor'!EU$9,Libro_Diario[Fecha],"&lt;="&amp;EOMONTH('Libro Mayor'!EU$9,0))</f>
        <v>0</v>
      </c>
      <c r="EV15" s="24">
        <f>SUMIFS(Libro_Diario[[Cantidad ]],Libro_Diario[[Tipo ]],Ingresos[[#Headers],[Ingresos]],Libro_Diario[[Categoria ]],Ingresos[[#This Row],[Ingresos]],Libro_Diario[Fecha],"&gt;="&amp;'Libro Mayor'!EV$9,Libro_Diario[Fecha],"&lt;="&amp;EOMONTH('Libro Mayor'!EV$9,0))</f>
        <v>0</v>
      </c>
      <c r="EW15" s="24">
        <f>SUMIFS(Libro_Diario[[Cantidad ]],Libro_Diario[[Tipo ]],Ingresos[[#Headers],[Ingresos]],Libro_Diario[[Categoria ]],Ingresos[[#This Row],[Ingresos]],Libro_Diario[Fecha],"&gt;="&amp;'Libro Mayor'!EW$9,Libro_Diario[Fecha],"&lt;="&amp;EOMONTH('Libro Mayor'!EW$9,0))</f>
        <v>0</v>
      </c>
      <c r="EX15" s="24">
        <f>SUMIFS(Libro_Diario[[Cantidad ]],Libro_Diario[[Tipo ]],Ingresos[[#Headers],[Ingresos]],Libro_Diario[[Categoria ]],Ingresos[[#This Row],[Ingresos]],Libro_Diario[Fecha],"&gt;="&amp;'Libro Mayor'!EX$9,Libro_Diario[Fecha],"&lt;="&amp;EOMONTH('Libro Mayor'!EX$9,0))</f>
        <v>0</v>
      </c>
      <c r="EY15" s="24">
        <f>SUMIFS(Libro_Diario[[Cantidad ]],Libro_Diario[[Tipo ]],Ingresos[[#Headers],[Ingresos]],Libro_Diario[[Categoria ]],Ingresos[[#This Row],[Ingresos]],Libro_Diario[Fecha],"&gt;="&amp;'Libro Mayor'!EY$9,Libro_Diario[Fecha],"&lt;="&amp;EOMONTH('Libro Mayor'!EY$9,0))</f>
        <v>0</v>
      </c>
      <c r="EZ15" s="24">
        <f>SUMIFS(Libro_Diario[[Cantidad ]],Libro_Diario[[Tipo ]],Ingresos[[#Headers],[Ingresos]],Libro_Diario[[Categoria ]],Ingresos[[#This Row],[Ingresos]],Libro_Diario[Fecha],"&gt;="&amp;'Libro Mayor'!EZ$9,Libro_Diario[Fecha],"&lt;="&amp;EOMONTH('Libro Mayor'!EZ$9,0))</f>
        <v>0</v>
      </c>
      <c r="FA15" s="25">
        <f t="shared" si="21"/>
        <v>0</v>
      </c>
    </row>
    <row r="16" spans="3:157" hidden="1" x14ac:dyDescent="0.3">
      <c r="C16" s="22" t="s">
        <v>6</v>
      </c>
      <c r="D16" s="23"/>
      <c r="E16" s="24"/>
      <c r="F16" s="24"/>
      <c r="G16" s="24"/>
      <c r="H16" s="24">
        <f>SUMIFS(Libro_Diario[[Cantidad ]],Libro_Diario[[Tipo ]],Ingresos[[#Headers],[Ingresos]],Libro_Diario[[Categoria ]],Ingresos[[#This Row],[Ingresos]],Libro_Diario[Fecha],"&gt;="&amp;'Libro Mayor'!H$9,Libro_Diario[Fecha],"&lt;="&amp;EOMONTH('Libro Mayor'!H$9,0))</f>
        <v>0</v>
      </c>
      <c r="I16" s="24"/>
      <c r="J16" s="24"/>
      <c r="K16" s="24"/>
      <c r="L16" s="24"/>
      <c r="M16" s="24"/>
      <c r="N16" s="24"/>
      <c r="O16" s="24"/>
      <c r="P16" s="24"/>
      <c r="Q16" s="25">
        <f t="shared" si="11"/>
        <v>0</v>
      </c>
      <c r="S16" s="24"/>
      <c r="T16" s="24"/>
      <c r="U16" s="24"/>
      <c r="V16" s="24">
        <f>SUMIFS(Libro_Diario[Detalles],Libro_Diario[[Categoria ]],Ingresos[[#Headers],[Ingresos]],Libro_Diario[[Cantidad ]],Ingresos[[#This Row],[Ingresos]],Libro_Diario[[Tipo ]],"&gt;="&amp;'Libro Mayor'!V$9,Libro_Diario[[Tipo ]],"&lt;="&amp;EOMONTH('Libro Mayor'!V$9,0))</f>
        <v>0</v>
      </c>
      <c r="W16" s="24"/>
      <c r="X16" s="24"/>
      <c r="Y16" s="24"/>
      <c r="Z16" s="24">
        <f>SUMIFS(Libro_Diario[[Cantidad ]],Libro_Diario[[Tipo ]],Ingresos[[#Headers],[Ingresos]],Libro_Diario[[Categoria ]],Ingresos[[#This Row],[Ingresos]],Libro_Diario[Fecha],"&gt;="&amp;'Libro Mayor'!Z$9,Libro_Diario[Fecha],"&lt;="&amp;EOMONTH('Libro Mayor'!Z$9,0))</f>
        <v>0</v>
      </c>
      <c r="AA16" s="24"/>
      <c r="AB16" s="24">
        <f>SUMIFS(Libro_Diario[[Cantidad ]],Libro_Diario[[Tipo ]],Ingresos[[#Headers],[Ingresos]],Libro_Diario[[Categoria ]],Ingresos[[#This Row],[Ingresos]],Libro_Diario[Fecha],"&gt;="&amp;'Libro Mayor'!AB$9,Libro_Diario[Fecha],"&lt;="&amp;EOMONTH('Libro Mayor'!AB$9,0))</f>
        <v>0</v>
      </c>
      <c r="AC16" s="24"/>
      <c r="AD16" s="24"/>
      <c r="AE16" s="25">
        <f t="shared" si="12"/>
        <v>0</v>
      </c>
      <c r="AG16" s="24"/>
      <c r="AH16" s="24"/>
      <c r="AI16" s="24"/>
      <c r="AJ16" s="24">
        <f>SUMIFS(Libro_Diario[Detalles],Libro_Diario[[Categoria ]],Ingresos[[#Headers],[Ingresos]],Libro_Diario[[Cantidad ]],Ingresos[[#This Row],[Ingresos]],Libro_Diario[[Tipo ]],"&gt;="&amp;'Libro Mayor'!AJ$9,Libro_Diario[[Tipo ]],"&lt;="&amp;EOMONTH('Libro Mayor'!AJ$9,0))</f>
        <v>0</v>
      </c>
      <c r="AK16" s="24"/>
      <c r="AL16" s="24"/>
      <c r="AM16" s="24"/>
      <c r="AN16" s="24">
        <f>SUMIFS(Libro_Diario[[Cantidad ]],Libro_Diario[[Tipo ]],Ingresos[[#Headers],[Ingresos]],Libro_Diario[[Categoria ]],Ingresos[[#This Row],[Ingresos]],Libro_Diario[Fecha],"&gt;="&amp;'Libro Mayor'!AN$9,Libro_Diario[Fecha],"&lt;="&amp;EOMONTH('Libro Mayor'!AN$9,0))</f>
        <v>0</v>
      </c>
      <c r="AO16" s="24"/>
      <c r="AP16" s="24">
        <f>SUMIFS(Libro_Diario[[Cantidad ]],Libro_Diario[[Tipo ]],Ingresos[[#Headers],[Ingresos]],Libro_Diario[[Categoria ]],Ingresos[[#This Row],[Ingresos]],Libro_Diario[Fecha],"&gt;="&amp;'Libro Mayor'!AP$9,Libro_Diario[Fecha],"&lt;="&amp;EOMONTH('Libro Mayor'!AP$9,0))</f>
        <v>0</v>
      </c>
      <c r="AQ16" s="24"/>
      <c r="AR16" s="24"/>
      <c r="AS16" s="25">
        <f t="shared" si="13"/>
        <v>0</v>
      </c>
      <c r="AU16" s="24"/>
      <c r="AV16" s="24"/>
      <c r="AW16" s="24"/>
      <c r="AX16" s="24">
        <f>SUMIFS(Libro_Diario[Detalles],Libro_Diario[[Categoria ]],Ingresos[[#Headers],[Ingresos]],Libro_Diario[[Cantidad ]],Ingresos[[#This Row],[Ingresos]],Libro_Diario[[Tipo ]],"&gt;="&amp;'Libro Mayor'!AX$9,Libro_Diario[[Tipo ]],"&lt;="&amp;EOMONTH('Libro Mayor'!AX$9,0))</f>
        <v>0</v>
      </c>
      <c r="AY16" s="24"/>
      <c r="AZ16" s="24"/>
      <c r="BA16" s="24"/>
      <c r="BB16" s="24">
        <f>SUMIFS(Libro_Diario[[Cantidad ]],Libro_Diario[[Tipo ]],Ingresos[[#Headers],[Ingresos]],Libro_Diario[[Categoria ]],Ingresos[[#This Row],[Ingresos]],Libro_Diario[Fecha],"&gt;="&amp;'Libro Mayor'!BB$9,Libro_Diario[Fecha],"&lt;="&amp;EOMONTH('Libro Mayor'!BB$9,0))</f>
        <v>0</v>
      </c>
      <c r="BC16" s="24"/>
      <c r="BD16" s="24">
        <f>SUMIFS(Libro_Diario[[Cantidad ]],Libro_Diario[[Tipo ]],Ingresos[[#Headers],[Ingresos]],Libro_Diario[[Categoria ]],Ingresos[[#This Row],[Ingresos]],Libro_Diario[Fecha],"&gt;="&amp;'Libro Mayor'!BD$9,Libro_Diario[Fecha],"&lt;="&amp;EOMONTH('Libro Mayor'!BD$9,0))</f>
        <v>0</v>
      </c>
      <c r="BE16" s="24"/>
      <c r="BF16" s="24"/>
      <c r="BG16" s="25">
        <f t="shared" si="14"/>
        <v>0</v>
      </c>
      <c r="BI16" s="24"/>
      <c r="BJ16" s="24"/>
      <c r="BK16" s="24"/>
      <c r="BL16" s="24">
        <f>SUMIFS(Libro_Diario[Detalles],Libro_Diario[[Categoria ]],Ingresos[[#Headers],[Ingresos]],Libro_Diario[[Cantidad ]],Ingresos[[#This Row],[Ingresos]],Libro_Diario[[Tipo ]],"&gt;="&amp;'Libro Mayor'!BL$9,Libro_Diario[[Tipo ]],"&lt;="&amp;EOMONTH('Libro Mayor'!BL$9,0))</f>
        <v>0</v>
      </c>
      <c r="BM16" s="24"/>
      <c r="BN16" s="24"/>
      <c r="BO16" s="24"/>
      <c r="BP16" s="24">
        <f>SUMIFS(Libro_Diario[[Cantidad ]],Libro_Diario[[Tipo ]],Ingresos[[#Headers],[Ingresos]],Libro_Diario[[Categoria ]],Ingresos[[#This Row],[Ingresos]],Libro_Diario[Fecha],"&gt;="&amp;'Libro Mayor'!BP$9,Libro_Diario[Fecha],"&lt;="&amp;EOMONTH('Libro Mayor'!BP$9,0))</f>
        <v>0</v>
      </c>
      <c r="BQ16" s="24"/>
      <c r="BR16" s="24">
        <f>SUMIFS(Libro_Diario[[Cantidad ]],Libro_Diario[[Tipo ]],Ingresos[[#Headers],[Ingresos]],Libro_Diario[[Categoria ]],Ingresos[[#This Row],[Ingresos]],Libro_Diario[Fecha],"&gt;="&amp;'Libro Mayor'!BR$9,Libro_Diario[Fecha],"&lt;="&amp;EOMONTH('Libro Mayor'!BR$9,0))</f>
        <v>0</v>
      </c>
      <c r="BS16" s="24"/>
      <c r="BT16" s="24"/>
      <c r="BU16" s="25">
        <f t="shared" si="15"/>
        <v>0</v>
      </c>
      <c r="BW16" s="24"/>
      <c r="BX16" s="24"/>
      <c r="BY16" s="24"/>
      <c r="BZ16" s="24">
        <f>SUMIFS(Libro_Diario[Detalles],Libro_Diario[[Categoria ]],Ingresos[[#Headers],[Ingresos]],Libro_Diario[[Cantidad ]],Ingresos[[#This Row],[Ingresos]],Libro_Diario[[Tipo ]],"&gt;="&amp;'Libro Mayor'!BZ$9,Libro_Diario[[Tipo ]],"&lt;="&amp;EOMONTH('Libro Mayor'!BZ$9,0))</f>
        <v>0</v>
      </c>
      <c r="CA16" s="24"/>
      <c r="CB16" s="24"/>
      <c r="CC16" s="24"/>
      <c r="CD16" s="24">
        <f>SUMIFS(Libro_Diario[[Cantidad ]],Libro_Diario[[Tipo ]],Ingresos[[#Headers],[Ingresos]],Libro_Diario[[Categoria ]],Ingresos[[#This Row],[Ingresos]],Libro_Diario[Fecha],"&gt;="&amp;'Libro Mayor'!CD$9,Libro_Diario[Fecha],"&lt;="&amp;EOMONTH('Libro Mayor'!CD$9,0))</f>
        <v>0</v>
      </c>
      <c r="CE16" s="24"/>
      <c r="CF16" s="24">
        <f>SUMIFS(Libro_Diario[[Cantidad ]],Libro_Diario[[Tipo ]],Ingresos[[#Headers],[Ingresos]],Libro_Diario[[Categoria ]],Ingresos[[#This Row],[Ingresos]],Libro_Diario[Fecha],"&gt;="&amp;'Libro Mayor'!CF$9,Libro_Diario[Fecha],"&lt;="&amp;EOMONTH('Libro Mayor'!CF$9,0))</f>
        <v>0</v>
      </c>
      <c r="CG16" s="24"/>
      <c r="CH16" s="24"/>
      <c r="CI16" s="25">
        <f t="shared" si="16"/>
        <v>0</v>
      </c>
      <c r="CK16" s="24"/>
      <c r="CL16" s="24"/>
      <c r="CM16" s="24"/>
      <c r="CN16" s="24">
        <f>SUMIFS(Libro_Diario[Detalles],Libro_Diario[[Categoria ]],Ingresos[[#Headers],[Ingresos]],Libro_Diario[[Cantidad ]],Ingresos[[#This Row],[Ingresos]],Libro_Diario[[Tipo ]],"&gt;="&amp;'Libro Mayor'!CN$9,Libro_Diario[[Tipo ]],"&lt;="&amp;EOMONTH('Libro Mayor'!CN$9,0))</f>
        <v>0</v>
      </c>
      <c r="CO16" s="24"/>
      <c r="CP16" s="24"/>
      <c r="CQ16" s="24"/>
      <c r="CR16" s="24">
        <f>SUMIFS(Libro_Diario[[Cantidad ]],Libro_Diario[[Tipo ]],Ingresos[[#Headers],[Ingresos]],Libro_Diario[[Categoria ]],Ingresos[[#This Row],[Ingresos]],Libro_Diario[Fecha],"&gt;="&amp;'Libro Mayor'!CR$9,Libro_Diario[Fecha],"&lt;="&amp;EOMONTH('Libro Mayor'!CR$9,0))</f>
        <v>0</v>
      </c>
      <c r="CS16" s="24"/>
      <c r="CT16" s="24">
        <f>SUMIFS(Libro_Diario[[Cantidad ]],Libro_Diario[[Tipo ]],Ingresos[[#Headers],[Ingresos]],Libro_Diario[[Categoria ]],Ingresos[[#This Row],[Ingresos]],Libro_Diario[Fecha],"&gt;="&amp;'Libro Mayor'!CT$9,Libro_Diario[Fecha],"&lt;="&amp;EOMONTH('Libro Mayor'!CT$9,0))</f>
        <v>0</v>
      </c>
      <c r="CU16" s="24"/>
      <c r="CV16" s="24"/>
      <c r="CW16" s="25">
        <f t="shared" si="17"/>
        <v>0</v>
      </c>
      <c r="CY16" s="24"/>
      <c r="CZ16" s="24"/>
      <c r="DA16" s="24"/>
      <c r="DB16" s="24">
        <f>SUMIFS(Libro_Diario[Detalles],Libro_Diario[[Categoria ]],Ingresos[[#Headers],[Ingresos]],Libro_Diario[[Cantidad ]],Ingresos[[#This Row],[Ingresos]],Libro_Diario[[Tipo ]],"&gt;="&amp;'Libro Mayor'!DB$9,Libro_Diario[[Tipo ]],"&lt;="&amp;EOMONTH('Libro Mayor'!DB$9,0))</f>
        <v>0</v>
      </c>
      <c r="DC16" s="24"/>
      <c r="DD16" s="24"/>
      <c r="DE16" s="24"/>
      <c r="DF16" s="24">
        <f>SUMIFS(Libro_Diario[[Cantidad ]],Libro_Diario[[Tipo ]],Ingresos[[#Headers],[Ingresos]],Libro_Diario[[Categoria ]],Ingresos[[#This Row],[Ingresos]],Libro_Diario[Fecha],"&gt;="&amp;'Libro Mayor'!DF$9,Libro_Diario[Fecha],"&lt;="&amp;EOMONTH('Libro Mayor'!DF$9,0))</f>
        <v>0</v>
      </c>
      <c r="DG16" s="24"/>
      <c r="DH16" s="24">
        <f>SUMIFS(Libro_Diario[[Cantidad ]],Libro_Diario[[Tipo ]],Ingresos[[#Headers],[Ingresos]],Libro_Diario[[Categoria ]],Ingresos[[#This Row],[Ingresos]],Libro_Diario[Fecha],"&gt;="&amp;'Libro Mayor'!DH$9,Libro_Diario[Fecha],"&lt;="&amp;EOMONTH('Libro Mayor'!DH$9,0))</f>
        <v>0</v>
      </c>
      <c r="DI16" s="24"/>
      <c r="DJ16" s="24"/>
      <c r="DK16" s="25">
        <f t="shared" si="18"/>
        <v>0</v>
      </c>
      <c r="DM16" s="24"/>
      <c r="DN16" s="24"/>
      <c r="DO16" s="24"/>
      <c r="DP16" s="24">
        <f>SUMIFS(Libro_Diario[Detalles],Libro_Diario[[Categoria ]],Ingresos[[#Headers],[Ingresos]],Libro_Diario[[Cantidad ]],Ingresos[[#This Row],[Ingresos]],Libro_Diario[[Tipo ]],"&gt;="&amp;'Libro Mayor'!DP$9,Libro_Diario[[Tipo ]],"&lt;="&amp;EOMONTH('Libro Mayor'!DP$9,0))</f>
        <v>0</v>
      </c>
      <c r="DQ16" s="24"/>
      <c r="DR16" s="24"/>
      <c r="DS16" s="24"/>
      <c r="DT16" s="24">
        <f>SUMIFS(Libro_Diario[[Cantidad ]],Libro_Diario[[Tipo ]],Ingresos[[#Headers],[Ingresos]],Libro_Diario[[Categoria ]],Ingresos[[#This Row],[Ingresos]],Libro_Diario[Fecha],"&gt;="&amp;'Libro Mayor'!DT$9,Libro_Diario[Fecha],"&lt;="&amp;EOMONTH('Libro Mayor'!DT$9,0))</f>
        <v>0</v>
      </c>
      <c r="DU16" s="24"/>
      <c r="DV16" s="24">
        <f>SUMIFS(Libro_Diario[[Cantidad ]],Libro_Diario[[Tipo ]],Ingresos[[#Headers],[Ingresos]],Libro_Diario[[Categoria ]],Ingresos[[#This Row],[Ingresos]],Libro_Diario[Fecha],"&gt;="&amp;'Libro Mayor'!DV$9,Libro_Diario[Fecha],"&lt;="&amp;EOMONTH('Libro Mayor'!DV$9,0))</f>
        <v>0</v>
      </c>
      <c r="DW16" s="24"/>
      <c r="DX16" s="24"/>
      <c r="DY16" s="25">
        <f t="shared" si="19"/>
        <v>0</v>
      </c>
      <c r="EA16" s="24"/>
      <c r="EB16" s="24"/>
      <c r="EC16" s="24"/>
      <c r="ED16" s="24">
        <f>SUMIFS(Libro_Diario[Detalles],Libro_Diario[[Categoria ]],Ingresos[[#Headers],[Ingresos]],Libro_Diario[[Cantidad ]],Ingresos[[#This Row],[Ingresos]],Libro_Diario[[Tipo ]],"&gt;="&amp;'Libro Mayor'!ED$9,Libro_Diario[[Tipo ]],"&lt;="&amp;EOMONTH('Libro Mayor'!ED$9,0))</f>
        <v>0</v>
      </c>
      <c r="EE16" s="24"/>
      <c r="EF16" s="24"/>
      <c r="EG16" s="24"/>
      <c r="EH16" s="24">
        <f>SUMIFS(Libro_Diario[[Cantidad ]],Libro_Diario[[Tipo ]],Ingresos[[#Headers],[Ingresos]],Libro_Diario[[Categoria ]],Ingresos[[#This Row],[Ingresos]],Libro_Diario[Fecha],"&gt;="&amp;'Libro Mayor'!EH$9,Libro_Diario[Fecha],"&lt;="&amp;EOMONTH('Libro Mayor'!EH$9,0))</f>
        <v>0</v>
      </c>
      <c r="EI16" s="24"/>
      <c r="EJ16" s="24">
        <f>SUMIFS(Libro_Diario[[Cantidad ]],Libro_Diario[[Tipo ]],Ingresos[[#Headers],[Ingresos]],Libro_Diario[[Categoria ]],Ingresos[[#This Row],[Ingresos]],Libro_Diario[Fecha],"&gt;="&amp;'Libro Mayor'!EJ$9,Libro_Diario[Fecha],"&lt;="&amp;EOMONTH('Libro Mayor'!EJ$9,0))</f>
        <v>0</v>
      </c>
      <c r="EK16" s="24"/>
      <c r="EL16" s="24"/>
      <c r="EM16" s="25">
        <f t="shared" si="20"/>
        <v>0</v>
      </c>
      <c r="EO16" s="24">
        <f>SUMIFS(Libro_Diario[[Cantidad ]],Libro_Diario[[Tipo ]],Ingresos[[#Headers],[Ingresos]],Libro_Diario[[Categoria ]],Ingresos[[#This Row],[Ingresos]],Libro_Diario[Fecha],"&gt;="&amp;'Libro Mayor'!EO$9,Libro_Diario[Fecha],"&lt;="&amp;EOMONTH('Libro Mayor'!EO$9,0))</f>
        <v>0</v>
      </c>
      <c r="EP16" s="24">
        <f>SUMIFS(Libro_Diario[[Cantidad ]],Libro_Diario[[Tipo ]],Ingresos[[#Headers],[Ingresos]],Libro_Diario[[Categoria ]],Ingresos[[#This Row],[Ingresos]],Libro_Diario[Fecha],"&gt;="&amp;'Libro Mayor'!EP$9,Libro_Diario[Fecha],"&lt;="&amp;EOMONTH('Libro Mayor'!EP$9,0))</f>
        <v>0</v>
      </c>
      <c r="EQ16" s="24">
        <f>SUMIFS(Libro_Diario[[Cantidad ]],Libro_Diario[[Tipo ]],Ingresos[[#Headers],[Ingresos]],Libro_Diario[[Categoria ]],Ingresos[[#This Row],[Ingresos]],Libro_Diario[Fecha],"&gt;="&amp;'Libro Mayor'!EQ$9,Libro_Diario[Fecha],"&lt;="&amp;EOMONTH('Libro Mayor'!EQ$9,0))</f>
        <v>0</v>
      </c>
      <c r="ER16" s="24">
        <f>SUMIFS(Libro_Diario[[Cantidad ]],Libro_Diario[[Tipo ]],Ingresos[[#Headers],[Ingresos]],Libro_Diario[[Categoria ]],Ingresos[[#This Row],[Ingresos]],Libro_Diario[Fecha],"&gt;="&amp;'Libro Mayor'!ER$9,Libro_Diario[Fecha],"&lt;="&amp;EOMONTH('Libro Mayor'!ER$9,0))</f>
        <v>0</v>
      </c>
      <c r="ES16" s="24">
        <f>SUMIFS(Libro_Diario[[Cantidad ]],Libro_Diario[[Tipo ]],Ingresos[[#Headers],[Ingresos]],Libro_Diario[[Categoria ]],Ingresos[[#This Row],[Ingresos]],Libro_Diario[Fecha],"&gt;="&amp;'Libro Mayor'!ES$9,Libro_Diario[Fecha],"&lt;="&amp;EOMONTH('Libro Mayor'!ES$9,0))</f>
        <v>0</v>
      </c>
      <c r="ET16" s="24">
        <f>SUMIFS(Libro_Diario[[Cantidad ]],Libro_Diario[[Tipo ]],Ingresos[[#Headers],[Ingresos]],Libro_Diario[[Categoria ]],Ingresos[[#This Row],[Ingresos]],Libro_Diario[Fecha],"&gt;="&amp;'Libro Mayor'!ET$9,Libro_Diario[Fecha],"&lt;="&amp;EOMONTH('Libro Mayor'!ET$9,0))</f>
        <v>0</v>
      </c>
      <c r="EU16" s="24">
        <f>SUMIFS(Libro_Diario[[Cantidad ]],Libro_Diario[[Tipo ]],Ingresos[[#Headers],[Ingresos]],Libro_Diario[[Categoria ]],Ingresos[[#This Row],[Ingresos]],Libro_Diario[Fecha],"&gt;="&amp;'Libro Mayor'!EU$9,Libro_Diario[Fecha],"&lt;="&amp;EOMONTH('Libro Mayor'!EU$9,0))</f>
        <v>0</v>
      </c>
      <c r="EV16" s="24">
        <f>SUMIFS(Libro_Diario[[Cantidad ]],Libro_Diario[[Tipo ]],Ingresos[[#Headers],[Ingresos]],Libro_Diario[[Categoria ]],Ingresos[[#This Row],[Ingresos]],Libro_Diario[Fecha],"&gt;="&amp;'Libro Mayor'!EV$9,Libro_Diario[Fecha],"&lt;="&amp;EOMONTH('Libro Mayor'!EV$9,0))</f>
        <v>0</v>
      </c>
      <c r="EW16" s="24">
        <f>SUMIFS(Libro_Diario[[Cantidad ]],Libro_Diario[[Tipo ]],Ingresos[[#Headers],[Ingresos]],Libro_Diario[[Categoria ]],Ingresos[[#This Row],[Ingresos]],Libro_Diario[Fecha],"&gt;="&amp;'Libro Mayor'!EW$9,Libro_Diario[Fecha],"&lt;="&amp;EOMONTH('Libro Mayor'!EW$9,0))</f>
        <v>0</v>
      </c>
      <c r="EX16" s="24">
        <f>SUMIFS(Libro_Diario[[Cantidad ]],Libro_Diario[[Tipo ]],Ingresos[[#Headers],[Ingresos]],Libro_Diario[[Categoria ]],Ingresos[[#This Row],[Ingresos]],Libro_Diario[Fecha],"&gt;="&amp;'Libro Mayor'!EX$9,Libro_Diario[Fecha],"&lt;="&amp;EOMONTH('Libro Mayor'!EX$9,0))</f>
        <v>0</v>
      </c>
      <c r="EY16" s="24">
        <f>SUMIFS(Libro_Diario[[Cantidad ]],Libro_Diario[[Tipo ]],Ingresos[[#Headers],[Ingresos]],Libro_Diario[[Categoria ]],Ingresos[[#This Row],[Ingresos]],Libro_Diario[Fecha],"&gt;="&amp;'Libro Mayor'!EY$9,Libro_Diario[Fecha],"&lt;="&amp;EOMONTH('Libro Mayor'!EY$9,0))</f>
        <v>0</v>
      </c>
      <c r="EZ16" s="24">
        <f>SUMIFS(Libro_Diario[[Cantidad ]],Libro_Diario[[Tipo ]],Ingresos[[#Headers],[Ingresos]],Libro_Diario[[Categoria ]],Ingresos[[#This Row],[Ingresos]],Libro_Diario[Fecha],"&gt;="&amp;'Libro Mayor'!EZ$9,Libro_Diario[Fecha],"&lt;="&amp;EOMONTH('Libro Mayor'!EZ$9,0))</f>
        <v>0</v>
      </c>
      <c r="FA16" s="25">
        <f t="shared" si="21"/>
        <v>0</v>
      </c>
    </row>
    <row r="17" spans="3:157" hidden="1" x14ac:dyDescent="0.3">
      <c r="C17" s="22" t="s">
        <v>6</v>
      </c>
      <c r="D17" s="23"/>
      <c r="E17" s="24"/>
      <c r="F17" s="24"/>
      <c r="G17" s="24"/>
      <c r="H17" s="24">
        <f>SUMIFS(Libro_Diario[[Cantidad ]],Libro_Diario[[Tipo ]],Ingresos[[#Headers],[Ingresos]],Libro_Diario[[Categoria ]],Ingresos[[#This Row],[Ingresos]],Libro_Diario[Fecha],"&gt;="&amp;'Libro Mayor'!H$9,Libro_Diario[Fecha],"&lt;="&amp;EOMONTH('Libro Mayor'!H$9,0))</f>
        <v>0</v>
      </c>
      <c r="I17" s="24"/>
      <c r="J17" s="24"/>
      <c r="K17" s="24"/>
      <c r="L17" s="24"/>
      <c r="M17" s="24"/>
      <c r="N17" s="24"/>
      <c r="O17" s="24"/>
      <c r="P17" s="24"/>
      <c r="Q17" s="25">
        <f t="shared" si="11"/>
        <v>0</v>
      </c>
      <c r="S17" s="24"/>
      <c r="T17" s="24"/>
      <c r="U17" s="24"/>
      <c r="V17" s="24">
        <f>SUMIFS(Libro_Diario[Detalles],Libro_Diario[[Categoria ]],Ingresos[[#Headers],[Ingresos]],Libro_Diario[[Cantidad ]],Ingresos[[#This Row],[Ingresos]],Libro_Diario[[Tipo ]],"&gt;="&amp;'Libro Mayor'!V$9,Libro_Diario[[Tipo ]],"&lt;="&amp;EOMONTH('Libro Mayor'!V$9,0))</f>
        <v>0</v>
      </c>
      <c r="W17" s="24"/>
      <c r="X17" s="24"/>
      <c r="Y17" s="24"/>
      <c r="Z17" s="24">
        <f>SUMIFS(Libro_Diario[[Cantidad ]],Libro_Diario[[Tipo ]],Ingresos[[#Headers],[Ingresos]],Libro_Diario[[Categoria ]],Ingresos[[#This Row],[Ingresos]],Libro_Diario[Fecha],"&gt;="&amp;'Libro Mayor'!Z$9,Libro_Diario[Fecha],"&lt;="&amp;EOMONTH('Libro Mayor'!Z$9,0))</f>
        <v>0</v>
      </c>
      <c r="AA17" s="24"/>
      <c r="AB17" s="24">
        <f>SUMIFS(Libro_Diario[[Cantidad ]],Libro_Diario[[Tipo ]],Ingresos[[#Headers],[Ingresos]],Libro_Diario[[Categoria ]],Ingresos[[#This Row],[Ingresos]],Libro_Diario[Fecha],"&gt;="&amp;'Libro Mayor'!AB$9,Libro_Diario[Fecha],"&lt;="&amp;EOMONTH('Libro Mayor'!AB$9,0))</f>
        <v>0</v>
      </c>
      <c r="AC17" s="24"/>
      <c r="AD17" s="24"/>
      <c r="AE17" s="25">
        <f t="shared" si="12"/>
        <v>0</v>
      </c>
      <c r="AG17" s="24"/>
      <c r="AH17" s="24"/>
      <c r="AI17" s="24"/>
      <c r="AJ17" s="24">
        <f>SUMIFS(Libro_Diario[Detalles],Libro_Diario[[Categoria ]],Ingresos[[#Headers],[Ingresos]],Libro_Diario[[Cantidad ]],Ingresos[[#This Row],[Ingresos]],Libro_Diario[[Tipo ]],"&gt;="&amp;'Libro Mayor'!AJ$9,Libro_Diario[[Tipo ]],"&lt;="&amp;EOMONTH('Libro Mayor'!AJ$9,0))</f>
        <v>0</v>
      </c>
      <c r="AK17" s="24"/>
      <c r="AL17" s="24"/>
      <c r="AM17" s="24"/>
      <c r="AN17" s="24">
        <f>SUMIFS(Libro_Diario[[Cantidad ]],Libro_Diario[[Tipo ]],Ingresos[[#Headers],[Ingresos]],Libro_Diario[[Categoria ]],Ingresos[[#This Row],[Ingresos]],Libro_Diario[Fecha],"&gt;="&amp;'Libro Mayor'!AN$9,Libro_Diario[Fecha],"&lt;="&amp;EOMONTH('Libro Mayor'!AN$9,0))</f>
        <v>0</v>
      </c>
      <c r="AO17" s="24"/>
      <c r="AP17" s="24">
        <f>SUMIFS(Libro_Diario[[Cantidad ]],Libro_Diario[[Tipo ]],Ingresos[[#Headers],[Ingresos]],Libro_Diario[[Categoria ]],Ingresos[[#This Row],[Ingresos]],Libro_Diario[Fecha],"&gt;="&amp;'Libro Mayor'!AP$9,Libro_Diario[Fecha],"&lt;="&amp;EOMONTH('Libro Mayor'!AP$9,0))</f>
        <v>0</v>
      </c>
      <c r="AQ17" s="24"/>
      <c r="AR17" s="24"/>
      <c r="AS17" s="25">
        <f t="shared" si="13"/>
        <v>0</v>
      </c>
      <c r="AU17" s="24"/>
      <c r="AV17" s="24"/>
      <c r="AW17" s="24"/>
      <c r="AX17" s="24">
        <f>SUMIFS(Libro_Diario[Detalles],Libro_Diario[[Categoria ]],Ingresos[[#Headers],[Ingresos]],Libro_Diario[[Cantidad ]],Ingresos[[#This Row],[Ingresos]],Libro_Diario[[Tipo ]],"&gt;="&amp;'Libro Mayor'!AX$9,Libro_Diario[[Tipo ]],"&lt;="&amp;EOMONTH('Libro Mayor'!AX$9,0))</f>
        <v>0</v>
      </c>
      <c r="AY17" s="24"/>
      <c r="AZ17" s="24"/>
      <c r="BA17" s="24"/>
      <c r="BB17" s="24">
        <f>SUMIFS(Libro_Diario[[Cantidad ]],Libro_Diario[[Tipo ]],Ingresos[[#Headers],[Ingresos]],Libro_Diario[[Categoria ]],Ingresos[[#This Row],[Ingresos]],Libro_Diario[Fecha],"&gt;="&amp;'Libro Mayor'!BB$9,Libro_Diario[Fecha],"&lt;="&amp;EOMONTH('Libro Mayor'!BB$9,0))</f>
        <v>0</v>
      </c>
      <c r="BC17" s="24"/>
      <c r="BD17" s="24">
        <f>SUMIFS(Libro_Diario[[Cantidad ]],Libro_Diario[[Tipo ]],Ingresos[[#Headers],[Ingresos]],Libro_Diario[[Categoria ]],Ingresos[[#This Row],[Ingresos]],Libro_Diario[Fecha],"&gt;="&amp;'Libro Mayor'!BD$9,Libro_Diario[Fecha],"&lt;="&amp;EOMONTH('Libro Mayor'!BD$9,0))</f>
        <v>0</v>
      </c>
      <c r="BE17" s="24"/>
      <c r="BF17" s="24"/>
      <c r="BG17" s="25">
        <f t="shared" si="14"/>
        <v>0</v>
      </c>
      <c r="BI17" s="24"/>
      <c r="BJ17" s="24"/>
      <c r="BK17" s="24"/>
      <c r="BL17" s="24">
        <f>SUMIFS(Libro_Diario[Detalles],Libro_Diario[[Categoria ]],Ingresos[[#Headers],[Ingresos]],Libro_Diario[[Cantidad ]],Ingresos[[#This Row],[Ingresos]],Libro_Diario[[Tipo ]],"&gt;="&amp;'Libro Mayor'!BL$9,Libro_Diario[[Tipo ]],"&lt;="&amp;EOMONTH('Libro Mayor'!BL$9,0))</f>
        <v>0</v>
      </c>
      <c r="BM17" s="24"/>
      <c r="BN17" s="24"/>
      <c r="BO17" s="24"/>
      <c r="BP17" s="24">
        <f>SUMIFS(Libro_Diario[[Cantidad ]],Libro_Diario[[Tipo ]],Ingresos[[#Headers],[Ingresos]],Libro_Diario[[Categoria ]],Ingresos[[#This Row],[Ingresos]],Libro_Diario[Fecha],"&gt;="&amp;'Libro Mayor'!BP$9,Libro_Diario[Fecha],"&lt;="&amp;EOMONTH('Libro Mayor'!BP$9,0))</f>
        <v>0</v>
      </c>
      <c r="BQ17" s="24"/>
      <c r="BR17" s="24">
        <f>SUMIFS(Libro_Diario[[Cantidad ]],Libro_Diario[[Tipo ]],Ingresos[[#Headers],[Ingresos]],Libro_Diario[[Categoria ]],Ingresos[[#This Row],[Ingresos]],Libro_Diario[Fecha],"&gt;="&amp;'Libro Mayor'!BR$9,Libro_Diario[Fecha],"&lt;="&amp;EOMONTH('Libro Mayor'!BR$9,0))</f>
        <v>0</v>
      </c>
      <c r="BS17" s="24"/>
      <c r="BT17" s="24"/>
      <c r="BU17" s="25">
        <f t="shared" si="15"/>
        <v>0</v>
      </c>
      <c r="BW17" s="24"/>
      <c r="BX17" s="24"/>
      <c r="BY17" s="24"/>
      <c r="BZ17" s="24">
        <f>SUMIFS(Libro_Diario[Detalles],Libro_Diario[[Categoria ]],Ingresos[[#Headers],[Ingresos]],Libro_Diario[[Cantidad ]],Ingresos[[#This Row],[Ingresos]],Libro_Diario[[Tipo ]],"&gt;="&amp;'Libro Mayor'!BZ$9,Libro_Diario[[Tipo ]],"&lt;="&amp;EOMONTH('Libro Mayor'!BZ$9,0))</f>
        <v>0</v>
      </c>
      <c r="CA17" s="24"/>
      <c r="CB17" s="24"/>
      <c r="CC17" s="24"/>
      <c r="CD17" s="24">
        <f>SUMIFS(Libro_Diario[[Cantidad ]],Libro_Diario[[Tipo ]],Ingresos[[#Headers],[Ingresos]],Libro_Diario[[Categoria ]],Ingresos[[#This Row],[Ingresos]],Libro_Diario[Fecha],"&gt;="&amp;'Libro Mayor'!CD$9,Libro_Diario[Fecha],"&lt;="&amp;EOMONTH('Libro Mayor'!CD$9,0))</f>
        <v>0</v>
      </c>
      <c r="CE17" s="24"/>
      <c r="CF17" s="24">
        <f>SUMIFS(Libro_Diario[[Cantidad ]],Libro_Diario[[Tipo ]],Ingresos[[#Headers],[Ingresos]],Libro_Diario[[Categoria ]],Ingresos[[#This Row],[Ingresos]],Libro_Diario[Fecha],"&gt;="&amp;'Libro Mayor'!CF$9,Libro_Diario[Fecha],"&lt;="&amp;EOMONTH('Libro Mayor'!CF$9,0))</f>
        <v>0</v>
      </c>
      <c r="CG17" s="24"/>
      <c r="CH17" s="24"/>
      <c r="CI17" s="25">
        <f t="shared" si="16"/>
        <v>0</v>
      </c>
      <c r="CK17" s="24"/>
      <c r="CL17" s="24"/>
      <c r="CM17" s="24"/>
      <c r="CN17" s="24">
        <f>SUMIFS(Libro_Diario[Detalles],Libro_Diario[[Categoria ]],Ingresos[[#Headers],[Ingresos]],Libro_Diario[[Cantidad ]],Ingresos[[#This Row],[Ingresos]],Libro_Diario[[Tipo ]],"&gt;="&amp;'Libro Mayor'!CN$9,Libro_Diario[[Tipo ]],"&lt;="&amp;EOMONTH('Libro Mayor'!CN$9,0))</f>
        <v>0</v>
      </c>
      <c r="CO17" s="24"/>
      <c r="CP17" s="24"/>
      <c r="CQ17" s="24"/>
      <c r="CR17" s="24">
        <f>SUMIFS(Libro_Diario[[Cantidad ]],Libro_Diario[[Tipo ]],Ingresos[[#Headers],[Ingresos]],Libro_Diario[[Categoria ]],Ingresos[[#This Row],[Ingresos]],Libro_Diario[Fecha],"&gt;="&amp;'Libro Mayor'!CR$9,Libro_Diario[Fecha],"&lt;="&amp;EOMONTH('Libro Mayor'!CR$9,0))</f>
        <v>0</v>
      </c>
      <c r="CS17" s="24"/>
      <c r="CT17" s="24">
        <f>SUMIFS(Libro_Diario[[Cantidad ]],Libro_Diario[[Tipo ]],Ingresos[[#Headers],[Ingresos]],Libro_Diario[[Categoria ]],Ingresos[[#This Row],[Ingresos]],Libro_Diario[Fecha],"&gt;="&amp;'Libro Mayor'!CT$9,Libro_Diario[Fecha],"&lt;="&amp;EOMONTH('Libro Mayor'!CT$9,0))</f>
        <v>0</v>
      </c>
      <c r="CU17" s="24"/>
      <c r="CV17" s="24"/>
      <c r="CW17" s="25">
        <f t="shared" si="17"/>
        <v>0</v>
      </c>
      <c r="CY17" s="24"/>
      <c r="CZ17" s="24"/>
      <c r="DA17" s="24"/>
      <c r="DB17" s="24">
        <f>SUMIFS(Libro_Diario[Detalles],Libro_Diario[[Categoria ]],Ingresos[[#Headers],[Ingresos]],Libro_Diario[[Cantidad ]],Ingresos[[#This Row],[Ingresos]],Libro_Diario[[Tipo ]],"&gt;="&amp;'Libro Mayor'!DB$9,Libro_Diario[[Tipo ]],"&lt;="&amp;EOMONTH('Libro Mayor'!DB$9,0))</f>
        <v>0</v>
      </c>
      <c r="DC17" s="24"/>
      <c r="DD17" s="24"/>
      <c r="DE17" s="24"/>
      <c r="DF17" s="24">
        <f>SUMIFS(Libro_Diario[[Cantidad ]],Libro_Diario[[Tipo ]],Ingresos[[#Headers],[Ingresos]],Libro_Diario[[Categoria ]],Ingresos[[#This Row],[Ingresos]],Libro_Diario[Fecha],"&gt;="&amp;'Libro Mayor'!DF$9,Libro_Diario[Fecha],"&lt;="&amp;EOMONTH('Libro Mayor'!DF$9,0))</f>
        <v>0</v>
      </c>
      <c r="DG17" s="24"/>
      <c r="DH17" s="24">
        <f>SUMIFS(Libro_Diario[[Cantidad ]],Libro_Diario[[Tipo ]],Ingresos[[#Headers],[Ingresos]],Libro_Diario[[Categoria ]],Ingresos[[#This Row],[Ingresos]],Libro_Diario[Fecha],"&gt;="&amp;'Libro Mayor'!DH$9,Libro_Diario[Fecha],"&lt;="&amp;EOMONTH('Libro Mayor'!DH$9,0))</f>
        <v>0</v>
      </c>
      <c r="DI17" s="24"/>
      <c r="DJ17" s="24"/>
      <c r="DK17" s="25">
        <f t="shared" si="18"/>
        <v>0</v>
      </c>
      <c r="DM17" s="24"/>
      <c r="DN17" s="24"/>
      <c r="DO17" s="24"/>
      <c r="DP17" s="24">
        <f>SUMIFS(Libro_Diario[Detalles],Libro_Diario[[Categoria ]],Ingresos[[#Headers],[Ingresos]],Libro_Diario[[Cantidad ]],Ingresos[[#This Row],[Ingresos]],Libro_Diario[[Tipo ]],"&gt;="&amp;'Libro Mayor'!DP$9,Libro_Diario[[Tipo ]],"&lt;="&amp;EOMONTH('Libro Mayor'!DP$9,0))</f>
        <v>0</v>
      </c>
      <c r="DQ17" s="24"/>
      <c r="DR17" s="24"/>
      <c r="DS17" s="24"/>
      <c r="DT17" s="24">
        <f>SUMIFS(Libro_Diario[[Cantidad ]],Libro_Diario[[Tipo ]],Ingresos[[#Headers],[Ingresos]],Libro_Diario[[Categoria ]],Ingresos[[#This Row],[Ingresos]],Libro_Diario[Fecha],"&gt;="&amp;'Libro Mayor'!DT$9,Libro_Diario[Fecha],"&lt;="&amp;EOMONTH('Libro Mayor'!DT$9,0))</f>
        <v>0</v>
      </c>
      <c r="DU17" s="24"/>
      <c r="DV17" s="24">
        <f>SUMIFS(Libro_Diario[[Cantidad ]],Libro_Diario[[Tipo ]],Ingresos[[#Headers],[Ingresos]],Libro_Diario[[Categoria ]],Ingresos[[#This Row],[Ingresos]],Libro_Diario[Fecha],"&gt;="&amp;'Libro Mayor'!DV$9,Libro_Diario[Fecha],"&lt;="&amp;EOMONTH('Libro Mayor'!DV$9,0))</f>
        <v>0</v>
      </c>
      <c r="DW17" s="24"/>
      <c r="DX17" s="24"/>
      <c r="DY17" s="25">
        <f t="shared" si="19"/>
        <v>0</v>
      </c>
      <c r="EA17" s="24"/>
      <c r="EB17" s="24"/>
      <c r="EC17" s="24"/>
      <c r="ED17" s="24">
        <f>SUMIFS(Libro_Diario[Detalles],Libro_Diario[[Categoria ]],Ingresos[[#Headers],[Ingresos]],Libro_Diario[[Cantidad ]],Ingresos[[#This Row],[Ingresos]],Libro_Diario[[Tipo ]],"&gt;="&amp;'Libro Mayor'!ED$9,Libro_Diario[[Tipo ]],"&lt;="&amp;EOMONTH('Libro Mayor'!ED$9,0))</f>
        <v>0</v>
      </c>
      <c r="EE17" s="24"/>
      <c r="EF17" s="24"/>
      <c r="EG17" s="24"/>
      <c r="EH17" s="24">
        <f>SUMIFS(Libro_Diario[[Cantidad ]],Libro_Diario[[Tipo ]],Ingresos[[#Headers],[Ingresos]],Libro_Diario[[Categoria ]],Ingresos[[#This Row],[Ingresos]],Libro_Diario[Fecha],"&gt;="&amp;'Libro Mayor'!EH$9,Libro_Diario[Fecha],"&lt;="&amp;EOMONTH('Libro Mayor'!EH$9,0))</f>
        <v>0</v>
      </c>
      <c r="EI17" s="24"/>
      <c r="EJ17" s="24">
        <f>SUMIFS(Libro_Diario[[Cantidad ]],Libro_Diario[[Tipo ]],Ingresos[[#Headers],[Ingresos]],Libro_Diario[[Categoria ]],Ingresos[[#This Row],[Ingresos]],Libro_Diario[Fecha],"&gt;="&amp;'Libro Mayor'!EJ$9,Libro_Diario[Fecha],"&lt;="&amp;EOMONTH('Libro Mayor'!EJ$9,0))</f>
        <v>0</v>
      </c>
      <c r="EK17" s="24"/>
      <c r="EL17" s="24"/>
      <c r="EM17" s="25">
        <f t="shared" si="20"/>
        <v>0</v>
      </c>
      <c r="EO17" s="24">
        <f>SUMIFS(Libro_Diario[[Cantidad ]],Libro_Diario[[Tipo ]],Ingresos[[#Headers],[Ingresos]],Libro_Diario[[Categoria ]],Ingresos[[#This Row],[Ingresos]],Libro_Diario[Fecha],"&gt;="&amp;'Libro Mayor'!EO$9,Libro_Diario[Fecha],"&lt;="&amp;EOMONTH('Libro Mayor'!EO$9,0))</f>
        <v>0</v>
      </c>
      <c r="EP17" s="24">
        <f>SUMIFS(Libro_Diario[[Cantidad ]],Libro_Diario[[Tipo ]],Ingresos[[#Headers],[Ingresos]],Libro_Diario[[Categoria ]],Ingresos[[#This Row],[Ingresos]],Libro_Diario[Fecha],"&gt;="&amp;'Libro Mayor'!EP$9,Libro_Diario[Fecha],"&lt;="&amp;EOMONTH('Libro Mayor'!EP$9,0))</f>
        <v>0</v>
      </c>
      <c r="EQ17" s="24">
        <f>SUMIFS(Libro_Diario[[Cantidad ]],Libro_Diario[[Tipo ]],Ingresos[[#Headers],[Ingresos]],Libro_Diario[[Categoria ]],Ingresos[[#This Row],[Ingresos]],Libro_Diario[Fecha],"&gt;="&amp;'Libro Mayor'!EQ$9,Libro_Diario[Fecha],"&lt;="&amp;EOMONTH('Libro Mayor'!EQ$9,0))</f>
        <v>0</v>
      </c>
      <c r="ER17" s="24">
        <f>SUMIFS(Libro_Diario[[Cantidad ]],Libro_Diario[[Tipo ]],Ingresos[[#Headers],[Ingresos]],Libro_Diario[[Categoria ]],Ingresos[[#This Row],[Ingresos]],Libro_Diario[Fecha],"&gt;="&amp;'Libro Mayor'!ER$9,Libro_Diario[Fecha],"&lt;="&amp;EOMONTH('Libro Mayor'!ER$9,0))</f>
        <v>0</v>
      </c>
      <c r="ES17" s="24">
        <f>SUMIFS(Libro_Diario[[Cantidad ]],Libro_Diario[[Tipo ]],Ingresos[[#Headers],[Ingresos]],Libro_Diario[[Categoria ]],Ingresos[[#This Row],[Ingresos]],Libro_Diario[Fecha],"&gt;="&amp;'Libro Mayor'!ES$9,Libro_Diario[Fecha],"&lt;="&amp;EOMONTH('Libro Mayor'!ES$9,0))</f>
        <v>0</v>
      </c>
      <c r="ET17" s="24">
        <f>SUMIFS(Libro_Diario[[Cantidad ]],Libro_Diario[[Tipo ]],Ingresos[[#Headers],[Ingresos]],Libro_Diario[[Categoria ]],Ingresos[[#This Row],[Ingresos]],Libro_Diario[Fecha],"&gt;="&amp;'Libro Mayor'!ET$9,Libro_Diario[Fecha],"&lt;="&amp;EOMONTH('Libro Mayor'!ET$9,0))</f>
        <v>0</v>
      </c>
      <c r="EU17" s="24">
        <f>SUMIFS(Libro_Diario[[Cantidad ]],Libro_Diario[[Tipo ]],Ingresos[[#Headers],[Ingresos]],Libro_Diario[[Categoria ]],Ingresos[[#This Row],[Ingresos]],Libro_Diario[Fecha],"&gt;="&amp;'Libro Mayor'!EU$9,Libro_Diario[Fecha],"&lt;="&amp;EOMONTH('Libro Mayor'!EU$9,0))</f>
        <v>0</v>
      </c>
      <c r="EV17" s="24">
        <f>SUMIFS(Libro_Diario[[Cantidad ]],Libro_Diario[[Tipo ]],Ingresos[[#Headers],[Ingresos]],Libro_Diario[[Categoria ]],Ingresos[[#This Row],[Ingresos]],Libro_Diario[Fecha],"&gt;="&amp;'Libro Mayor'!EV$9,Libro_Diario[Fecha],"&lt;="&amp;EOMONTH('Libro Mayor'!EV$9,0))</f>
        <v>0</v>
      </c>
      <c r="EW17" s="24">
        <f>SUMIFS(Libro_Diario[[Cantidad ]],Libro_Diario[[Tipo ]],Ingresos[[#Headers],[Ingresos]],Libro_Diario[[Categoria ]],Ingresos[[#This Row],[Ingresos]],Libro_Diario[Fecha],"&gt;="&amp;'Libro Mayor'!EW$9,Libro_Diario[Fecha],"&lt;="&amp;EOMONTH('Libro Mayor'!EW$9,0))</f>
        <v>0</v>
      </c>
      <c r="EX17" s="24">
        <f>SUMIFS(Libro_Diario[[Cantidad ]],Libro_Diario[[Tipo ]],Ingresos[[#Headers],[Ingresos]],Libro_Diario[[Categoria ]],Ingresos[[#This Row],[Ingresos]],Libro_Diario[Fecha],"&gt;="&amp;'Libro Mayor'!EX$9,Libro_Diario[Fecha],"&lt;="&amp;EOMONTH('Libro Mayor'!EX$9,0))</f>
        <v>0</v>
      </c>
      <c r="EY17" s="24">
        <f>SUMIFS(Libro_Diario[[Cantidad ]],Libro_Diario[[Tipo ]],Ingresos[[#Headers],[Ingresos]],Libro_Diario[[Categoria ]],Ingresos[[#This Row],[Ingresos]],Libro_Diario[Fecha],"&gt;="&amp;'Libro Mayor'!EY$9,Libro_Diario[Fecha],"&lt;="&amp;EOMONTH('Libro Mayor'!EY$9,0))</f>
        <v>0</v>
      </c>
      <c r="EZ17" s="24">
        <f>SUMIFS(Libro_Diario[[Cantidad ]],Libro_Diario[[Tipo ]],Ingresos[[#Headers],[Ingresos]],Libro_Diario[[Categoria ]],Ingresos[[#This Row],[Ingresos]],Libro_Diario[Fecha],"&gt;="&amp;'Libro Mayor'!EZ$9,Libro_Diario[Fecha],"&lt;="&amp;EOMONTH('Libro Mayor'!EZ$9,0))</f>
        <v>0</v>
      </c>
      <c r="FA17" s="25">
        <f t="shared" si="21"/>
        <v>0</v>
      </c>
    </row>
    <row r="18" spans="3:157" hidden="1" x14ac:dyDescent="0.3">
      <c r="C18" s="22" t="s">
        <v>6</v>
      </c>
      <c r="D18" s="23"/>
      <c r="E18" s="24"/>
      <c r="F18" s="24"/>
      <c r="G18" s="24"/>
      <c r="H18" s="24">
        <f>SUMIFS(Libro_Diario[[Cantidad ]],Libro_Diario[[Tipo ]],Ingresos[[#Headers],[Ingresos]],Libro_Diario[[Categoria ]],Ingresos[[#This Row],[Ingresos]],Libro_Diario[Fecha],"&gt;="&amp;'Libro Mayor'!H$9,Libro_Diario[Fecha],"&lt;="&amp;EOMONTH('Libro Mayor'!H$9,0))</f>
        <v>0</v>
      </c>
      <c r="I18" s="24"/>
      <c r="J18" s="24"/>
      <c r="K18" s="24"/>
      <c r="L18" s="24"/>
      <c r="M18" s="24"/>
      <c r="N18" s="24"/>
      <c r="O18" s="24"/>
      <c r="P18" s="24"/>
      <c r="Q18" s="25">
        <f t="shared" si="11"/>
        <v>0</v>
      </c>
      <c r="S18" s="24"/>
      <c r="T18" s="24"/>
      <c r="U18" s="24"/>
      <c r="V18" s="24">
        <f>SUMIFS(Libro_Diario[Detalles],Libro_Diario[[Categoria ]],Ingresos[[#Headers],[Ingresos]],Libro_Diario[[Cantidad ]],Ingresos[[#This Row],[Ingresos]],Libro_Diario[[Tipo ]],"&gt;="&amp;'Libro Mayor'!V$9,Libro_Diario[[Tipo ]],"&lt;="&amp;EOMONTH('Libro Mayor'!V$9,0))</f>
        <v>0</v>
      </c>
      <c r="W18" s="24"/>
      <c r="X18" s="24"/>
      <c r="Y18" s="24"/>
      <c r="Z18" s="24">
        <f>SUMIFS(Libro_Diario[[Cantidad ]],Libro_Diario[[Tipo ]],Ingresos[[#Headers],[Ingresos]],Libro_Diario[[Categoria ]],Ingresos[[#This Row],[Ingresos]],Libro_Diario[Fecha],"&gt;="&amp;'Libro Mayor'!Z$9,Libro_Diario[Fecha],"&lt;="&amp;EOMONTH('Libro Mayor'!Z$9,0))</f>
        <v>0</v>
      </c>
      <c r="AA18" s="24"/>
      <c r="AB18" s="24">
        <f>SUMIFS(Libro_Diario[[Cantidad ]],Libro_Diario[[Tipo ]],Ingresos[[#Headers],[Ingresos]],Libro_Diario[[Categoria ]],Ingresos[[#This Row],[Ingresos]],Libro_Diario[Fecha],"&gt;="&amp;'Libro Mayor'!AB$9,Libro_Diario[Fecha],"&lt;="&amp;EOMONTH('Libro Mayor'!AB$9,0))</f>
        <v>0</v>
      </c>
      <c r="AC18" s="24"/>
      <c r="AD18" s="24"/>
      <c r="AE18" s="25">
        <f t="shared" si="12"/>
        <v>0</v>
      </c>
      <c r="AG18" s="24"/>
      <c r="AH18" s="24"/>
      <c r="AI18" s="24"/>
      <c r="AJ18" s="24">
        <f>SUMIFS(Libro_Diario[Detalles],Libro_Diario[[Categoria ]],Ingresos[[#Headers],[Ingresos]],Libro_Diario[[Cantidad ]],Ingresos[[#This Row],[Ingresos]],Libro_Diario[[Tipo ]],"&gt;="&amp;'Libro Mayor'!AJ$9,Libro_Diario[[Tipo ]],"&lt;="&amp;EOMONTH('Libro Mayor'!AJ$9,0))</f>
        <v>0</v>
      </c>
      <c r="AK18" s="24"/>
      <c r="AL18" s="24"/>
      <c r="AM18" s="24"/>
      <c r="AN18" s="24">
        <f>SUMIFS(Libro_Diario[[Cantidad ]],Libro_Diario[[Tipo ]],Ingresos[[#Headers],[Ingresos]],Libro_Diario[[Categoria ]],Ingresos[[#This Row],[Ingresos]],Libro_Diario[Fecha],"&gt;="&amp;'Libro Mayor'!AN$9,Libro_Diario[Fecha],"&lt;="&amp;EOMONTH('Libro Mayor'!AN$9,0))</f>
        <v>0</v>
      </c>
      <c r="AO18" s="24"/>
      <c r="AP18" s="24">
        <f>SUMIFS(Libro_Diario[[Cantidad ]],Libro_Diario[[Tipo ]],Ingresos[[#Headers],[Ingresos]],Libro_Diario[[Categoria ]],Ingresos[[#This Row],[Ingresos]],Libro_Diario[Fecha],"&gt;="&amp;'Libro Mayor'!AP$9,Libro_Diario[Fecha],"&lt;="&amp;EOMONTH('Libro Mayor'!AP$9,0))</f>
        <v>0</v>
      </c>
      <c r="AQ18" s="24"/>
      <c r="AR18" s="24"/>
      <c r="AS18" s="25">
        <f t="shared" si="13"/>
        <v>0</v>
      </c>
      <c r="AU18" s="24"/>
      <c r="AV18" s="24"/>
      <c r="AW18" s="24"/>
      <c r="AX18" s="24">
        <f>SUMIFS(Libro_Diario[Detalles],Libro_Diario[[Categoria ]],Ingresos[[#Headers],[Ingresos]],Libro_Diario[[Cantidad ]],Ingresos[[#This Row],[Ingresos]],Libro_Diario[[Tipo ]],"&gt;="&amp;'Libro Mayor'!AX$9,Libro_Diario[[Tipo ]],"&lt;="&amp;EOMONTH('Libro Mayor'!AX$9,0))</f>
        <v>0</v>
      </c>
      <c r="AY18" s="24"/>
      <c r="AZ18" s="24"/>
      <c r="BA18" s="24"/>
      <c r="BB18" s="24">
        <f>SUMIFS(Libro_Diario[[Cantidad ]],Libro_Diario[[Tipo ]],Ingresos[[#Headers],[Ingresos]],Libro_Diario[[Categoria ]],Ingresos[[#This Row],[Ingresos]],Libro_Diario[Fecha],"&gt;="&amp;'Libro Mayor'!BB$9,Libro_Diario[Fecha],"&lt;="&amp;EOMONTH('Libro Mayor'!BB$9,0))</f>
        <v>0</v>
      </c>
      <c r="BC18" s="24"/>
      <c r="BD18" s="24">
        <f>SUMIFS(Libro_Diario[[Cantidad ]],Libro_Diario[[Tipo ]],Ingresos[[#Headers],[Ingresos]],Libro_Diario[[Categoria ]],Ingresos[[#This Row],[Ingresos]],Libro_Diario[Fecha],"&gt;="&amp;'Libro Mayor'!BD$9,Libro_Diario[Fecha],"&lt;="&amp;EOMONTH('Libro Mayor'!BD$9,0))</f>
        <v>0</v>
      </c>
      <c r="BE18" s="24"/>
      <c r="BF18" s="24"/>
      <c r="BG18" s="25">
        <f t="shared" si="14"/>
        <v>0</v>
      </c>
      <c r="BI18" s="24"/>
      <c r="BJ18" s="24"/>
      <c r="BK18" s="24"/>
      <c r="BL18" s="24">
        <f>SUMIFS(Libro_Diario[Detalles],Libro_Diario[[Categoria ]],Ingresos[[#Headers],[Ingresos]],Libro_Diario[[Cantidad ]],Ingresos[[#This Row],[Ingresos]],Libro_Diario[[Tipo ]],"&gt;="&amp;'Libro Mayor'!BL$9,Libro_Diario[[Tipo ]],"&lt;="&amp;EOMONTH('Libro Mayor'!BL$9,0))</f>
        <v>0</v>
      </c>
      <c r="BM18" s="24"/>
      <c r="BN18" s="24"/>
      <c r="BO18" s="24"/>
      <c r="BP18" s="24">
        <f>SUMIFS(Libro_Diario[[Cantidad ]],Libro_Diario[[Tipo ]],Ingresos[[#Headers],[Ingresos]],Libro_Diario[[Categoria ]],Ingresos[[#This Row],[Ingresos]],Libro_Diario[Fecha],"&gt;="&amp;'Libro Mayor'!BP$9,Libro_Diario[Fecha],"&lt;="&amp;EOMONTH('Libro Mayor'!BP$9,0))</f>
        <v>0</v>
      </c>
      <c r="BQ18" s="24"/>
      <c r="BR18" s="24">
        <f>SUMIFS(Libro_Diario[[Cantidad ]],Libro_Diario[[Tipo ]],Ingresos[[#Headers],[Ingresos]],Libro_Diario[[Categoria ]],Ingresos[[#This Row],[Ingresos]],Libro_Diario[Fecha],"&gt;="&amp;'Libro Mayor'!BR$9,Libro_Diario[Fecha],"&lt;="&amp;EOMONTH('Libro Mayor'!BR$9,0))</f>
        <v>0</v>
      </c>
      <c r="BS18" s="24"/>
      <c r="BT18" s="24"/>
      <c r="BU18" s="25">
        <f t="shared" si="15"/>
        <v>0</v>
      </c>
      <c r="BW18" s="24"/>
      <c r="BX18" s="24"/>
      <c r="BY18" s="24"/>
      <c r="BZ18" s="24">
        <f>SUMIFS(Libro_Diario[Detalles],Libro_Diario[[Categoria ]],Ingresos[[#Headers],[Ingresos]],Libro_Diario[[Cantidad ]],Ingresos[[#This Row],[Ingresos]],Libro_Diario[[Tipo ]],"&gt;="&amp;'Libro Mayor'!BZ$9,Libro_Diario[[Tipo ]],"&lt;="&amp;EOMONTH('Libro Mayor'!BZ$9,0))</f>
        <v>0</v>
      </c>
      <c r="CA18" s="24"/>
      <c r="CB18" s="24"/>
      <c r="CC18" s="24"/>
      <c r="CD18" s="24">
        <f>SUMIFS(Libro_Diario[[Cantidad ]],Libro_Diario[[Tipo ]],Ingresos[[#Headers],[Ingresos]],Libro_Diario[[Categoria ]],Ingresos[[#This Row],[Ingresos]],Libro_Diario[Fecha],"&gt;="&amp;'Libro Mayor'!CD$9,Libro_Diario[Fecha],"&lt;="&amp;EOMONTH('Libro Mayor'!CD$9,0))</f>
        <v>0</v>
      </c>
      <c r="CE18" s="24"/>
      <c r="CF18" s="24">
        <f>SUMIFS(Libro_Diario[[Cantidad ]],Libro_Diario[[Tipo ]],Ingresos[[#Headers],[Ingresos]],Libro_Diario[[Categoria ]],Ingresos[[#This Row],[Ingresos]],Libro_Diario[Fecha],"&gt;="&amp;'Libro Mayor'!CF$9,Libro_Diario[Fecha],"&lt;="&amp;EOMONTH('Libro Mayor'!CF$9,0))</f>
        <v>0</v>
      </c>
      <c r="CG18" s="24"/>
      <c r="CH18" s="24"/>
      <c r="CI18" s="25">
        <f t="shared" si="16"/>
        <v>0</v>
      </c>
      <c r="CK18" s="24"/>
      <c r="CL18" s="24"/>
      <c r="CM18" s="24"/>
      <c r="CN18" s="24">
        <f>SUMIFS(Libro_Diario[Detalles],Libro_Diario[[Categoria ]],Ingresos[[#Headers],[Ingresos]],Libro_Diario[[Cantidad ]],Ingresos[[#This Row],[Ingresos]],Libro_Diario[[Tipo ]],"&gt;="&amp;'Libro Mayor'!CN$9,Libro_Diario[[Tipo ]],"&lt;="&amp;EOMONTH('Libro Mayor'!CN$9,0))</f>
        <v>0</v>
      </c>
      <c r="CO18" s="24"/>
      <c r="CP18" s="24"/>
      <c r="CQ18" s="24"/>
      <c r="CR18" s="24">
        <f>SUMIFS(Libro_Diario[[Cantidad ]],Libro_Diario[[Tipo ]],Ingresos[[#Headers],[Ingresos]],Libro_Diario[[Categoria ]],Ingresos[[#This Row],[Ingresos]],Libro_Diario[Fecha],"&gt;="&amp;'Libro Mayor'!CR$9,Libro_Diario[Fecha],"&lt;="&amp;EOMONTH('Libro Mayor'!CR$9,0))</f>
        <v>0</v>
      </c>
      <c r="CS18" s="24"/>
      <c r="CT18" s="24">
        <f>SUMIFS(Libro_Diario[[Cantidad ]],Libro_Diario[[Tipo ]],Ingresos[[#Headers],[Ingresos]],Libro_Diario[[Categoria ]],Ingresos[[#This Row],[Ingresos]],Libro_Diario[Fecha],"&gt;="&amp;'Libro Mayor'!CT$9,Libro_Diario[Fecha],"&lt;="&amp;EOMONTH('Libro Mayor'!CT$9,0))</f>
        <v>0</v>
      </c>
      <c r="CU18" s="24"/>
      <c r="CV18" s="24"/>
      <c r="CW18" s="25">
        <f t="shared" si="17"/>
        <v>0</v>
      </c>
      <c r="CY18" s="24"/>
      <c r="CZ18" s="24"/>
      <c r="DA18" s="24"/>
      <c r="DB18" s="24">
        <f>SUMIFS(Libro_Diario[Detalles],Libro_Diario[[Categoria ]],Ingresos[[#Headers],[Ingresos]],Libro_Diario[[Cantidad ]],Ingresos[[#This Row],[Ingresos]],Libro_Diario[[Tipo ]],"&gt;="&amp;'Libro Mayor'!DB$9,Libro_Diario[[Tipo ]],"&lt;="&amp;EOMONTH('Libro Mayor'!DB$9,0))</f>
        <v>0</v>
      </c>
      <c r="DC18" s="24"/>
      <c r="DD18" s="24"/>
      <c r="DE18" s="24"/>
      <c r="DF18" s="24">
        <f>SUMIFS(Libro_Diario[[Cantidad ]],Libro_Diario[[Tipo ]],Ingresos[[#Headers],[Ingresos]],Libro_Diario[[Categoria ]],Ingresos[[#This Row],[Ingresos]],Libro_Diario[Fecha],"&gt;="&amp;'Libro Mayor'!DF$9,Libro_Diario[Fecha],"&lt;="&amp;EOMONTH('Libro Mayor'!DF$9,0))</f>
        <v>0</v>
      </c>
      <c r="DG18" s="24"/>
      <c r="DH18" s="24">
        <f>SUMIFS(Libro_Diario[[Cantidad ]],Libro_Diario[[Tipo ]],Ingresos[[#Headers],[Ingresos]],Libro_Diario[[Categoria ]],Ingresos[[#This Row],[Ingresos]],Libro_Diario[Fecha],"&gt;="&amp;'Libro Mayor'!DH$9,Libro_Diario[Fecha],"&lt;="&amp;EOMONTH('Libro Mayor'!DH$9,0))</f>
        <v>0</v>
      </c>
      <c r="DI18" s="24"/>
      <c r="DJ18" s="24"/>
      <c r="DK18" s="25">
        <f t="shared" si="18"/>
        <v>0</v>
      </c>
      <c r="DM18" s="24"/>
      <c r="DN18" s="24"/>
      <c r="DO18" s="24"/>
      <c r="DP18" s="24">
        <f>SUMIFS(Libro_Diario[Detalles],Libro_Diario[[Categoria ]],Ingresos[[#Headers],[Ingresos]],Libro_Diario[[Cantidad ]],Ingresos[[#This Row],[Ingresos]],Libro_Diario[[Tipo ]],"&gt;="&amp;'Libro Mayor'!DP$9,Libro_Diario[[Tipo ]],"&lt;="&amp;EOMONTH('Libro Mayor'!DP$9,0))</f>
        <v>0</v>
      </c>
      <c r="DQ18" s="24"/>
      <c r="DR18" s="24"/>
      <c r="DS18" s="24"/>
      <c r="DT18" s="24">
        <f>SUMIFS(Libro_Diario[[Cantidad ]],Libro_Diario[[Tipo ]],Ingresos[[#Headers],[Ingresos]],Libro_Diario[[Categoria ]],Ingresos[[#This Row],[Ingresos]],Libro_Diario[Fecha],"&gt;="&amp;'Libro Mayor'!DT$9,Libro_Diario[Fecha],"&lt;="&amp;EOMONTH('Libro Mayor'!DT$9,0))</f>
        <v>0</v>
      </c>
      <c r="DU18" s="24"/>
      <c r="DV18" s="24">
        <f>SUMIFS(Libro_Diario[[Cantidad ]],Libro_Diario[[Tipo ]],Ingresos[[#Headers],[Ingresos]],Libro_Diario[[Categoria ]],Ingresos[[#This Row],[Ingresos]],Libro_Diario[Fecha],"&gt;="&amp;'Libro Mayor'!DV$9,Libro_Diario[Fecha],"&lt;="&amp;EOMONTH('Libro Mayor'!DV$9,0))</f>
        <v>0</v>
      </c>
      <c r="DW18" s="24"/>
      <c r="DX18" s="24"/>
      <c r="DY18" s="25">
        <f t="shared" si="19"/>
        <v>0</v>
      </c>
      <c r="EA18" s="24"/>
      <c r="EB18" s="24"/>
      <c r="EC18" s="24"/>
      <c r="ED18" s="24">
        <f>SUMIFS(Libro_Diario[Detalles],Libro_Diario[[Categoria ]],Ingresos[[#Headers],[Ingresos]],Libro_Diario[[Cantidad ]],Ingresos[[#This Row],[Ingresos]],Libro_Diario[[Tipo ]],"&gt;="&amp;'Libro Mayor'!ED$9,Libro_Diario[[Tipo ]],"&lt;="&amp;EOMONTH('Libro Mayor'!ED$9,0))</f>
        <v>0</v>
      </c>
      <c r="EE18" s="24"/>
      <c r="EF18" s="24"/>
      <c r="EG18" s="24"/>
      <c r="EH18" s="24">
        <f>SUMIFS(Libro_Diario[[Cantidad ]],Libro_Diario[[Tipo ]],Ingresos[[#Headers],[Ingresos]],Libro_Diario[[Categoria ]],Ingresos[[#This Row],[Ingresos]],Libro_Diario[Fecha],"&gt;="&amp;'Libro Mayor'!EH$9,Libro_Diario[Fecha],"&lt;="&amp;EOMONTH('Libro Mayor'!EH$9,0))</f>
        <v>0</v>
      </c>
      <c r="EI18" s="24"/>
      <c r="EJ18" s="24">
        <f>SUMIFS(Libro_Diario[[Cantidad ]],Libro_Diario[[Tipo ]],Ingresos[[#Headers],[Ingresos]],Libro_Diario[[Categoria ]],Ingresos[[#This Row],[Ingresos]],Libro_Diario[Fecha],"&gt;="&amp;'Libro Mayor'!EJ$9,Libro_Diario[Fecha],"&lt;="&amp;EOMONTH('Libro Mayor'!EJ$9,0))</f>
        <v>0</v>
      </c>
      <c r="EK18" s="24"/>
      <c r="EL18" s="24"/>
      <c r="EM18" s="25">
        <f t="shared" si="20"/>
        <v>0</v>
      </c>
      <c r="EO18" s="24">
        <f>SUMIFS(Libro_Diario[[Cantidad ]],Libro_Diario[[Tipo ]],Ingresos[[#Headers],[Ingresos]],Libro_Diario[[Categoria ]],Ingresos[[#This Row],[Ingresos]],Libro_Diario[Fecha],"&gt;="&amp;'Libro Mayor'!EO$9,Libro_Diario[Fecha],"&lt;="&amp;EOMONTH('Libro Mayor'!EO$9,0))</f>
        <v>0</v>
      </c>
      <c r="EP18" s="24">
        <f>SUMIFS(Libro_Diario[[Cantidad ]],Libro_Diario[[Tipo ]],Ingresos[[#Headers],[Ingresos]],Libro_Diario[[Categoria ]],Ingresos[[#This Row],[Ingresos]],Libro_Diario[Fecha],"&gt;="&amp;'Libro Mayor'!EP$9,Libro_Diario[Fecha],"&lt;="&amp;EOMONTH('Libro Mayor'!EP$9,0))</f>
        <v>0</v>
      </c>
      <c r="EQ18" s="24">
        <f>SUMIFS(Libro_Diario[[Cantidad ]],Libro_Diario[[Tipo ]],Ingresos[[#Headers],[Ingresos]],Libro_Diario[[Categoria ]],Ingresos[[#This Row],[Ingresos]],Libro_Diario[Fecha],"&gt;="&amp;'Libro Mayor'!EQ$9,Libro_Diario[Fecha],"&lt;="&amp;EOMONTH('Libro Mayor'!EQ$9,0))</f>
        <v>0</v>
      </c>
      <c r="ER18" s="24">
        <f>SUMIFS(Libro_Diario[[Cantidad ]],Libro_Diario[[Tipo ]],Ingresos[[#Headers],[Ingresos]],Libro_Diario[[Categoria ]],Ingresos[[#This Row],[Ingresos]],Libro_Diario[Fecha],"&gt;="&amp;'Libro Mayor'!ER$9,Libro_Diario[Fecha],"&lt;="&amp;EOMONTH('Libro Mayor'!ER$9,0))</f>
        <v>0</v>
      </c>
      <c r="ES18" s="24">
        <f>SUMIFS(Libro_Diario[[Cantidad ]],Libro_Diario[[Tipo ]],Ingresos[[#Headers],[Ingresos]],Libro_Diario[[Categoria ]],Ingresos[[#This Row],[Ingresos]],Libro_Diario[Fecha],"&gt;="&amp;'Libro Mayor'!ES$9,Libro_Diario[Fecha],"&lt;="&amp;EOMONTH('Libro Mayor'!ES$9,0))</f>
        <v>0</v>
      </c>
      <c r="ET18" s="24">
        <f>SUMIFS(Libro_Diario[[Cantidad ]],Libro_Diario[[Tipo ]],Ingresos[[#Headers],[Ingresos]],Libro_Diario[[Categoria ]],Ingresos[[#This Row],[Ingresos]],Libro_Diario[Fecha],"&gt;="&amp;'Libro Mayor'!ET$9,Libro_Diario[Fecha],"&lt;="&amp;EOMONTH('Libro Mayor'!ET$9,0))</f>
        <v>0</v>
      </c>
      <c r="EU18" s="24">
        <f>SUMIFS(Libro_Diario[[Cantidad ]],Libro_Diario[[Tipo ]],Ingresos[[#Headers],[Ingresos]],Libro_Diario[[Categoria ]],Ingresos[[#This Row],[Ingresos]],Libro_Diario[Fecha],"&gt;="&amp;'Libro Mayor'!EU$9,Libro_Diario[Fecha],"&lt;="&amp;EOMONTH('Libro Mayor'!EU$9,0))</f>
        <v>0</v>
      </c>
      <c r="EV18" s="24">
        <f>SUMIFS(Libro_Diario[[Cantidad ]],Libro_Diario[[Tipo ]],Ingresos[[#Headers],[Ingresos]],Libro_Diario[[Categoria ]],Ingresos[[#This Row],[Ingresos]],Libro_Diario[Fecha],"&gt;="&amp;'Libro Mayor'!EV$9,Libro_Diario[Fecha],"&lt;="&amp;EOMONTH('Libro Mayor'!EV$9,0))</f>
        <v>0</v>
      </c>
      <c r="EW18" s="24">
        <f>SUMIFS(Libro_Diario[[Cantidad ]],Libro_Diario[[Tipo ]],Ingresos[[#Headers],[Ingresos]],Libro_Diario[[Categoria ]],Ingresos[[#This Row],[Ingresos]],Libro_Diario[Fecha],"&gt;="&amp;'Libro Mayor'!EW$9,Libro_Diario[Fecha],"&lt;="&amp;EOMONTH('Libro Mayor'!EW$9,0))</f>
        <v>0</v>
      </c>
      <c r="EX18" s="24">
        <f>SUMIFS(Libro_Diario[[Cantidad ]],Libro_Diario[[Tipo ]],Ingresos[[#Headers],[Ingresos]],Libro_Diario[[Categoria ]],Ingresos[[#This Row],[Ingresos]],Libro_Diario[Fecha],"&gt;="&amp;'Libro Mayor'!EX$9,Libro_Diario[Fecha],"&lt;="&amp;EOMONTH('Libro Mayor'!EX$9,0))</f>
        <v>0</v>
      </c>
      <c r="EY18" s="24">
        <f>SUMIFS(Libro_Diario[[Cantidad ]],Libro_Diario[[Tipo ]],Ingresos[[#Headers],[Ingresos]],Libro_Diario[[Categoria ]],Ingresos[[#This Row],[Ingresos]],Libro_Diario[Fecha],"&gt;="&amp;'Libro Mayor'!EY$9,Libro_Diario[Fecha],"&lt;="&amp;EOMONTH('Libro Mayor'!EY$9,0))</f>
        <v>0</v>
      </c>
      <c r="EZ18" s="24">
        <f>SUMIFS(Libro_Diario[[Cantidad ]],Libro_Diario[[Tipo ]],Ingresos[[#Headers],[Ingresos]],Libro_Diario[[Categoria ]],Ingresos[[#This Row],[Ingresos]],Libro_Diario[Fecha],"&gt;="&amp;'Libro Mayor'!EZ$9,Libro_Diario[Fecha],"&lt;="&amp;EOMONTH('Libro Mayor'!EZ$9,0))</f>
        <v>0</v>
      </c>
      <c r="FA18" s="25">
        <f t="shared" si="21"/>
        <v>0</v>
      </c>
    </row>
    <row r="19" spans="3:157" hidden="1" x14ac:dyDescent="0.3">
      <c r="C19" s="22" t="s">
        <v>6</v>
      </c>
      <c r="D19" s="23"/>
      <c r="E19" s="24"/>
      <c r="F19" s="24"/>
      <c r="G19" s="24"/>
      <c r="H19" s="24">
        <f>SUMIFS(Libro_Diario[[Cantidad ]],Libro_Diario[[Tipo ]],Ingresos[[#Headers],[Ingresos]],Libro_Diario[[Categoria ]],Ingresos[[#This Row],[Ingresos]],Libro_Diario[Fecha],"&gt;="&amp;'Libro Mayor'!H$9,Libro_Diario[Fecha],"&lt;="&amp;EOMONTH('Libro Mayor'!H$9,0))</f>
        <v>0</v>
      </c>
      <c r="I19" s="24"/>
      <c r="J19" s="24"/>
      <c r="K19" s="24"/>
      <c r="L19" s="24"/>
      <c r="M19" s="24"/>
      <c r="N19" s="24"/>
      <c r="O19" s="24"/>
      <c r="P19" s="24"/>
      <c r="Q19" s="25">
        <f t="shared" si="11"/>
        <v>0</v>
      </c>
      <c r="S19" s="24"/>
      <c r="T19" s="24"/>
      <c r="U19" s="24"/>
      <c r="V19" s="24">
        <f>SUMIFS(Libro_Diario[Detalles],Libro_Diario[[Categoria ]],Ingresos[[#Headers],[Ingresos]],Libro_Diario[[Cantidad ]],Ingresos[[#This Row],[Ingresos]],Libro_Diario[[Tipo ]],"&gt;="&amp;'Libro Mayor'!V$9,Libro_Diario[[Tipo ]],"&lt;="&amp;EOMONTH('Libro Mayor'!V$9,0))</f>
        <v>0</v>
      </c>
      <c r="W19" s="24"/>
      <c r="X19" s="24"/>
      <c r="Y19" s="24"/>
      <c r="Z19" s="24">
        <f>SUMIFS(Libro_Diario[[Cantidad ]],Libro_Diario[[Tipo ]],Ingresos[[#Headers],[Ingresos]],Libro_Diario[[Categoria ]],Ingresos[[#This Row],[Ingresos]],Libro_Diario[Fecha],"&gt;="&amp;'Libro Mayor'!Z$9,Libro_Diario[Fecha],"&lt;="&amp;EOMONTH('Libro Mayor'!Z$9,0))</f>
        <v>0</v>
      </c>
      <c r="AA19" s="24"/>
      <c r="AB19" s="24">
        <f>SUMIFS(Libro_Diario[[Cantidad ]],Libro_Diario[[Tipo ]],Ingresos[[#Headers],[Ingresos]],Libro_Diario[[Categoria ]],Ingresos[[#This Row],[Ingresos]],Libro_Diario[Fecha],"&gt;="&amp;'Libro Mayor'!AB$9,Libro_Diario[Fecha],"&lt;="&amp;EOMONTH('Libro Mayor'!AB$9,0))</f>
        <v>0</v>
      </c>
      <c r="AC19" s="24"/>
      <c r="AD19" s="24"/>
      <c r="AE19" s="25">
        <f t="shared" si="12"/>
        <v>0</v>
      </c>
      <c r="AG19" s="24"/>
      <c r="AH19" s="24"/>
      <c r="AI19" s="24"/>
      <c r="AJ19" s="24">
        <f>SUMIFS(Libro_Diario[Detalles],Libro_Diario[[Categoria ]],Ingresos[[#Headers],[Ingresos]],Libro_Diario[[Cantidad ]],Ingresos[[#This Row],[Ingresos]],Libro_Diario[[Tipo ]],"&gt;="&amp;'Libro Mayor'!AJ$9,Libro_Diario[[Tipo ]],"&lt;="&amp;EOMONTH('Libro Mayor'!AJ$9,0))</f>
        <v>0</v>
      </c>
      <c r="AK19" s="24"/>
      <c r="AL19" s="24"/>
      <c r="AM19" s="24"/>
      <c r="AN19" s="24">
        <f>SUMIFS(Libro_Diario[[Cantidad ]],Libro_Diario[[Tipo ]],Ingresos[[#Headers],[Ingresos]],Libro_Diario[[Categoria ]],Ingresos[[#This Row],[Ingresos]],Libro_Diario[Fecha],"&gt;="&amp;'Libro Mayor'!AN$9,Libro_Diario[Fecha],"&lt;="&amp;EOMONTH('Libro Mayor'!AN$9,0))</f>
        <v>0</v>
      </c>
      <c r="AO19" s="24"/>
      <c r="AP19" s="24">
        <f>SUMIFS(Libro_Diario[[Cantidad ]],Libro_Diario[[Tipo ]],Ingresos[[#Headers],[Ingresos]],Libro_Diario[[Categoria ]],Ingresos[[#This Row],[Ingresos]],Libro_Diario[Fecha],"&gt;="&amp;'Libro Mayor'!AP$9,Libro_Diario[Fecha],"&lt;="&amp;EOMONTH('Libro Mayor'!AP$9,0))</f>
        <v>0</v>
      </c>
      <c r="AQ19" s="24"/>
      <c r="AR19" s="24"/>
      <c r="AS19" s="25">
        <f t="shared" si="13"/>
        <v>0</v>
      </c>
      <c r="AU19" s="24"/>
      <c r="AV19" s="24"/>
      <c r="AW19" s="24"/>
      <c r="AX19" s="24">
        <f>SUMIFS(Libro_Diario[Detalles],Libro_Diario[[Categoria ]],Ingresos[[#Headers],[Ingresos]],Libro_Diario[[Cantidad ]],Ingresos[[#This Row],[Ingresos]],Libro_Diario[[Tipo ]],"&gt;="&amp;'Libro Mayor'!AX$9,Libro_Diario[[Tipo ]],"&lt;="&amp;EOMONTH('Libro Mayor'!AX$9,0))</f>
        <v>0</v>
      </c>
      <c r="AY19" s="24"/>
      <c r="AZ19" s="24"/>
      <c r="BA19" s="24"/>
      <c r="BB19" s="24">
        <f>SUMIFS(Libro_Diario[[Cantidad ]],Libro_Diario[[Tipo ]],Ingresos[[#Headers],[Ingresos]],Libro_Diario[[Categoria ]],Ingresos[[#This Row],[Ingresos]],Libro_Diario[Fecha],"&gt;="&amp;'Libro Mayor'!BB$9,Libro_Diario[Fecha],"&lt;="&amp;EOMONTH('Libro Mayor'!BB$9,0))</f>
        <v>0</v>
      </c>
      <c r="BC19" s="24"/>
      <c r="BD19" s="24">
        <f>SUMIFS(Libro_Diario[[Cantidad ]],Libro_Diario[[Tipo ]],Ingresos[[#Headers],[Ingresos]],Libro_Diario[[Categoria ]],Ingresos[[#This Row],[Ingresos]],Libro_Diario[Fecha],"&gt;="&amp;'Libro Mayor'!BD$9,Libro_Diario[Fecha],"&lt;="&amp;EOMONTH('Libro Mayor'!BD$9,0))</f>
        <v>0</v>
      </c>
      <c r="BE19" s="24"/>
      <c r="BF19" s="24"/>
      <c r="BG19" s="25">
        <f t="shared" si="14"/>
        <v>0</v>
      </c>
      <c r="BI19" s="24"/>
      <c r="BJ19" s="24"/>
      <c r="BK19" s="24"/>
      <c r="BL19" s="24">
        <f>SUMIFS(Libro_Diario[Detalles],Libro_Diario[[Categoria ]],Ingresos[[#Headers],[Ingresos]],Libro_Diario[[Cantidad ]],Ingresos[[#This Row],[Ingresos]],Libro_Diario[[Tipo ]],"&gt;="&amp;'Libro Mayor'!BL$9,Libro_Diario[[Tipo ]],"&lt;="&amp;EOMONTH('Libro Mayor'!BL$9,0))</f>
        <v>0</v>
      </c>
      <c r="BM19" s="24"/>
      <c r="BN19" s="24"/>
      <c r="BO19" s="24"/>
      <c r="BP19" s="24">
        <f>SUMIFS(Libro_Diario[[Cantidad ]],Libro_Diario[[Tipo ]],Ingresos[[#Headers],[Ingresos]],Libro_Diario[[Categoria ]],Ingresos[[#This Row],[Ingresos]],Libro_Diario[Fecha],"&gt;="&amp;'Libro Mayor'!BP$9,Libro_Diario[Fecha],"&lt;="&amp;EOMONTH('Libro Mayor'!BP$9,0))</f>
        <v>0</v>
      </c>
      <c r="BQ19" s="24"/>
      <c r="BR19" s="24">
        <f>SUMIFS(Libro_Diario[[Cantidad ]],Libro_Diario[[Tipo ]],Ingresos[[#Headers],[Ingresos]],Libro_Diario[[Categoria ]],Ingresos[[#This Row],[Ingresos]],Libro_Diario[Fecha],"&gt;="&amp;'Libro Mayor'!BR$9,Libro_Diario[Fecha],"&lt;="&amp;EOMONTH('Libro Mayor'!BR$9,0))</f>
        <v>0</v>
      </c>
      <c r="BS19" s="24"/>
      <c r="BT19" s="24"/>
      <c r="BU19" s="25">
        <f t="shared" si="15"/>
        <v>0</v>
      </c>
      <c r="BW19" s="24"/>
      <c r="BX19" s="24"/>
      <c r="BY19" s="24"/>
      <c r="BZ19" s="24">
        <f>SUMIFS(Libro_Diario[Detalles],Libro_Diario[[Categoria ]],Ingresos[[#Headers],[Ingresos]],Libro_Diario[[Cantidad ]],Ingresos[[#This Row],[Ingresos]],Libro_Diario[[Tipo ]],"&gt;="&amp;'Libro Mayor'!BZ$9,Libro_Diario[[Tipo ]],"&lt;="&amp;EOMONTH('Libro Mayor'!BZ$9,0))</f>
        <v>0</v>
      </c>
      <c r="CA19" s="24"/>
      <c r="CB19" s="24"/>
      <c r="CC19" s="24"/>
      <c r="CD19" s="24">
        <f>SUMIFS(Libro_Diario[[Cantidad ]],Libro_Diario[[Tipo ]],Ingresos[[#Headers],[Ingresos]],Libro_Diario[[Categoria ]],Ingresos[[#This Row],[Ingresos]],Libro_Diario[Fecha],"&gt;="&amp;'Libro Mayor'!CD$9,Libro_Diario[Fecha],"&lt;="&amp;EOMONTH('Libro Mayor'!CD$9,0))</f>
        <v>0</v>
      </c>
      <c r="CE19" s="24"/>
      <c r="CF19" s="24">
        <f>SUMIFS(Libro_Diario[[Cantidad ]],Libro_Diario[[Tipo ]],Ingresos[[#Headers],[Ingresos]],Libro_Diario[[Categoria ]],Ingresos[[#This Row],[Ingresos]],Libro_Diario[Fecha],"&gt;="&amp;'Libro Mayor'!CF$9,Libro_Diario[Fecha],"&lt;="&amp;EOMONTH('Libro Mayor'!CF$9,0))</f>
        <v>0</v>
      </c>
      <c r="CG19" s="24"/>
      <c r="CH19" s="24"/>
      <c r="CI19" s="25">
        <f t="shared" si="16"/>
        <v>0</v>
      </c>
      <c r="CK19" s="24"/>
      <c r="CL19" s="24"/>
      <c r="CM19" s="24"/>
      <c r="CN19" s="24">
        <f>SUMIFS(Libro_Diario[Detalles],Libro_Diario[[Categoria ]],Ingresos[[#Headers],[Ingresos]],Libro_Diario[[Cantidad ]],Ingresos[[#This Row],[Ingresos]],Libro_Diario[[Tipo ]],"&gt;="&amp;'Libro Mayor'!CN$9,Libro_Diario[[Tipo ]],"&lt;="&amp;EOMONTH('Libro Mayor'!CN$9,0))</f>
        <v>0</v>
      </c>
      <c r="CO19" s="24"/>
      <c r="CP19" s="24"/>
      <c r="CQ19" s="24"/>
      <c r="CR19" s="24">
        <f>SUMIFS(Libro_Diario[[Cantidad ]],Libro_Diario[[Tipo ]],Ingresos[[#Headers],[Ingresos]],Libro_Diario[[Categoria ]],Ingresos[[#This Row],[Ingresos]],Libro_Diario[Fecha],"&gt;="&amp;'Libro Mayor'!CR$9,Libro_Diario[Fecha],"&lt;="&amp;EOMONTH('Libro Mayor'!CR$9,0))</f>
        <v>0</v>
      </c>
      <c r="CS19" s="24"/>
      <c r="CT19" s="24">
        <f>SUMIFS(Libro_Diario[[Cantidad ]],Libro_Diario[[Tipo ]],Ingresos[[#Headers],[Ingresos]],Libro_Diario[[Categoria ]],Ingresos[[#This Row],[Ingresos]],Libro_Diario[Fecha],"&gt;="&amp;'Libro Mayor'!CT$9,Libro_Diario[Fecha],"&lt;="&amp;EOMONTH('Libro Mayor'!CT$9,0))</f>
        <v>0</v>
      </c>
      <c r="CU19" s="24"/>
      <c r="CV19" s="24"/>
      <c r="CW19" s="25">
        <f t="shared" si="17"/>
        <v>0</v>
      </c>
      <c r="CY19" s="24"/>
      <c r="CZ19" s="24"/>
      <c r="DA19" s="24"/>
      <c r="DB19" s="24">
        <f>SUMIFS(Libro_Diario[Detalles],Libro_Diario[[Categoria ]],Ingresos[[#Headers],[Ingresos]],Libro_Diario[[Cantidad ]],Ingresos[[#This Row],[Ingresos]],Libro_Diario[[Tipo ]],"&gt;="&amp;'Libro Mayor'!DB$9,Libro_Diario[[Tipo ]],"&lt;="&amp;EOMONTH('Libro Mayor'!DB$9,0))</f>
        <v>0</v>
      </c>
      <c r="DC19" s="24"/>
      <c r="DD19" s="24"/>
      <c r="DE19" s="24"/>
      <c r="DF19" s="24">
        <f>SUMIFS(Libro_Diario[[Cantidad ]],Libro_Diario[[Tipo ]],Ingresos[[#Headers],[Ingresos]],Libro_Diario[[Categoria ]],Ingresos[[#This Row],[Ingresos]],Libro_Diario[Fecha],"&gt;="&amp;'Libro Mayor'!DF$9,Libro_Diario[Fecha],"&lt;="&amp;EOMONTH('Libro Mayor'!DF$9,0))</f>
        <v>0</v>
      </c>
      <c r="DG19" s="24"/>
      <c r="DH19" s="24">
        <f>SUMIFS(Libro_Diario[[Cantidad ]],Libro_Diario[[Tipo ]],Ingresos[[#Headers],[Ingresos]],Libro_Diario[[Categoria ]],Ingresos[[#This Row],[Ingresos]],Libro_Diario[Fecha],"&gt;="&amp;'Libro Mayor'!DH$9,Libro_Diario[Fecha],"&lt;="&amp;EOMONTH('Libro Mayor'!DH$9,0))</f>
        <v>0</v>
      </c>
      <c r="DI19" s="24"/>
      <c r="DJ19" s="24"/>
      <c r="DK19" s="25">
        <f t="shared" si="18"/>
        <v>0</v>
      </c>
      <c r="DM19" s="24"/>
      <c r="DN19" s="24"/>
      <c r="DO19" s="24"/>
      <c r="DP19" s="24">
        <f>SUMIFS(Libro_Diario[Detalles],Libro_Diario[[Categoria ]],Ingresos[[#Headers],[Ingresos]],Libro_Diario[[Cantidad ]],Ingresos[[#This Row],[Ingresos]],Libro_Diario[[Tipo ]],"&gt;="&amp;'Libro Mayor'!DP$9,Libro_Diario[[Tipo ]],"&lt;="&amp;EOMONTH('Libro Mayor'!DP$9,0))</f>
        <v>0</v>
      </c>
      <c r="DQ19" s="24"/>
      <c r="DR19" s="24"/>
      <c r="DS19" s="24"/>
      <c r="DT19" s="24">
        <f>SUMIFS(Libro_Diario[[Cantidad ]],Libro_Diario[[Tipo ]],Ingresos[[#Headers],[Ingresos]],Libro_Diario[[Categoria ]],Ingresos[[#This Row],[Ingresos]],Libro_Diario[Fecha],"&gt;="&amp;'Libro Mayor'!DT$9,Libro_Diario[Fecha],"&lt;="&amp;EOMONTH('Libro Mayor'!DT$9,0))</f>
        <v>0</v>
      </c>
      <c r="DU19" s="24"/>
      <c r="DV19" s="24">
        <f>SUMIFS(Libro_Diario[[Cantidad ]],Libro_Diario[[Tipo ]],Ingresos[[#Headers],[Ingresos]],Libro_Diario[[Categoria ]],Ingresos[[#This Row],[Ingresos]],Libro_Diario[Fecha],"&gt;="&amp;'Libro Mayor'!DV$9,Libro_Diario[Fecha],"&lt;="&amp;EOMONTH('Libro Mayor'!DV$9,0))</f>
        <v>0</v>
      </c>
      <c r="DW19" s="24"/>
      <c r="DX19" s="24"/>
      <c r="DY19" s="25">
        <f t="shared" si="19"/>
        <v>0</v>
      </c>
      <c r="EA19" s="24"/>
      <c r="EB19" s="24"/>
      <c r="EC19" s="24"/>
      <c r="ED19" s="24">
        <f>SUMIFS(Libro_Diario[Detalles],Libro_Diario[[Categoria ]],Ingresos[[#Headers],[Ingresos]],Libro_Diario[[Cantidad ]],Ingresos[[#This Row],[Ingresos]],Libro_Diario[[Tipo ]],"&gt;="&amp;'Libro Mayor'!ED$9,Libro_Diario[[Tipo ]],"&lt;="&amp;EOMONTH('Libro Mayor'!ED$9,0))</f>
        <v>0</v>
      </c>
      <c r="EE19" s="24"/>
      <c r="EF19" s="24"/>
      <c r="EG19" s="24"/>
      <c r="EH19" s="24">
        <f>SUMIFS(Libro_Diario[[Cantidad ]],Libro_Diario[[Tipo ]],Ingresos[[#Headers],[Ingresos]],Libro_Diario[[Categoria ]],Ingresos[[#This Row],[Ingresos]],Libro_Diario[Fecha],"&gt;="&amp;'Libro Mayor'!EH$9,Libro_Diario[Fecha],"&lt;="&amp;EOMONTH('Libro Mayor'!EH$9,0))</f>
        <v>0</v>
      </c>
      <c r="EI19" s="24"/>
      <c r="EJ19" s="24">
        <f>SUMIFS(Libro_Diario[[Cantidad ]],Libro_Diario[[Tipo ]],Ingresos[[#Headers],[Ingresos]],Libro_Diario[[Categoria ]],Ingresos[[#This Row],[Ingresos]],Libro_Diario[Fecha],"&gt;="&amp;'Libro Mayor'!EJ$9,Libro_Diario[Fecha],"&lt;="&amp;EOMONTH('Libro Mayor'!EJ$9,0))</f>
        <v>0</v>
      </c>
      <c r="EK19" s="24"/>
      <c r="EL19" s="24"/>
      <c r="EM19" s="25">
        <f t="shared" si="20"/>
        <v>0</v>
      </c>
      <c r="EO19" s="24">
        <f>SUMIFS(Libro_Diario[[Cantidad ]],Libro_Diario[[Tipo ]],Ingresos[[#Headers],[Ingresos]],Libro_Diario[[Categoria ]],Ingresos[[#This Row],[Ingresos]],Libro_Diario[Fecha],"&gt;="&amp;'Libro Mayor'!EO$9,Libro_Diario[Fecha],"&lt;="&amp;EOMONTH('Libro Mayor'!EO$9,0))</f>
        <v>0</v>
      </c>
      <c r="EP19" s="24">
        <f>SUMIFS(Libro_Diario[[Cantidad ]],Libro_Diario[[Tipo ]],Ingresos[[#Headers],[Ingresos]],Libro_Diario[[Categoria ]],Ingresos[[#This Row],[Ingresos]],Libro_Diario[Fecha],"&gt;="&amp;'Libro Mayor'!EP$9,Libro_Diario[Fecha],"&lt;="&amp;EOMONTH('Libro Mayor'!EP$9,0))</f>
        <v>0</v>
      </c>
      <c r="EQ19" s="24">
        <f>SUMIFS(Libro_Diario[[Cantidad ]],Libro_Diario[[Tipo ]],Ingresos[[#Headers],[Ingresos]],Libro_Diario[[Categoria ]],Ingresos[[#This Row],[Ingresos]],Libro_Diario[Fecha],"&gt;="&amp;'Libro Mayor'!EQ$9,Libro_Diario[Fecha],"&lt;="&amp;EOMONTH('Libro Mayor'!EQ$9,0))</f>
        <v>0</v>
      </c>
      <c r="ER19" s="24">
        <f>SUMIFS(Libro_Diario[[Cantidad ]],Libro_Diario[[Tipo ]],Ingresos[[#Headers],[Ingresos]],Libro_Diario[[Categoria ]],Ingresos[[#This Row],[Ingresos]],Libro_Diario[Fecha],"&gt;="&amp;'Libro Mayor'!ER$9,Libro_Diario[Fecha],"&lt;="&amp;EOMONTH('Libro Mayor'!ER$9,0))</f>
        <v>0</v>
      </c>
      <c r="ES19" s="24">
        <f>SUMIFS(Libro_Diario[[Cantidad ]],Libro_Diario[[Tipo ]],Ingresos[[#Headers],[Ingresos]],Libro_Diario[[Categoria ]],Ingresos[[#This Row],[Ingresos]],Libro_Diario[Fecha],"&gt;="&amp;'Libro Mayor'!ES$9,Libro_Diario[Fecha],"&lt;="&amp;EOMONTH('Libro Mayor'!ES$9,0))</f>
        <v>0</v>
      </c>
      <c r="ET19" s="24">
        <f>SUMIFS(Libro_Diario[[Cantidad ]],Libro_Diario[[Tipo ]],Ingresos[[#Headers],[Ingresos]],Libro_Diario[[Categoria ]],Ingresos[[#This Row],[Ingresos]],Libro_Diario[Fecha],"&gt;="&amp;'Libro Mayor'!ET$9,Libro_Diario[Fecha],"&lt;="&amp;EOMONTH('Libro Mayor'!ET$9,0))</f>
        <v>0</v>
      </c>
      <c r="EU19" s="24">
        <f>SUMIFS(Libro_Diario[[Cantidad ]],Libro_Diario[[Tipo ]],Ingresos[[#Headers],[Ingresos]],Libro_Diario[[Categoria ]],Ingresos[[#This Row],[Ingresos]],Libro_Diario[Fecha],"&gt;="&amp;'Libro Mayor'!EU$9,Libro_Diario[Fecha],"&lt;="&amp;EOMONTH('Libro Mayor'!EU$9,0))</f>
        <v>0</v>
      </c>
      <c r="EV19" s="24">
        <f>SUMIFS(Libro_Diario[[Cantidad ]],Libro_Diario[[Tipo ]],Ingresos[[#Headers],[Ingresos]],Libro_Diario[[Categoria ]],Ingresos[[#This Row],[Ingresos]],Libro_Diario[Fecha],"&gt;="&amp;'Libro Mayor'!EV$9,Libro_Diario[Fecha],"&lt;="&amp;EOMONTH('Libro Mayor'!EV$9,0))</f>
        <v>0</v>
      </c>
      <c r="EW19" s="24">
        <f>SUMIFS(Libro_Diario[[Cantidad ]],Libro_Diario[[Tipo ]],Ingresos[[#Headers],[Ingresos]],Libro_Diario[[Categoria ]],Ingresos[[#This Row],[Ingresos]],Libro_Diario[Fecha],"&gt;="&amp;'Libro Mayor'!EW$9,Libro_Diario[Fecha],"&lt;="&amp;EOMONTH('Libro Mayor'!EW$9,0))</f>
        <v>0</v>
      </c>
      <c r="EX19" s="24">
        <f>SUMIFS(Libro_Diario[[Cantidad ]],Libro_Diario[[Tipo ]],Ingresos[[#Headers],[Ingresos]],Libro_Diario[[Categoria ]],Ingresos[[#This Row],[Ingresos]],Libro_Diario[Fecha],"&gt;="&amp;'Libro Mayor'!EX$9,Libro_Diario[Fecha],"&lt;="&amp;EOMONTH('Libro Mayor'!EX$9,0))</f>
        <v>0</v>
      </c>
      <c r="EY19" s="24">
        <f>SUMIFS(Libro_Diario[[Cantidad ]],Libro_Diario[[Tipo ]],Ingresos[[#Headers],[Ingresos]],Libro_Diario[[Categoria ]],Ingresos[[#This Row],[Ingresos]],Libro_Diario[Fecha],"&gt;="&amp;'Libro Mayor'!EY$9,Libro_Diario[Fecha],"&lt;="&amp;EOMONTH('Libro Mayor'!EY$9,0))</f>
        <v>0</v>
      </c>
      <c r="EZ19" s="24">
        <f>SUMIFS(Libro_Diario[[Cantidad ]],Libro_Diario[[Tipo ]],Ingresos[[#Headers],[Ingresos]],Libro_Diario[[Categoria ]],Ingresos[[#This Row],[Ingresos]],Libro_Diario[Fecha],"&gt;="&amp;'Libro Mayor'!EZ$9,Libro_Diario[Fecha],"&lt;="&amp;EOMONTH('Libro Mayor'!EZ$9,0))</f>
        <v>0</v>
      </c>
      <c r="FA19" s="25">
        <f t="shared" si="21"/>
        <v>0</v>
      </c>
    </row>
    <row r="20" spans="3:157" x14ac:dyDescent="0.3">
      <c r="C20" s="32" t="s">
        <v>7</v>
      </c>
      <c r="E20" s="26" cm="1">
        <f t="array" aca="1" ref="E20" ca="1">SUM(INDIRECT(ADDRESS(Ingresos_min_fila,COLUMN()) &amp; ":" &amp; ADDRESS(Ingresos_max_fila,COLUMN())))</f>
        <v>0</v>
      </c>
      <c r="F20" s="26" cm="1">
        <f t="array" aca="1" ref="F20" ca="1">SUM(INDIRECT(ADDRESS(Ingresos_min_fila,COLUMN()) &amp; ":" &amp; ADDRESS(Ingresos_max_fila,COLUMN())))</f>
        <v>0</v>
      </c>
      <c r="G20" s="26" cm="1">
        <f t="array" aca="1" ref="G20" ca="1">SUM(INDIRECT(ADDRESS(Ingresos_min_fila,COLUMN()) &amp; ":" &amp; ADDRESS(Ingresos_max_fila,COLUMN())))</f>
        <v>0</v>
      </c>
      <c r="H20" s="26" cm="1">
        <f t="array" aca="1" ref="H20" ca="1">SUM(INDIRECT(ADDRESS(Ingresos_min_fila,COLUMN()) &amp; ":" &amp; ADDRESS(Ingresos_max_fila,COLUMN())))</f>
        <v>0</v>
      </c>
      <c r="I20" s="26" cm="1">
        <f t="array" aca="1" ref="I20" ca="1">SUM(INDIRECT(ADDRESS(Ingresos_min_fila,COLUMN()) &amp; ":" &amp; ADDRESS(Ingresos_max_fila,COLUMN())))</f>
        <v>0</v>
      </c>
      <c r="J20" s="26" cm="1">
        <f t="array" aca="1" ref="J20" ca="1">SUM(INDIRECT(ADDRESS(Ingresos_min_fila,COLUMN()) &amp; ":" &amp; ADDRESS(Ingresos_max_fila,COLUMN())))</f>
        <v>0</v>
      </c>
      <c r="K20" s="26" cm="1">
        <f t="array" aca="1" ref="K20" ca="1">SUM(INDIRECT(ADDRESS(Ingresos_min_fila,COLUMN()) &amp; ":" &amp; ADDRESS(Ingresos_max_fila,COLUMN())))</f>
        <v>0</v>
      </c>
      <c r="L20" s="26" cm="1">
        <f t="array" aca="1" ref="L20" ca="1">SUM(INDIRECT(ADDRESS(Ingresos_min_fila,COLUMN()) &amp; ":" &amp; ADDRESS(Ingresos_max_fila,COLUMN())))</f>
        <v>0</v>
      </c>
      <c r="M20" s="26" cm="1">
        <f t="array" aca="1" ref="M20" ca="1">SUM(INDIRECT(ADDRESS(Ingresos_min_fila,COLUMN()) &amp; ":" &amp; ADDRESS(Ingresos_max_fila,COLUMN())))</f>
        <v>0</v>
      </c>
      <c r="N20" s="26" cm="1">
        <f t="array" aca="1" ref="N20" ca="1">SUM(INDIRECT(ADDRESS(Ingresos_min_fila,COLUMN()) &amp; ":" &amp; ADDRESS(Ingresos_max_fila,COLUMN())))</f>
        <v>0</v>
      </c>
      <c r="O20" s="26" cm="1">
        <f t="array" aca="1" ref="O20" ca="1">SUM(INDIRECT(ADDRESS(Ingresos_min_fila,COLUMN()) &amp; ":" &amp; ADDRESS(Ingresos_max_fila,COLUMN())))</f>
        <v>0</v>
      </c>
      <c r="P20" s="26" cm="1">
        <f t="array" aca="1" ref="P20" ca="1">SUM(INDIRECT(ADDRESS(Ingresos_min_fila,COLUMN()) &amp; ":" &amp; ADDRESS(Ingresos_max_fila,COLUMN())))</f>
        <v>0</v>
      </c>
      <c r="Q20" s="26" cm="1">
        <f t="array" aca="1" ref="Q20" ca="1">SUM(INDIRECT(ADDRESS(Ingresos_min_fila,COLUMN()) &amp; ":" &amp; ADDRESS(Ingresos_max_fila,COLUMN())))</f>
        <v>0</v>
      </c>
      <c r="S20" s="26" cm="1">
        <f t="array" aca="1" ref="S20" ca="1">SUM(INDIRECT(ADDRESS(Ingresos_min_fila,COLUMN()) &amp; ":" &amp; ADDRESS(Ingresos_max_fila,COLUMN())))</f>
        <v>0</v>
      </c>
      <c r="T20" s="26" cm="1">
        <f t="array" aca="1" ref="T20" ca="1">SUM(INDIRECT(ADDRESS(Ingresos_min_fila,COLUMN()) &amp; ":" &amp; ADDRESS(Ingresos_max_fila,COLUMN())))</f>
        <v>0</v>
      </c>
      <c r="U20" s="26" cm="1">
        <f t="array" aca="1" ref="U20" ca="1">SUM(INDIRECT(ADDRESS(Ingresos_min_fila,COLUMN()) &amp; ":" &amp; ADDRESS(Ingresos_max_fila,COLUMN())))</f>
        <v>0</v>
      </c>
      <c r="V20" s="26" cm="1">
        <f t="array" aca="1" ref="V20" ca="1">SUM(INDIRECT(ADDRESS(Ingresos_min_fila,COLUMN()) &amp; ":" &amp; ADDRESS(Ingresos_max_fila,COLUMN())))</f>
        <v>0</v>
      </c>
      <c r="W20" s="26" cm="1">
        <f t="array" aca="1" ref="W20" ca="1">SUM(INDIRECT(ADDRESS(Ingresos_min_fila,COLUMN()) &amp; ":" &amp; ADDRESS(Ingresos_max_fila,COLUMN())))</f>
        <v>0</v>
      </c>
      <c r="X20" s="26" cm="1">
        <f t="array" aca="1" ref="X20" ca="1">SUM(INDIRECT(ADDRESS(Ingresos_min_fila,COLUMN()) &amp; ":" &amp; ADDRESS(Ingresos_max_fila,COLUMN())))</f>
        <v>0</v>
      </c>
      <c r="Y20" s="26" cm="1">
        <f t="array" aca="1" ref="Y20" ca="1">SUM(INDIRECT(ADDRESS(Ingresos_min_fila,COLUMN()) &amp; ":" &amp; ADDRESS(Ingresos_max_fila,COLUMN())))</f>
        <v>0</v>
      </c>
      <c r="Z20" s="26" cm="1">
        <f t="array" aca="1" ref="Z20" ca="1">SUM(INDIRECT(ADDRESS(Ingresos_min_fila,COLUMN()) &amp; ":" &amp; ADDRESS(Ingresos_max_fila,COLUMN())))</f>
        <v>0</v>
      </c>
      <c r="AA20" s="26" cm="1">
        <f t="array" aca="1" ref="AA20" ca="1">SUM(INDIRECT(ADDRESS(Ingresos_min_fila,COLUMN()) &amp; ":" &amp; ADDRESS(Ingresos_max_fila,COLUMN())))</f>
        <v>0</v>
      </c>
      <c r="AB20" s="26" cm="1">
        <f t="array" aca="1" ref="AB20" ca="1">SUM(INDIRECT(ADDRESS(Ingresos_min_fila,COLUMN()) &amp; ":" &amp; ADDRESS(Ingresos_max_fila,COLUMN())))</f>
        <v>0</v>
      </c>
      <c r="AC20" s="26" cm="1">
        <f t="array" aca="1" ref="AC20" ca="1">SUM(INDIRECT(ADDRESS(Ingresos_min_fila,COLUMN()) &amp; ":" &amp; ADDRESS(Ingresos_max_fila,COLUMN())))</f>
        <v>0</v>
      </c>
      <c r="AD20" s="26" cm="1">
        <f t="array" aca="1" ref="AD20" ca="1">SUM(INDIRECT(ADDRESS(Ingresos_min_fila,COLUMN()) &amp; ":" &amp; ADDRESS(Ingresos_max_fila,COLUMN())))</f>
        <v>0</v>
      </c>
      <c r="AE20" s="26" cm="1">
        <f t="array" aca="1" ref="AE20" ca="1">SUM(INDIRECT(ADDRESS(Ingresos_min_fila,COLUMN()) &amp; ":" &amp; ADDRESS(Ingresos_max_fila,COLUMN())))</f>
        <v>0</v>
      </c>
      <c r="AG20" s="26" cm="1">
        <f t="array" aca="1" ref="AG20" ca="1">SUM(INDIRECT(ADDRESS(Ingresos_min_fila,COLUMN()) &amp; ":" &amp; ADDRESS(Ingresos_max_fila,COLUMN())))</f>
        <v>0</v>
      </c>
      <c r="AH20" s="26" cm="1">
        <f t="array" aca="1" ref="AH20" ca="1">SUM(INDIRECT(ADDRESS(Ingresos_min_fila,COLUMN()) &amp; ":" &amp; ADDRESS(Ingresos_max_fila,COLUMN())))</f>
        <v>0</v>
      </c>
      <c r="AI20" s="26" cm="1">
        <f t="array" aca="1" ref="AI20" ca="1">SUM(INDIRECT(ADDRESS(Ingresos_min_fila,COLUMN()) &amp; ":" &amp; ADDRESS(Ingresos_max_fila,COLUMN())))</f>
        <v>0</v>
      </c>
      <c r="AJ20" s="26" cm="1">
        <f t="array" aca="1" ref="AJ20" ca="1">SUM(INDIRECT(ADDRESS(Ingresos_min_fila,COLUMN()) &amp; ":" &amp; ADDRESS(Ingresos_max_fila,COLUMN())))</f>
        <v>0</v>
      </c>
      <c r="AK20" s="26" cm="1">
        <f t="array" aca="1" ref="AK20" ca="1">SUM(INDIRECT(ADDRESS(Ingresos_min_fila,COLUMN()) &amp; ":" &amp; ADDRESS(Ingresos_max_fila,COLUMN())))</f>
        <v>0</v>
      </c>
      <c r="AL20" s="26" cm="1">
        <f t="array" aca="1" ref="AL20" ca="1">SUM(INDIRECT(ADDRESS(Ingresos_min_fila,COLUMN()) &amp; ":" &amp; ADDRESS(Ingresos_max_fila,COLUMN())))</f>
        <v>0</v>
      </c>
      <c r="AM20" s="26" cm="1">
        <f t="array" aca="1" ref="AM20" ca="1">SUM(INDIRECT(ADDRESS(Ingresos_min_fila,COLUMN()) &amp; ":" &amp; ADDRESS(Ingresos_max_fila,COLUMN())))</f>
        <v>0</v>
      </c>
      <c r="AN20" s="26" cm="1">
        <f t="array" aca="1" ref="AN20" ca="1">SUM(INDIRECT(ADDRESS(Ingresos_min_fila,COLUMN()) &amp; ":" &amp; ADDRESS(Ingresos_max_fila,COLUMN())))</f>
        <v>0</v>
      </c>
      <c r="AO20" s="26" cm="1">
        <f t="array" aca="1" ref="AO20" ca="1">SUM(INDIRECT(ADDRESS(Ingresos_min_fila,COLUMN()) &amp; ":" &amp; ADDRESS(Ingresos_max_fila,COLUMN())))</f>
        <v>0</v>
      </c>
      <c r="AP20" s="26" cm="1">
        <f t="array" aca="1" ref="AP20" ca="1">SUM(INDIRECT(ADDRESS(Ingresos_min_fila,COLUMN()) &amp; ":" &amp; ADDRESS(Ingresos_max_fila,COLUMN())))</f>
        <v>0</v>
      </c>
      <c r="AQ20" s="26" cm="1">
        <f t="array" aca="1" ref="AQ20" ca="1">SUM(INDIRECT(ADDRESS(Ingresos_min_fila,COLUMN()) &amp; ":" &amp; ADDRESS(Ingresos_max_fila,COLUMN())))</f>
        <v>0</v>
      </c>
      <c r="AR20" s="26" cm="1">
        <f t="array" aca="1" ref="AR20" ca="1">SUM(INDIRECT(ADDRESS(Ingresos_min_fila,COLUMN()) &amp; ":" &amp; ADDRESS(Ingresos_max_fila,COLUMN())))</f>
        <v>0</v>
      </c>
      <c r="AS20" s="26" cm="1">
        <f t="array" aca="1" ref="AS20" ca="1">SUM(INDIRECT(ADDRESS(Ingresos_min_fila,COLUMN()) &amp; ":" &amp; ADDRESS(Ingresos_max_fila,COLUMN())))</f>
        <v>0</v>
      </c>
      <c r="AU20" s="26" cm="1">
        <f t="array" aca="1" ref="AU20" ca="1">SUM(INDIRECT(ADDRESS(Ingresos_min_fila,COLUMN()) &amp; ":" &amp; ADDRESS(Ingresos_max_fila,COLUMN())))</f>
        <v>0</v>
      </c>
      <c r="AV20" s="26" cm="1">
        <f t="array" aca="1" ref="AV20" ca="1">SUM(INDIRECT(ADDRESS(Ingresos_min_fila,COLUMN()) &amp; ":" &amp; ADDRESS(Ingresos_max_fila,COLUMN())))</f>
        <v>0</v>
      </c>
      <c r="AW20" s="26" cm="1">
        <f t="array" aca="1" ref="AW20" ca="1">SUM(INDIRECT(ADDRESS(Ingresos_min_fila,COLUMN()) &amp; ":" &amp; ADDRESS(Ingresos_max_fila,COLUMN())))</f>
        <v>0</v>
      </c>
      <c r="AX20" s="26" cm="1">
        <f t="array" aca="1" ref="AX20" ca="1">SUM(INDIRECT(ADDRESS(Ingresos_min_fila,COLUMN()) &amp; ":" &amp; ADDRESS(Ingresos_max_fila,COLUMN())))</f>
        <v>0</v>
      </c>
      <c r="AY20" s="26" cm="1">
        <f t="array" aca="1" ref="AY20" ca="1">SUM(INDIRECT(ADDRESS(Ingresos_min_fila,COLUMN()) &amp; ":" &amp; ADDRESS(Ingresos_max_fila,COLUMN())))</f>
        <v>0</v>
      </c>
      <c r="AZ20" s="26" cm="1">
        <f t="array" aca="1" ref="AZ20" ca="1">SUM(INDIRECT(ADDRESS(Ingresos_min_fila,COLUMN()) &amp; ":" &amp; ADDRESS(Ingresos_max_fila,COLUMN())))</f>
        <v>0</v>
      </c>
      <c r="BA20" s="26" cm="1">
        <f t="array" aca="1" ref="BA20" ca="1">SUM(INDIRECT(ADDRESS(Ingresos_min_fila,COLUMN()) &amp; ":" &amp; ADDRESS(Ingresos_max_fila,COLUMN())))</f>
        <v>0</v>
      </c>
      <c r="BB20" s="26" cm="1">
        <f t="array" aca="1" ref="BB20" ca="1">SUM(INDIRECT(ADDRESS(Ingresos_min_fila,COLUMN()) &amp; ":" &amp; ADDRESS(Ingresos_max_fila,COLUMN())))</f>
        <v>0</v>
      </c>
      <c r="BC20" s="26" cm="1">
        <f t="array" aca="1" ref="BC20" ca="1">SUM(INDIRECT(ADDRESS(Ingresos_min_fila,COLUMN()) &amp; ":" &amp; ADDRESS(Ingresos_max_fila,COLUMN())))</f>
        <v>0</v>
      </c>
      <c r="BD20" s="26" cm="1">
        <f t="array" aca="1" ref="BD20" ca="1">SUM(INDIRECT(ADDRESS(Ingresos_min_fila,COLUMN()) &amp; ":" &amp; ADDRESS(Ingresos_max_fila,COLUMN())))</f>
        <v>0</v>
      </c>
      <c r="BE20" s="26" cm="1">
        <f t="array" aca="1" ref="BE20" ca="1">SUM(INDIRECT(ADDRESS(Ingresos_min_fila,COLUMN()) &amp; ":" &amp; ADDRESS(Ingresos_max_fila,COLUMN())))</f>
        <v>0</v>
      </c>
      <c r="BF20" s="26" cm="1">
        <f t="array" aca="1" ref="BF20" ca="1">SUM(INDIRECT(ADDRESS(Ingresos_min_fila,COLUMN()) &amp; ":" &amp; ADDRESS(Ingresos_max_fila,COLUMN())))</f>
        <v>0</v>
      </c>
      <c r="BG20" s="26" cm="1">
        <f t="array" aca="1" ref="BG20" ca="1">SUM(INDIRECT(ADDRESS(Ingresos_min_fila,COLUMN()) &amp; ":" &amp; ADDRESS(Ingresos_max_fila,COLUMN())))</f>
        <v>0</v>
      </c>
      <c r="BI20" s="26" cm="1">
        <f t="array" aca="1" ref="BI20" ca="1">SUM(INDIRECT(ADDRESS(Ingresos_min_fila,COLUMN()) &amp; ":" &amp; ADDRESS(Ingresos_max_fila,COLUMN())))</f>
        <v>0</v>
      </c>
      <c r="BJ20" s="26" cm="1">
        <f t="array" aca="1" ref="BJ20" ca="1">SUM(INDIRECT(ADDRESS(Ingresos_min_fila,COLUMN()) &amp; ":" &amp; ADDRESS(Ingresos_max_fila,COLUMN())))</f>
        <v>0</v>
      </c>
      <c r="BK20" s="26" cm="1">
        <f t="array" aca="1" ref="BK20" ca="1">SUM(INDIRECT(ADDRESS(Ingresos_min_fila,COLUMN()) &amp; ":" &amp; ADDRESS(Ingresos_max_fila,COLUMN())))</f>
        <v>0</v>
      </c>
      <c r="BL20" s="26" cm="1">
        <f t="array" aca="1" ref="BL20" ca="1">SUM(INDIRECT(ADDRESS(Ingresos_min_fila,COLUMN()) &amp; ":" &amp; ADDRESS(Ingresos_max_fila,COLUMN())))</f>
        <v>0</v>
      </c>
      <c r="BM20" s="26" cm="1">
        <f t="array" aca="1" ref="BM20" ca="1">SUM(INDIRECT(ADDRESS(Ingresos_min_fila,COLUMN()) &amp; ":" &amp; ADDRESS(Ingresos_max_fila,COLUMN())))</f>
        <v>0</v>
      </c>
      <c r="BN20" s="26" cm="1">
        <f t="array" aca="1" ref="BN20" ca="1">SUM(INDIRECT(ADDRESS(Ingresos_min_fila,COLUMN()) &amp; ":" &amp; ADDRESS(Ingresos_max_fila,COLUMN())))</f>
        <v>0</v>
      </c>
      <c r="BO20" s="26" cm="1">
        <f t="array" aca="1" ref="BO20" ca="1">SUM(INDIRECT(ADDRESS(Ingresos_min_fila,COLUMN()) &amp; ":" &amp; ADDRESS(Ingresos_max_fila,COLUMN())))</f>
        <v>0</v>
      </c>
      <c r="BP20" s="26" cm="1">
        <f t="array" aca="1" ref="BP20" ca="1">SUM(INDIRECT(ADDRESS(Ingresos_min_fila,COLUMN()) &amp; ":" &amp; ADDRESS(Ingresos_max_fila,COLUMN())))</f>
        <v>0</v>
      </c>
      <c r="BQ20" s="26" cm="1">
        <f t="array" aca="1" ref="BQ20" ca="1">SUM(INDIRECT(ADDRESS(Ingresos_min_fila,COLUMN()) &amp; ":" &amp; ADDRESS(Ingresos_max_fila,COLUMN())))</f>
        <v>0</v>
      </c>
      <c r="BR20" s="26" cm="1">
        <f t="array" aca="1" ref="BR20" ca="1">SUM(INDIRECT(ADDRESS(Ingresos_min_fila,COLUMN()) &amp; ":" &amp; ADDRESS(Ingresos_max_fila,COLUMN())))</f>
        <v>0</v>
      </c>
      <c r="BS20" s="26" cm="1">
        <f t="array" aca="1" ref="BS20" ca="1">SUM(INDIRECT(ADDRESS(Ingresos_min_fila,COLUMN()) &amp; ":" &amp; ADDRESS(Ingresos_max_fila,COLUMN())))</f>
        <v>0</v>
      </c>
      <c r="BT20" s="26" cm="1">
        <f t="array" aca="1" ref="BT20" ca="1">SUM(INDIRECT(ADDRESS(Ingresos_min_fila,COLUMN()) &amp; ":" &amp; ADDRESS(Ingresos_max_fila,COLUMN())))</f>
        <v>0</v>
      </c>
      <c r="BU20" s="26" cm="1">
        <f t="array" aca="1" ref="BU20" ca="1">SUM(INDIRECT(ADDRESS(Ingresos_min_fila,COLUMN()) &amp; ":" &amp; ADDRESS(Ingresos_max_fila,COLUMN())))</f>
        <v>0</v>
      </c>
      <c r="BW20" s="26" cm="1">
        <f t="array" aca="1" ref="BW20" ca="1">SUM(INDIRECT(ADDRESS(Ingresos_min_fila,COLUMN()) &amp; ":" &amp; ADDRESS(Ingresos_max_fila,COLUMN())))</f>
        <v>0</v>
      </c>
      <c r="BX20" s="26" cm="1">
        <f t="array" aca="1" ref="BX20" ca="1">SUM(INDIRECT(ADDRESS(Ingresos_min_fila,COLUMN()) &amp; ":" &amp; ADDRESS(Ingresos_max_fila,COLUMN())))</f>
        <v>0</v>
      </c>
      <c r="BY20" s="26" cm="1">
        <f t="array" aca="1" ref="BY20" ca="1">SUM(INDIRECT(ADDRESS(Ingresos_min_fila,COLUMN()) &amp; ":" &amp; ADDRESS(Ingresos_max_fila,COLUMN())))</f>
        <v>0</v>
      </c>
      <c r="BZ20" s="26" cm="1">
        <f t="array" aca="1" ref="BZ20" ca="1">SUM(INDIRECT(ADDRESS(Ingresos_min_fila,COLUMN()) &amp; ":" &amp; ADDRESS(Ingresos_max_fila,COLUMN())))</f>
        <v>0</v>
      </c>
      <c r="CA20" s="26" cm="1">
        <f t="array" aca="1" ref="CA20" ca="1">SUM(INDIRECT(ADDRESS(Ingresos_min_fila,COLUMN()) &amp; ":" &amp; ADDRESS(Ingresos_max_fila,COLUMN())))</f>
        <v>0</v>
      </c>
      <c r="CB20" s="26" cm="1">
        <f t="array" aca="1" ref="CB20" ca="1">SUM(INDIRECT(ADDRESS(Ingresos_min_fila,COLUMN()) &amp; ":" &amp; ADDRESS(Ingresos_max_fila,COLUMN())))</f>
        <v>0</v>
      </c>
      <c r="CC20" s="26" cm="1">
        <f t="array" aca="1" ref="CC20" ca="1">SUM(INDIRECT(ADDRESS(Ingresos_min_fila,COLUMN()) &amp; ":" &amp; ADDRESS(Ingresos_max_fila,COLUMN())))</f>
        <v>0</v>
      </c>
      <c r="CD20" s="26" cm="1">
        <f t="array" aca="1" ref="CD20" ca="1">SUM(INDIRECT(ADDRESS(Ingresos_min_fila,COLUMN()) &amp; ":" &amp; ADDRESS(Ingresos_max_fila,COLUMN())))</f>
        <v>0</v>
      </c>
      <c r="CE20" s="26" cm="1">
        <f t="array" aca="1" ref="CE20" ca="1">SUM(INDIRECT(ADDRESS(Ingresos_min_fila,COLUMN()) &amp; ":" &amp; ADDRESS(Ingresos_max_fila,COLUMN())))</f>
        <v>0</v>
      </c>
      <c r="CF20" s="26" cm="1">
        <f t="array" aca="1" ref="CF20" ca="1">SUM(INDIRECT(ADDRESS(Ingresos_min_fila,COLUMN()) &amp; ":" &amp; ADDRESS(Ingresos_max_fila,COLUMN())))</f>
        <v>0</v>
      </c>
      <c r="CG20" s="26" cm="1">
        <f t="array" aca="1" ref="CG20" ca="1">SUM(INDIRECT(ADDRESS(Ingresos_min_fila,COLUMN()) &amp; ":" &amp; ADDRESS(Ingresos_max_fila,COLUMN())))</f>
        <v>0</v>
      </c>
      <c r="CH20" s="26" cm="1">
        <f t="array" aca="1" ref="CH20" ca="1">SUM(INDIRECT(ADDRESS(Ingresos_min_fila,COLUMN()) &amp; ":" &amp; ADDRESS(Ingresos_max_fila,COLUMN())))</f>
        <v>0</v>
      </c>
      <c r="CI20" s="26" cm="1">
        <f t="array" aca="1" ref="CI20" ca="1">SUM(INDIRECT(ADDRESS(Ingresos_min_fila,COLUMN()) &amp; ":" &amp; ADDRESS(Ingresos_max_fila,COLUMN())))</f>
        <v>0</v>
      </c>
      <c r="CK20" s="26" cm="1">
        <f t="array" aca="1" ref="CK20" ca="1">SUM(INDIRECT(ADDRESS(Ingresos_min_fila,COLUMN()) &amp; ":" &amp; ADDRESS(Ingresos_max_fila,COLUMN())))</f>
        <v>0</v>
      </c>
      <c r="CL20" s="26" cm="1">
        <f t="array" aca="1" ref="CL20" ca="1">SUM(INDIRECT(ADDRESS(Ingresos_min_fila,COLUMN()) &amp; ":" &amp; ADDRESS(Ingresos_max_fila,COLUMN())))</f>
        <v>0</v>
      </c>
      <c r="CM20" s="26" cm="1">
        <f t="array" aca="1" ref="CM20" ca="1">SUM(INDIRECT(ADDRESS(Ingresos_min_fila,COLUMN()) &amp; ":" &amp; ADDRESS(Ingresos_max_fila,COLUMN())))</f>
        <v>0</v>
      </c>
      <c r="CN20" s="26" cm="1">
        <f t="array" aca="1" ref="CN20" ca="1">SUM(INDIRECT(ADDRESS(Ingresos_min_fila,COLUMN()) &amp; ":" &amp; ADDRESS(Ingresos_max_fila,COLUMN())))</f>
        <v>0</v>
      </c>
      <c r="CO20" s="26" cm="1">
        <f t="array" aca="1" ref="CO20" ca="1">SUM(INDIRECT(ADDRESS(Ingresos_min_fila,COLUMN()) &amp; ":" &amp; ADDRESS(Ingresos_max_fila,COLUMN())))</f>
        <v>0</v>
      </c>
      <c r="CP20" s="26" cm="1">
        <f t="array" aca="1" ref="CP20" ca="1">SUM(INDIRECT(ADDRESS(Ingresos_min_fila,COLUMN()) &amp; ":" &amp; ADDRESS(Ingresos_max_fila,COLUMN())))</f>
        <v>0</v>
      </c>
      <c r="CQ20" s="26" cm="1">
        <f t="array" aca="1" ref="CQ20" ca="1">SUM(INDIRECT(ADDRESS(Ingresos_min_fila,COLUMN()) &amp; ":" &amp; ADDRESS(Ingresos_max_fila,COLUMN())))</f>
        <v>0</v>
      </c>
      <c r="CR20" s="26" cm="1">
        <f t="array" aca="1" ref="CR20" ca="1">SUM(INDIRECT(ADDRESS(Ingresos_min_fila,COLUMN()) &amp; ":" &amp; ADDRESS(Ingresos_max_fila,COLUMN())))</f>
        <v>0</v>
      </c>
      <c r="CS20" s="26" cm="1">
        <f t="array" aca="1" ref="CS20" ca="1">SUM(INDIRECT(ADDRESS(Ingresos_min_fila,COLUMN()) &amp; ":" &amp; ADDRESS(Ingresos_max_fila,COLUMN())))</f>
        <v>0</v>
      </c>
      <c r="CT20" s="26" cm="1">
        <f t="array" aca="1" ref="CT20" ca="1">SUM(INDIRECT(ADDRESS(Ingresos_min_fila,COLUMN()) &amp; ":" &amp; ADDRESS(Ingresos_max_fila,COLUMN())))</f>
        <v>0</v>
      </c>
      <c r="CU20" s="26" cm="1">
        <f t="array" aca="1" ref="CU20" ca="1">SUM(INDIRECT(ADDRESS(Ingresos_min_fila,COLUMN()) &amp; ":" &amp; ADDRESS(Ingresos_max_fila,COLUMN())))</f>
        <v>0</v>
      </c>
      <c r="CV20" s="26" cm="1">
        <f t="array" aca="1" ref="CV20" ca="1">SUM(INDIRECT(ADDRESS(Ingresos_min_fila,COLUMN()) &amp; ":" &amp; ADDRESS(Ingresos_max_fila,COLUMN())))</f>
        <v>0</v>
      </c>
      <c r="CW20" s="26" cm="1">
        <f t="array" aca="1" ref="CW20" ca="1">SUM(INDIRECT(ADDRESS(Ingresos_min_fila,COLUMN()) &amp; ":" &amp; ADDRESS(Ingresos_max_fila,COLUMN())))</f>
        <v>0</v>
      </c>
      <c r="CY20" s="26" cm="1">
        <f t="array" aca="1" ref="CY20" ca="1">SUM(INDIRECT(ADDRESS(Ingresos_min_fila,COLUMN()) &amp; ":" &amp; ADDRESS(Ingresos_max_fila,COLUMN())))</f>
        <v>0</v>
      </c>
      <c r="CZ20" s="26" cm="1">
        <f t="array" aca="1" ref="CZ20" ca="1">SUM(INDIRECT(ADDRESS(Ingresos_min_fila,COLUMN()) &amp; ":" &amp; ADDRESS(Ingresos_max_fila,COLUMN())))</f>
        <v>0</v>
      </c>
      <c r="DA20" s="26" cm="1">
        <f t="array" aca="1" ref="DA20" ca="1">SUM(INDIRECT(ADDRESS(Ingresos_min_fila,COLUMN()) &amp; ":" &amp; ADDRESS(Ingresos_max_fila,COLUMN())))</f>
        <v>0</v>
      </c>
      <c r="DB20" s="26" cm="1">
        <f t="array" aca="1" ref="DB20" ca="1">SUM(INDIRECT(ADDRESS(Ingresos_min_fila,COLUMN()) &amp; ":" &amp; ADDRESS(Ingresos_max_fila,COLUMN())))</f>
        <v>0</v>
      </c>
      <c r="DC20" s="26" cm="1">
        <f t="array" aca="1" ref="DC20" ca="1">SUM(INDIRECT(ADDRESS(Ingresos_min_fila,COLUMN()) &amp; ":" &amp; ADDRESS(Ingresos_max_fila,COLUMN())))</f>
        <v>0</v>
      </c>
      <c r="DD20" s="26" cm="1">
        <f t="array" aca="1" ref="DD20" ca="1">SUM(INDIRECT(ADDRESS(Ingresos_min_fila,COLUMN()) &amp; ":" &amp; ADDRESS(Ingresos_max_fila,COLUMN())))</f>
        <v>0</v>
      </c>
      <c r="DE20" s="26" cm="1">
        <f t="array" aca="1" ref="DE20" ca="1">SUM(INDIRECT(ADDRESS(Ingresos_min_fila,COLUMN()) &amp; ":" &amp; ADDRESS(Ingresos_max_fila,COLUMN())))</f>
        <v>0</v>
      </c>
      <c r="DF20" s="26" cm="1">
        <f t="array" aca="1" ref="DF20" ca="1">SUM(INDIRECT(ADDRESS(Ingresos_min_fila,COLUMN()) &amp; ":" &amp; ADDRESS(Ingresos_max_fila,COLUMN())))</f>
        <v>0</v>
      </c>
      <c r="DG20" s="26" cm="1">
        <f t="array" aca="1" ref="DG20" ca="1">SUM(INDIRECT(ADDRESS(Ingresos_min_fila,COLUMN()) &amp; ":" &amp; ADDRESS(Ingresos_max_fila,COLUMN())))</f>
        <v>0</v>
      </c>
      <c r="DH20" s="26" cm="1">
        <f t="array" aca="1" ref="DH20" ca="1">SUM(INDIRECT(ADDRESS(Ingresos_min_fila,COLUMN()) &amp; ":" &amp; ADDRESS(Ingresos_max_fila,COLUMN())))</f>
        <v>0</v>
      </c>
      <c r="DI20" s="26" cm="1">
        <f t="array" aca="1" ref="DI20" ca="1">SUM(INDIRECT(ADDRESS(Ingresos_min_fila,COLUMN()) &amp; ":" &amp; ADDRESS(Ingresos_max_fila,COLUMN())))</f>
        <v>0</v>
      </c>
      <c r="DJ20" s="26" cm="1">
        <f t="array" aca="1" ref="DJ20" ca="1">SUM(INDIRECT(ADDRESS(Ingresos_min_fila,COLUMN()) &amp; ":" &amp; ADDRESS(Ingresos_max_fila,COLUMN())))</f>
        <v>0</v>
      </c>
      <c r="DK20" s="26" cm="1">
        <f t="array" aca="1" ref="DK20" ca="1">SUM(INDIRECT(ADDRESS(Ingresos_min_fila,COLUMN()) &amp; ":" &amp; ADDRESS(Ingresos_max_fila,COLUMN())))</f>
        <v>0</v>
      </c>
      <c r="DM20" s="26" cm="1">
        <f t="array" aca="1" ref="DM20" ca="1">SUM(INDIRECT(ADDRESS(Ingresos_min_fila,COLUMN()) &amp; ":" &amp; ADDRESS(Ingresos_max_fila,COLUMN())))</f>
        <v>0</v>
      </c>
      <c r="DN20" s="26" cm="1">
        <f t="array" aca="1" ref="DN20" ca="1">SUM(INDIRECT(ADDRESS(Ingresos_min_fila,COLUMN()) &amp; ":" &amp; ADDRESS(Ingresos_max_fila,COLUMN())))</f>
        <v>0</v>
      </c>
      <c r="DO20" s="26" cm="1">
        <f t="array" aca="1" ref="DO20" ca="1">SUM(INDIRECT(ADDRESS(Ingresos_min_fila,COLUMN()) &amp; ":" &amp; ADDRESS(Ingresos_max_fila,COLUMN())))</f>
        <v>0</v>
      </c>
      <c r="DP20" s="26" cm="1">
        <f t="array" aca="1" ref="DP20" ca="1">SUM(INDIRECT(ADDRESS(Ingresos_min_fila,COLUMN()) &amp; ":" &amp; ADDRESS(Ingresos_max_fila,COLUMN())))</f>
        <v>0</v>
      </c>
      <c r="DQ20" s="26" cm="1">
        <f t="array" aca="1" ref="DQ20" ca="1">SUM(INDIRECT(ADDRESS(Ingresos_min_fila,COLUMN()) &amp; ":" &amp; ADDRESS(Ingresos_max_fila,COLUMN())))</f>
        <v>0</v>
      </c>
      <c r="DR20" s="26" cm="1">
        <f t="array" aca="1" ref="DR20" ca="1">SUM(INDIRECT(ADDRESS(Ingresos_min_fila,COLUMN()) &amp; ":" &amp; ADDRESS(Ingresos_max_fila,COLUMN())))</f>
        <v>0</v>
      </c>
      <c r="DS20" s="26" cm="1">
        <f t="array" aca="1" ref="DS20" ca="1">SUM(INDIRECT(ADDRESS(Ingresos_min_fila,COLUMN()) &amp; ":" &amp; ADDRESS(Ingresos_max_fila,COLUMN())))</f>
        <v>0</v>
      </c>
      <c r="DT20" s="26" cm="1">
        <f t="array" aca="1" ref="DT20" ca="1">SUM(INDIRECT(ADDRESS(Ingresos_min_fila,COLUMN()) &amp; ":" &amp; ADDRESS(Ingresos_max_fila,COLUMN())))</f>
        <v>0</v>
      </c>
      <c r="DU20" s="26" cm="1">
        <f t="array" aca="1" ref="DU20" ca="1">SUM(INDIRECT(ADDRESS(Ingresos_min_fila,COLUMN()) &amp; ":" &amp; ADDRESS(Ingresos_max_fila,COLUMN())))</f>
        <v>0</v>
      </c>
      <c r="DV20" s="26" cm="1">
        <f t="array" aca="1" ref="DV20" ca="1">SUM(INDIRECT(ADDRESS(Ingresos_min_fila,COLUMN()) &amp; ":" &amp; ADDRESS(Ingresos_max_fila,COLUMN())))</f>
        <v>0</v>
      </c>
      <c r="DW20" s="26" cm="1">
        <f t="array" aca="1" ref="DW20" ca="1">SUM(INDIRECT(ADDRESS(Ingresos_min_fila,COLUMN()) &amp; ":" &amp; ADDRESS(Ingresos_max_fila,COLUMN())))</f>
        <v>0</v>
      </c>
      <c r="DX20" s="26" cm="1">
        <f t="array" aca="1" ref="DX20" ca="1">SUM(INDIRECT(ADDRESS(Ingresos_min_fila,COLUMN()) &amp; ":" &amp; ADDRESS(Ingresos_max_fila,COLUMN())))</f>
        <v>0</v>
      </c>
      <c r="DY20" s="26" cm="1">
        <f t="array" aca="1" ref="DY20" ca="1">SUM(INDIRECT(ADDRESS(Ingresos_min_fila,COLUMN()) &amp; ":" &amp; ADDRESS(Ingresos_max_fila,COLUMN())))</f>
        <v>0</v>
      </c>
      <c r="EA20" s="26" cm="1">
        <f t="array" aca="1" ref="EA20" ca="1">SUM(INDIRECT(ADDRESS(Ingresos_min_fila,COLUMN()) &amp; ":" &amp; ADDRESS(Ingresos_max_fila,COLUMN())))</f>
        <v>0</v>
      </c>
      <c r="EB20" s="26" cm="1">
        <f t="array" aca="1" ref="EB20" ca="1">SUM(INDIRECT(ADDRESS(Ingresos_min_fila,COLUMN()) &amp; ":" &amp; ADDRESS(Ingresos_max_fila,COLUMN())))</f>
        <v>0</v>
      </c>
      <c r="EC20" s="26" cm="1">
        <f t="array" aca="1" ref="EC20" ca="1">SUM(INDIRECT(ADDRESS(Ingresos_min_fila,COLUMN()) &amp; ":" &amp; ADDRESS(Ingresos_max_fila,COLUMN())))</f>
        <v>0</v>
      </c>
      <c r="ED20" s="26" cm="1">
        <f t="array" aca="1" ref="ED20" ca="1">SUM(INDIRECT(ADDRESS(Ingresos_min_fila,COLUMN()) &amp; ":" &amp; ADDRESS(Ingresos_max_fila,COLUMN())))</f>
        <v>0</v>
      </c>
      <c r="EE20" s="26" cm="1">
        <f t="array" aca="1" ref="EE20" ca="1">SUM(INDIRECT(ADDRESS(Ingresos_min_fila,COLUMN()) &amp; ":" &amp; ADDRESS(Ingresos_max_fila,COLUMN())))</f>
        <v>0</v>
      </c>
      <c r="EF20" s="26" cm="1">
        <f t="array" aca="1" ref="EF20" ca="1">SUM(INDIRECT(ADDRESS(Ingresos_min_fila,COLUMN()) &amp; ":" &amp; ADDRESS(Ingresos_max_fila,COLUMN())))</f>
        <v>0</v>
      </c>
      <c r="EG20" s="26" cm="1">
        <f t="array" aca="1" ref="EG20" ca="1">SUM(INDIRECT(ADDRESS(Ingresos_min_fila,COLUMN()) &amp; ":" &amp; ADDRESS(Ingresos_max_fila,COLUMN())))</f>
        <v>0</v>
      </c>
      <c r="EH20" s="26" cm="1">
        <f t="array" aca="1" ref="EH20" ca="1">SUM(INDIRECT(ADDRESS(Ingresos_min_fila,COLUMN()) &amp; ":" &amp; ADDRESS(Ingresos_max_fila,COLUMN())))</f>
        <v>0</v>
      </c>
      <c r="EI20" s="26" cm="1">
        <f t="array" aca="1" ref="EI20" ca="1">SUM(INDIRECT(ADDRESS(Ingresos_min_fila,COLUMN()) &amp; ":" &amp; ADDRESS(Ingresos_max_fila,COLUMN())))</f>
        <v>0</v>
      </c>
      <c r="EJ20" s="26" cm="1">
        <f t="array" aca="1" ref="EJ20" ca="1">SUM(INDIRECT(ADDRESS(Ingresos_min_fila,COLUMN()) &amp; ":" &amp; ADDRESS(Ingresos_max_fila,COLUMN())))</f>
        <v>0</v>
      </c>
      <c r="EK20" s="26" cm="1">
        <f t="array" aca="1" ref="EK20" ca="1">SUM(INDIRECT(ADDRESS(Ingresos_min_fila,COLUMN()) &amp; ":" &amp; ADDRESS(Ingresos_max_fila,COLUMN())))</f>
        <v>0</v>
      </c>
      <c r="EL20" s="26" cm="1">
        <f t="array" aca="1" ref="EL20" ca="1">SUM(INDIRECT(ADDRESS(Ingresos_min_fila,COLUMN()) &amp; ":" &amp; ADDRESS(Ingresos_max_fila,COLUMN())))</f>
        <v>0</v>
      </c>
      <c r="EM20" s="26" cm="1">
        <f t="array" aca="1" ref="EM20" ca="1">SUM(INDIRECT(ADDRESS(Ingresos_min_fila,COLUMN()) &amp; ":" &amp; ADDRESS(Ingresos_max_fila,COLUMN())))</f>
        <v>0</v>
      </c>
      <c r="EO20" s="26" cm="1">
        <f t="array" aca="1" ref="EO20" ca="1">SUM(INDIRECT(ADDRESS(Ingresos_min_fila,COLUMN()) &amp; ":" &amp; ADDRESS(Ingresos_max_fila,COLUMN())))</f>
        <v>0</v>
      </c>
      <c r="EP20" s="26" cm="1">
        <f t="array" aca="1" ref="EP20" ca="1">SUM(INDIRECT(ADDRESS(Ingresos_min_fila,COLUMN()) &amp; ":" &amp; ADDRESS(Ingresos_max_fila,COLUMN())))</f>
        <v>0</v>
      </c>
      <c r="EQ20" s="26" cm="1">
        <f t="array" aca="1" ref="EQ20" ca="1">SUM(INDIRECT(ADDRESS(Ingresos_min_fila,COLUMN()) &amp; ":" &amp; ADDRESS(Ingresos_max_fila,COLUMN())))</f>
        <v>0</v>
      </c>
      <c r="ER20" s="26" cm="1">
        <f t="array" aca="1" ref="ER20" ca="1">SUM(INDIRECT(ADDRESS(Ingresos_min_fila,COLUMN()) &amp; ":" &amp; ADDRESS(Ingresos_max_fila,COLUMN())))</f>
        <v>0</v>
      </c>
      <c r="ES20" s="26" cm="1">
        <f t="array" aca="1" ref="ES20" ca="1">SUM(INDIRECT(ADDRESS(Ingresos_min_fila,COLUMN()) &amp; ":" &amp; ADDRESS(Ingresos_max_fila,COLUMN())))</f>
        <v>0</v>
      </c>
      <c r="ET20" s="26" cm="1">
        <f t="array" aca="1" ref="ET20" ca="1">SUM(INDIRECT(ADDRESS(Ingresos_min_fila,COLUMN()) &amp; ":" &amp; ADDRESS(Ingresos_max_fila,COLUMN())))</f>
        <v>0</v>
      </c>
      <c r="EU20" s="26" cm="1">
        <f t="array" aca="1" ref="EU20" ca="1">SUM(INDIRECT(ADDRESS(Ingresos_min_fila,COLUMN()) &amp; ":" &amp; ADDRESS(Ingresos_max_fila,COLUMN())))</f>
        <v>0</v>
      </c>
      <c r="EV20" s="26" cm="1">
        <f t="array" aca="1" ref="EV20" ca="1">SUM(INDIRECT(ADDRESS(Ingresos_min_fila,COLUMN()) &amp; ":" &amp; ADDRESS(Ingresos_max_fila,COLUMN())))</f>
        <v>0</v>
      </c>
      <c r="EW20" s="26" cm="1">
        <f t="array" aca="1" ref="EW20" ca="1">SUM(INDIRECT(ADDRESS(Ingresos_min_fila,COLUMN()) &amp; ":" &amp; ADDRESS(Ingresos_max_fila,COLUMN())))</f>
        <v>0</v>
      </c>
      <c r="EX20" s="26" cm="1">
        <f t="array" aca="1" ref="EX20" ca="1">SUM(INDIRECT(ADDRESS(Ingresos_min_fila,COLUMN()) &amp; ":" &amp; ADDRESS(Ingresos_max_fila,COLUMN())))</f>
        <v>0</v>
      </c>
      <c r="EY20" s="26" cm="1">
        <f t="array" aca="1" ref="EY20" ca="1">SUM(INDIRECT(ADDRESS(Ingresos_min_fila,COLUMN()) &amp; ":" &amp; ADDRESS(Ingresos_max_fila,COLUMN())))</f>
        <v>0</v>
      </c>
      <c r="EZ20" s="26" cm="1">
        <f t="array" aca="1" ref="EZ20" ca="1">SUM(INDIRECT(ADDRESS(Ingresos_min_fila,COLUMN()) &amp; ":" &amp; ADDRESS(Ingresos_max_fila,COLUMN())))</f>
        <v>0</v>
      </c>
      <c r="FA20" s="26" cm="1">
        <f t="array" aca="1" ref="FA20" ca="1">SUM(INDIRECT(ADDRESS(Ingresos_min_fila,COLUMN()) &amp; ":" &amp; ADDRESS(Ingresos_max_fila,COLUMN())))</f>
        <v>0</v>
      </c>
    </row>
    <row r="22" spans="3:157" x14ac:dyDescent="0.3">
      <c r="C22" s="27" t="s">
        <v>11</v>
      </c>
      <c r="E22" s="28">
        <f>DATE(E$5,1,1)</f>
        <v>44927</v>
      </c>
      <c r="F22" s="28">
        <f>DATE(E$5,2,1)</f>
        <v>44958</v>
      </c>
      <c r="G22" s="28">
        <f>DATE(E$5,3,1)</f>
        <v>44986</v>
      </c>
      <c r="H22" s="28">
        <f>DATE(E$5,4,1)</f>
        <v>45017</v>
      </c>
      <c r="I22" s="28">
        <f>DATE(E$5,5,1)</f>
        <v>45047</v>
      </c>
      <c r="J22" s="28">
        <f>DATE(E$5,6,1)</f>
        <v>45078</v>
      </c>
      <c r="K22" s="28">
        <f>DATE(E$5,7,1)</f>
        <v>45108</v>
      </c>
      <c r="L22" s="28">
        <f>DATE(E$5,8,1)</f>
        <v>45139</v>
      </c>
      <c r="M22" s="28">
        <f>DATE(E$5,9,1)</f>
        <v>45170</v>
      </c>
      <c r="N22" s="28">
        <f>DATE(E$5,10,1)</f>
        <v>45200</v>
      </c>
      <c r="O22" s="28">
        <f>DATE(E$5,11,1)</f>
        <v>45231</v>
      </c>
      <c r="P22" s="28">
        <f>DATE(E$5,12,1)</f>
        <v>45261</v>
      </c>
      <c r="Q22" s="29">
        <f>E5</f>
        <v>2023</v>
      </c>
      <c r="S22" s="28">
        <f>DATE(S$5,1,1)</f>
        <v>45292</v>
      </c>
      <c r="T22" s="28">
        <f>DATE(S$5,2,1)</f>
        <v>45323</v>
      </c>
      <c r="U22" s="28">
        <f>DATE(S$5,3,1)</f>
        <v>45352</v>
      </c>
      <c r="V22" s="28">
        <f>DATE(S$5,4,1)</f>
        <v>45383</v>
      </c>
      <c r="W22" s="28">
        <f>DATE(S$5,5,1)</f>
        <v>45413</v>
      </c>
      <c r="X22" s="28">
        <f>DATE(S$5,6,1)</f>
        <v>45444</v>
      </c>
      <c r="Y22" s="28">
        <f>DATE(S$5,7,1)</f>
        <v>45474</v>
      </c>
      <c r="Z22" s="28">
        <f>DATE(S$5,8,1)</f>
        <v>45505</v>
      </c>
      <c r="AA22" s="28">
        <f>DATE(S$5,9,1)</f>
        <v>45536</v>
      </c>
      <c r="AB22" s="28">
        <f>DATE(S$5,10,1)</f>
        <v>45566</v>
      </c>
      <c r="AC22" s="28">
        <f>DATE(S$5,11,1)</f>
        <v>45597</v>
      </c>
      <c r="AD22" s="28">
        <f>DATE(S$5,12,1)</f>
        <v>45627</v>
      </c>
      <c r="AE22" s="29">
        <f>S5</f>
        <v>2024</v>
      </c>
      <c r="AG22" s="28">
        <f>DATE(AG$5,1,1)</f>
        <v>45658</v>
      </c>
      <c r="AH22" s="28">
        <f>DATE(AG$5,2,1)</f>
        <v>45689</v>
      </c>
      <c r="AI22" s="28">
        <f>DATE(AG$5,3,1)</f>
        <v>45717</v>
      </c>
      <c r="AJ22" s="28">
        <f>DATE(AG$5,4,1)</f>
        <v>45748</v>
      </c>
      <c r="AK22" s="28">
        <f>DATE(AG$5,5,1)</f>
        <v>45778</v>
      </c>
      <c r="AL22" s="28">
        <f>DATE(AG$5,6,1)</f>
        <v>45809</v>
      </c>
      <c r="AM22" s="28">
        <f>DATE(AG$5,7,1)</f>
        <v>45839</v>
      </c>
      <c r="AN22" s="28">
        <f>DATE(AG$5,8,1)</f>
        <v>45870</v>
      </c>
      <c r="AO22" s="28">
        <f>DATE(AG$5,9,1)</f>
        <v>45901</v>
      </c>
      <c r="AP22" s="28">
        <f>DATE(AG$5,10,1)</f>
        <v>45931</v>
      </c>
      <c r="AQ22" s="28">
        <f>DATE(AG$5,11,1)</f>
        <v>45962</v>
      </c>
      <c r="AR22" s="28">
        <f>DATE(AG$5,12,1)</f>
        <v>45992</v>
      </c>
      <c r="AS22" s="29">
        <f>AG5</f>
        <v>2025</v>
      </c>
      <c r="AU22" s="28">
        <f>DATE(AU$5,1,1)</f>
        <v>46023</v>
      </c>
      <c r="AV22" s="28">
        <f>DATE(AU$5,2,1)</f>
        <v>46054</v>
      </c>
      <c r="AW22" s="28">
        <f>DATE(AU$5,3,1)</f>
        <v>46082</v>
      </c>
      <c r="AX22" s="28">
        <f>DATE(AU$5,4,1)</f>
        <v>46113</v>
      </c>
      <c r="AY22" s="28">
        <f>DATE(AU$5,5,1)</f>
        <v>46143</v>
      </c>
      <c r="AZ22" s="28">
        <f>DATE(AU$5,6,1)</f>
        <v>46174</v>
      </c>
      <c r="BA22" s="28">
        <f>DATE(AU$5,7,1)</f>
        <v>46204</v>
      </c>
      <c r="BB22" s="28">
        <f>DATE(AU$5,8,1)</f>
        <v>46235</v>
      </c>
      <c r="BC22" s="28">
        <f>DATE(AU$5,9,1)</f>
        <v>46266</v>
      </c>
      <c r="BD22" s="28">
        <f>DATE(AU$5,10,1)</f>
        <v>46296</v>
      </c>
      <c r="BE22" s="28">
        <f>DATE(AU$5,11,1)</f>
        <v>46327</v>
      </c>
      <c r="BF22" s="28">
        <f>DATE(AU$5,12,1)</f>
        <v>46357</v>
      </c>
      <c r="BG22" s="29">
        <f>AU5</f>
        <v>2026</v>
      </c>
      <c r="BI22" s="28">
        <f>DATE(BI$5,1,1)</f>
        <v>46388</v>
      </c>
      <c r="BJ22" s="28">
        <f>DATE(BI$5,2,1)</f>
        <v>46419</v>
      </c>
      <c r="BK22" s="28">
        <f>DATE(BI$5,3,1)</f>
        <v>46447</v>
      </c>
      <c r="BL22" s="28">
        <f>DATE(BI$5,4,1)</f>
        <v>46478</v>
      </c>
      <c r="BM22" s="28">
        <f>DATE(BI$5,5,1)</f>
        <v>46508</v>
      </c>
      <c r="BN22" s="28">
        <f>DATE(BI$5,6,1)</f>
        <v>46539</v>
      </c>
      <c r="BO22" s="28">
        <f>DATE(BI$5,7,1)</f>
        <v>46569</v>
      </c>
      <c r="BP22" s="28">
        <f>DATE(BI$5,8,1)</f>
        <v>46600</v>
      </c>
      <c r="BQ22" s="28">
        <f>DATE(BI$5,9,1)</f>
        <v>46631</v>
      </c>
      <c r="BR22" s="28">
        <f>DATE(BI$5,10,1)</f>
        <v>46661</v>
      </c>
      <c r="BS22" s="28">
        <f>DATE(BI$5,11,1)</f>
        <v>46692</v>
      </c>
      <c r="BT22" s="28">
        <f>DATE(BI$5,12,1)</f>
        <v>46722</v>
      </c>
      <c r="BU22" s="29">
        <f>BI5</f>
        <v>2027</v>
      </c>
      <c r="BW22" s="28">
        <f>DATE(BW$5,1,1)</f>
        <v>46753</v>
      </c>
      <c r="BX22" s="28">
        <f>DATE(BW$5,2,1)</f>
        <v>46784</v>
      </c>
      <c r="BY22" s="28">
        <f>DATE(BW$5,3,1)</f>
        <v>46813</v>
      </c>
      <c r="BZ22" s="28">
        <f>DATE(BW$5,4,1)</f>
        <v>46844</v>
      </c>
      <c r="CA22" s="28">
        <f>DATE(BW$5,5,1)</f>
        <v>46874</v>
      </c>
      <c r="CB22" s="28">
        <f>DATE(BW$5,6,1)</f>
        <v>46905</v>
      </c>
      <c r="CC22" s="28">
        <f>DATE(BW$5,7,1)</f>
        <v>46935</v>
      </c>
      <c r="CD22" s="28">
        <f>DATE(BW$5,8,1)</f>
        <v>46966</v>
      </c>
      <c r="CE22" s="28">
        <f>DATE(BW$5,9,1)</f>
        <v>46997</v>
      </c>
      <c r="CF22" s="28">
        <f>DATE(BW$5,10,1)</f>
        <v>47027</v>
      </c>
      <c r="CG22" s="28">
        <f>DATE(BW$5,11,1)</f>
        <v>47058</v>
      </c>
      <c r="CH22" s="28">
        <f>DATE(BW$5,12,1)</f>
        <v>47088</v>
      </c>
      <c r="CI22" s="29">
        <f>BW5</f>
        <v>2028</v>
      </c>
      <c r="CK22" s="28">
        <f>DATE(CK$5,1,1)</f>
        <v>47119</v>
      </c>
      <c r="CL22" s="28">
        <f>DATE(CK$5,2,1)</f>
        <v>47150</v>
      </c>
      <c r="CM22" s="28">
        <f>DATE(CK$5,3,1)</f>
        <v>47178</v>
      </c>
      <c r="CN22" s="28">
        <f>DATE(CK$5,4,1)</f>
        <v>47209</v>
      </c>
      <c r="CO22" s="28">
        <f>DATE(CK$5,5,1)</f>
        <v>47239</v>
      </c>
      <c r="CP22" s="28">
        <f>DATE(CK$5,6,1)</f>
        <v>47270</v>
      </c>
      <c r="CQ22" s="28">
        <f>DATE(CK$5,7,1)</f>
        <v>47300</v>
      </c>
      <c r="CR22" s="28">
        <f>DATE(CK$5,8,1)</f>
        <v>47331</v>
      </c>
      <c r="CS22" s="28">
        <f>DATE(CK$5,9,1)</f>
        <v>47362</v>
      </c>
      <c r="CT22" s="28">
        <f>DATE(CK$5,10,1)</f>
        <v>47392</v>
      </c>
      <c r="CU22" s="28">
        <f>DATE(CK$5,11,1)</f>
        <v>47423</v>
      </c>
      <c r="CV22" s="28">
        <f>DATE(CK$5,12,1)</f>
        <v>47453</v>
      </c>
      <c r="CW22" s="29">
        <f>CK5</f>
        <v>2029</v>
      </c>
      <c r="CY22" s="28">
        <f>DATE(CY$5,1,1)</f>
        <v>47484</v>
      </c>
      <c r="CZ22" s="28">
        <f>DATE(CY$5,2,1)</f>
        <v>47515</v>
      </c>
      <c r="DA22" s="28">
        <f>DATE(CY$5,3,1)</f>
        <v>47543</v>
      </c>
      <c r="DB22" s="28">
        <f>DATE(CY$5,4,1)</f>
        <v>47574</v>
      </c>
      <c r="DC22" s="28">
        <f>DATE(CY$5,5,1)</f>
        <v>47604</v>
      </c>
      <c r="DD22" s="28">
        <f>DATE(CY$5,6,1)</f>
        <v>47635</v>
      </c>
      <c r="DE22" s="28">
        <f>DATE(CY$5,7,1)</f>
        <v>47665</v>
      </c>
      <c r="DF22" s="28">
        <f>DATE(CY$5,8,1)</f>
        <v>47696</v>
      </c>
      <c r="DG22" s="28">
        <f>DATE(CY$5,9,1)</f>
        <v>47727</v>
      </c>
      <c r="DH22" s="28">
        <f>DATE(CY$5,10,1)</f>
        <v>47757</v>
      </c>
      <c r="DI22" s="28">
        <f>DATE(CY$5,11,1)</f>
        <v>47788</v>
      </c>
      <c r="DJ22" s="28">
        <f>DATE(CY$5,12,1)</f>
        <v>47818</v>
      </c>
      <c r="DK22" s="29">
        <f>CY5</f>
        <v>2030</v>
      </c>
      <c r="DM22" s="28">
        <f>DATE(DM$5,1,1)</f>
        <v>47849</v>
      </c>
      <c r="DN22" s="28">
        <f>DATE(DM$5,2,1)</f>
        <v>47880</v>
      </c>
      <c r="DO22" s="28">
        <f>DATE(DM$5,3,1)</f>
        <v>47908</v>
      </c>
      <c r="DP22" s="28">
        <f>DATE(DM$5,4,1)</f>
        <v>47939</v>
      </c>
      <c r="DQ22" s="28">
        <f>DATE(DM$5,5,1)</f>
        <v>47969</v>
      </c>
      <c r="DR22" s="28">
        <f>DATE(DM$5,6,1)</f>
        <v>48000</v>
      </c>
      <c r="DS22" s="28">
        <f>DATE(DM$5,7,1)</f>
        <v>48030</v>
      </c>
      <c r="DT22" s="28">
        <f>DATE(DM$5,8,1)</f>
        <v>48061</v>
      </c>
      <c r="DU22" s="28">
        <f>DATE(DM$5,9,1)</f>
        <v>48092</v>
      </c>
      <c r="DV22" s="28">
        <f>DATE(DM$5,10,1)</f>
        <v>48122</v>
      </c>
      <c r="DW22" s="28">
        <f>DATE(DM$5,11,1)</f>
        <v>48153</v>
      </c>
      <c r="DX22" s="28">
        <f>DATE(DM$5,12,1)</f>
        <v>48183</v>
      </c>
      <c r="DY22" s="29">
        <f>DM5</f>
        <v>2031</v>
      </c>
      <c r="EA22" s="28">
        <f>DATE(EA$5,1,1)</f>
        <v>48214</v>
      </c>
      <c r="EB22" s="28">
        <f>DATE(EA$5,2,1)</f>
        <v>48245</v>
      </c>
      <c r="EC22" s="28">
        <f>DATE(EA$5,3,1)</f>
        <v>48274</v>
      </c>
      <c r="ED22" s="28">
        <f>DATE(EA$5,4,1)</f>
        <v>48305</v>
      </c>
      <c r="EE22" s="28">
        <f>DATE(EA$5,5,1)</f>
        <v>48335</v>
      </c>
      <c r="EF22" s="28">
        <f>DATE(EA$5,6,1)</f>
        <v>48366</v>
      </c>
      <c r="EG22" s="28">
        <f>DATE(EA$5,7,1)</f>
        <v>48396</v>
      </c>
      <c r="EH22" s="28">
        <f>DATE(EA$5,8,1)</f>
        <v>48427</v>
      </c>
      <c r="EI22" s="28">
        <f>DATE(EA$5,9,1)</f>
        <v>48458</v>
      </c>
      <c r="EJ22" s="28">
        <f>DATE(EA$5,10,1)</f>
        <v>48488</v>
      </c>
      <c r="EK22" s="28">
        <f>DATE(EA$5,11,1)</f>
        <v>48519</v>
      </c>
      <c r="EL22" s="28">
        <f>DATE(EA$5,12,1)</f>
        <v>48549</v>
      </c>
      <c r="EM22" s="29">
        <f>EA5</f>
        <v>2032</v>
      </c>
      <c r="EO22" s="28">
        <f>DATE(EO$5,1,1)</f>
        <v>48580</v>
      </c>
      <c r="EP22" s="28">
        <f>DATE(EO$5,2,1)</f>
        <v>48611</v>
      </c>
      <c r="EQ22" s="28">
        <f>DATE(EO$5,3,1)</f>
        <v>48639</v>
      </c>
      <c r="ER22" s="28">
        <f>DATE(EO$5,4,1)</f>
        <v>48670</v>
      </c>
      <c r="ES22" s="28">
        <f>DATE(EO$5,5,1)</f>
        <v>48700</v>
      </c>
      <c r="ET22" s="28">
        <f>DATE(EO$5,6,1)</f>
        <v>48731</v>
      </c>
      <c r="EU22" s="28">
        <f>DATE(EO$5,7,1)</f>
        <v>48761</v>
      </c>
      <c r="EV22" s="28">
        <f>DATE(EO$5,8,1)</f>
        <v>48792</v>
      </c>
      <c r="EW22" s="28">
        <f>DATE(EO$5,9,1)</f>
        <v>48823</v>
      </c>
      <c r="EX22" s="28">
        <f>DATE(EO$5,10,1)</f>
        <v>48853</v>
      </c>
      <c r="EY22" s="28">
        <f>DATE(EO$5,11,1)</f>
        <v>48884</v>
      </c>
      <c r="EZ22" s="28">
        <f>DATE(EO$5,12,1)</f>
        <v>48914</v>
      </c>
      <c r="FA22" s="29">
        <f>EO5</f>
        <v>2033</v>
      </c>
    </row>
    <row r="23" spans="3:157" x14ac:dyDescent="0.3">
      <c r="C23" s="16" t="s">
        <v>12</v>
      </c>
      <c r="D23" s="23"/>
      <c r="E23" s="24">
        <f>SUMIFS(Libro_Diario[[Cantidad ]],Libro_Diario[[Tipo ]],Gastos[[#Headers],[Gastos]],Libro_Diario[[Categoria ]],Gastos[[#This Row],[Gastos]],Libro_Diario[Fecha],"&gt;="&amp;'Libro Mayor'!E$9,Libro_Diario[Fecha],"&lt;="&amp;EOMONTH('Libro Mayor'!E$9,0))</f>
        <v>0</v>
      </c>
      <c r="F23" s="24">
        <f>SUMIFS(Libro_Diario[[Cantidad ]],Libro_Diario[[Tipo ]],Gastos[[#Headers],[Gastos]],Libro_Diario[[Categoria ]],Gastos[[#This Row],[Gastos]],Libro_Diario[Fecha],"&gt;="&amp;'Libro Mayor'!F$9,Libro_Diario[Fecha],"&lt;="&amp;EOMONTH('Libro Mayor'!F$9,0))</f>
        <v>0</v>
      </c>
      <c r="G23" s="24">
        <f>SUMIFS(Libro_Diario[[Cantidad ]],Libro_Diario[[Tipo ]],Gastos[[#Headers],[Gastos]],Libro_Diario[[Categoria ]],Gastos[[#This Row],[Gastos]],Libro_Diario[Fecha],"&gt;="&amp;'Libro Mayor'!G$9,Libro_Diario[Fecha],"&lt;="&amp;EOMONTH('Libro Mayor'!G$9,0))</f>
        <v>0</v>
      </c>
      <c r="H23" s="24">
        <f>SUMIFS(Libro_Diario[[Cantidad ]],Libro_Diario[[Tipo ]],Gastos[[#Headers],[Gastos]],Libro_Diario[[Categoria ]],Gastos[[#This Row],[Gastos]],Libro_Diario[Fecha],"&gt;="&amp;'Libro Mayor'!H$9,Libro_Diario[Fecha],"&lt;="&amp;EOMONTH('Libro Mayor'!H$9,0))</f>
        <v>0</v>
      </c>
      <c r="I23" s="24">
        <f>SUMIFS(Libro_Diario[[Cantidad ]],Libro_Diario[[Tipo ]],Gastos[[#Headers],[Gastos]],Libro_Diario[[Categoria ]],Gastos[[#This Row],[Gastos]],Libro_Diario[Fecha],"&gt;="&amp;'Libro Mayor'!I$9,Libro_Diario[Fecha],"&lt;="&amp;EOMONTH('Libro Mayor'!I$9,0))</f>
        <v>0</v>
      </c>
      <c r="J23" s="24">
        <f>SUMIFS(Libro_Diario[[Cantidad ]],Libro_Diario[[Tipo ]],Gastos[[#Headers],[Gastos]],Libro_Diario[[Categoria ]],Gastos[[#This Row],[Gastos]],Libro_Diario[Fecha],"&gt;="&amp;'Libro Mayor'!J$9,Libro_Diario[Fecha],"&lt;="&amp;EOMONTH('Libro Mayor'!J$9,0))</f>
        <v>0</v>
      </c>
      <c r="K23" s="24">
        <f>SUMIFS(Libro_Diario[[Cantidad ]],Libro_Diario[[Tipo ]],Gastos[[#Headers],[Gastos]],Libro_Diario[[Categoria ]],Gastos[[#This Row],[Gastos]],Libro_Diario[Fecha],"&gt;="&amp;'Libro Mayor'!K$9,Libro_Diario[Fecha],"&lt;="&amp;EOMONTH('Libro Mayor'!K$9,0))</f>
        <v>0</v>
      </c>
      <c r="L23" s="24">
        <f>SUMIFS(Libro_Diario[[Cantidad ]],Libro_Diario[[Tipo ]],Gastos[[#Headers],[Gastos]],Libro_Diario[[Categoria ]],Gastos[[#This Row],[Gastos]],Libro_Diario[Fecha],"&gt;="&amp;'Libro Mayor'!L$9,Libro_Diario[Fecha],"&lt;="&amp;EOMONTH('Libro Mayor'!L$9,0))</f>
        <v>0</v>
      </c>
      <c r="M23" s="24">
        <f>SUMIFS(Libro_Diario[[Cantidad ]],Libro_Diario[[Tipo ]],Gastos[[#Headers],[Gastos]],Libro_Diario[[Categoria ]],Gastos[[#This Row],[Gastos]],Libro_Diario[Fecha],"&gt;="&amp;'Libro Mayor'!M$9,Libro_Diario[Fecha],"&lt;="&amp;EOMONTH('Libro Mayor'!M$9,0))</f>
        <v>0</v>
      </c>
      <c r="N23" s="24">
        <f>SUMIFS(Libro_Diario[[Cantidad ]],Libro_Diario[[Tipo ]],Gastos[[#Headers],[Gastos]],Libro_Diario[[Categoria ]],Gastos[[#This Row],[Gastos]],Libro_Diario[Fecha],"&gt;="&amp;'Libro Mayor'!N$9,Libro_Diario[Fecha],"&lt;="&amp;EOMONTH('Libro Mayor'!N$9,0))</f>
        <v>0</v>
      </c>
      <c r="O23" s="24">
        <f>SUMIFS(Libro_Diario[[Cantidad ]],Libro_Diario[[Tipo ]],Gastos[[#Headers],[Gastos]],Libro_Diario[[Categoria ]],Gastos[[#This Row],[Gastos]],Libro_Diario[Fecha],"&gt;="&amp;'Libro Mayor'!O$9,Libro_Diario[Fecha],"&lt;="&amp;EOMONTH('Libro Mayor'!O$9,0))</f>
        <v>0</v>
      </c>
      <c r="P23" s="24">
        <f>SUMIFS(Libro_Diario[[Cantidad ]],Libro_Diario[[Tipo ]],Gastos[[#Headers],[Gastos]],Libro_Diario[[Categoria ]],Gastos[[#This Row],[Gastos]],Libro_Diario[Fecha],"&gt;="&amp;'Libro Mayor'!P$9,Libro_Diario[Fecha],"&lt;="&amp;EOMONTH('Libro Mayor'!P$9,0))</f>
        <v>0</v>
      </c>
      <c r="Q23" s="25">
        <f>SUM(E23:P23)</f>
        <v>0</v>
      </c>
      <c r="S23" s="24">
        <f>SUMIFS(Libro_Diario[[Cantidad ]],Libro_Diario[[Tipo ]],Gastos[[#Headers],[Gastos]],Libro_Diario[[Categoria ]],Gastos[[#This Row],[Gastos]],Libro_Diario[Fecha],"&gt;="&amp;'Libro Mayor'!S$9,Libro_Diario[Fecha],"&lt;="&amp;EOMONTH('Libro Mayor'!S$9,0))</f>
        <v>0</v>
      </c>
      <c r="T23" s="24">
        <f>SUMIFS(Libro_Diario[[Cantidad ]],Libro_Diario[[Tipo ]],Gastos[[#Headers],[Gastos]],Libro_Diario[[Categoria ]],Gastos[[#This Row],[Gastos]],Libro_Diario[Fecha],"&gt;="&amp;'Libro Mayor'!T$9,Libro_Diario[Fecha],"&lt;="&amp;EOMONTH('Libro Mayor'!T$9,0))</f>
        <v>0</v>
      </c>
      <c r="U23" s="24">
        <f>SUMIFS(Libro_Diario[[Cantidad ]],Libro_Diario[[Tipo ]],Gastos[[#Headers],[Gastos]],Libro_Diario[[Categoria ]],Gastos[[#This Row],[Gastos]],Libro_Diario[Fecha],"&gt;="&amp;'Libro Mayor'!U$9,Libro_Diario[Fecha],"&lt;="&amp;EOMONTH('Libro Mayor'!U$9,0))</f>
        <v>0</v>
      </c>
      <c r="V23" s="24">
        <f>SUMIFS(Libro_Diario[[Cantidad ]],Libro_Diario[[Tipo ]],Gastos[[#Headers],[Gastos]],Libro_Diario[[Categoria ]],Gastos[[#This Row],[Gastos]],Libro_Diario[Fecha],"&gt;="&amp;'Libro Mayor'!V$9,Libro_Diario[Fecha],"&lt;="&amp;EOMONTH('Libro Mayor'!V$9,0))</f>
        <v>0</v>
      </c>
      <c r="W23" s="24">
        <f>SUMIFS(Libro_Diario[[Cantidad ]],Libro_Diario[[Tipo ]],Gastos[[#Headers],[Gastos]],Libro_Diario[[Categoria ]],Gastos[[#This Row],[Gastos]],Libro_Diario[Fecha],"&gt;="&amp;'Libro Mayor'!W$9,Libro_Diario[Fecha],"&lt;="&amp;EOMONTH('Libro Mayor'!W$9,0))</f>
        <v>0</v>
      </c>
      <c r="X23" s="24">
        <f>SUMIFS(Libro_Diario[[Cantidad ]],Libro_Diario[[Tipo ]],Gastos[[#Headers],[Gastos]],Libro_Diario[[Categoria ]],Gastos[[#This Row],[Gastos]],Libro_Diario[Fecha],"&gt;="&amp;'Libro Mayor'!X$9,Libro_Diario[Fecha],"&lt;="&amp;EOMONTH('Libro Mayor'!X$9,0))</f>
        <v>0</v>
      </c>
      <c r="Y23" s="24">
        <f>SUMIFS(Libro_Diario[[Cantidad ]],Libro_Diario[[Tipo ]],Gastos[[#Headers],[Gastos]],Libro_Diario[[Categoria ]],Gastos[[#This Row],[Gastos]],Libro_Diario[Fecha],"&gt;="&amp;'Libro Mayor'!Y$9,Libro_Diario[Fecha],"&lt;="&amp;EOMONTH('Libro Mayor'!Y$9,0))</f>
        <v>0</v>
      </c>
      <c r="Z23" s="24">
        <f>SUMIFS(Libro_Diario[[Cantidad ]],Libro_Diario[[Tipo ]],Gastos[[#Headers],[Gastos]],Libro_Diario[[Categoria ]],Gastos[[#This Row],[Gastos]],Libro_Diario[Fecha],"&gt;="&amp;'Libro Mayor'!Z$9,Libro_Diario[Fecha],"&lt;="&amp;EOMONTH('Libro Mayor'!Z$9,0))</f>
        <v>0</v>
      </c>
      <c r="AA23" s="24">
        <f>SUMIFS(Libro_Diario[[Cantidad ]],Libro_Diario[[Tipo ]],Gastos[[#Headers],[Gastos]],Libro_Diario[[Categoria ]],Gastos[[#This Row],[Gastos]],Libro_Diario[Fecha],"&gt;="&amp;'Libro Mayor'!AA$9,Libro_Diario[Fecha],"&lt;="&amp;EOMONTH('Libro Mayor'!AA$9,0))</f>
        <v>0</v>
      </c>
      <c r="AB23" s="24">
        <f>SUMIFS(Libro_Diario[[Cantidad ]],Libro_Diario[[Tipo ]],Gastos[[#Headers],[Gastos]],Libro_Diario[[Categoria ]],Gastos[[#This Row],[Gastos]],Libro_Diario[Fecha],"&gt;="&amp;'Libro Mayor'!AB$9,Libro_Diario[Fecha],"&lt;="&amp;EOMONTH('Libro Mayor'!AB$9,0))</f>
        <v>0</v>
      </c>
      <c r="AC23" s="24">
        <f>SUMIFS(Libro_Diario[[Cantidad ]],Libro_Diario[[Tipo ]],Gastos[[#Headers],[Gastos]],Libro_Diario[[Categoria ]],Gastos[[#This Row],[Gastos]],Libro_Diario[Fecha],"&gt;="&amp;'Libro Mayor'!AC$9,Libro_Diario[Fecha],"&lt;="&amp;EOMONTH('Libro Mayor'!AC$9,0))</f>
        <v>0</v>
      </c>
      <c r="AD23" s="24">
        <f>SUMIFS(Libro_Diario[[Cantidad ]],Libro_Diario[[Tipo ]],Gastos[[#Headers],[Gastos]],Libro_Diario[[Categoria ]],Gastos[[#This Row],[Gastos]],Libro_Diario[Fecha],"&gt;="&amp;'Libro Mayor'!AD$9,Libro_Diario[Fecha],"&lt;="&amp;EOMONTH('Libro Mayor'!AD$9,0))</f>
        <v>0</v>
      </c>
      <c r="AE23" s="25">
        <f>SUM(S23:AD23)</f>
        <v>0</v>
      </c>
      <c r="AG23" s="24">
        <f>SUMIFS(Libro_Diario[[Cantidad ]],Libro_Diario[[Tipo ]],Gastos[[#Headers],[Gastos]],Libro_Diario[[Categoria ]],Gastos[[#This Row],[Gastos]],Libro_Diario[Fecha],"&gt;="&amp;'Libro Mayor'!AG$9,Libro_Diario[Fecha],"&lt;="&amp;EOMONTH('Libro Mayor'!AG$9,0))</f>
        <v>0</v>
      </c>
      <c r="AH23" s="24">
        <f>SUMIFS(Libro_Diario[[Cantidad ]],Libro_Diario[[Tipo ]],Gastos[[#Headers],[Gastos]],Libro_Diario[[Categoria ]],Gastos[[#This Row],[Gastos]],Libro_Diario[Fecha],"&gt;="&amp;'Libro Mayor'!AH$9,Libro_Diario[Fecha],"&lt;="&amp;EOMONTH('Libro Mayor'!AH$9,0))</f>
        <v>0</v>
      </c>
      <c r="AI23" s="24">
        <f>SUMIFS(Libro_Diario[[Cantidad ]],Libro_Diario[[Tipo ]],Gastos[[#Headers],[Gastos]],Libro_Diario[[Categoria ]],Gastos[[#This Row],[Gastos]],Libro_Diario[Fecha],"&gt;="&amp;'Libro Mayor'!AI$9,Libro_Diario[Fecha],"&lt;="&amp;EOMONTH('Libro Mayor'!AI$9,0))</f>
        <v>0</v>
      </c>
      <c r="AJ23" s="24">
        <f>SUMIFS(Libro_Diario[[Cantidad ]],Libro_Diario[[Tipo ]],Gastos[[#Headers],[Gastos]],Libro_Diario[[Categoria ]],Gastos[[#This Row],[Gastos]],Libro_Diario[Fecha],"&gt;="&amp;'Libro Mayor'!AJ$9,Libro_Diario[Fecha],"&lt;="&amp;EOMONTH('Libro Mayor'!AJ$9,0))</f>
        <v>0</v>
      </c>
      <c r="AK23" s="24">
        <f>SUMIFS(Libro_Diario[[Cantidad ]],Libro_Diario[[Tipo ]],Gastos[[#Headers],[Gastos]],Libro_Diario[[Categoria ]],Gastos[[#This Row],[Gastos]],Libro_Diario[Fecha],"&gt;="&amp;'Libro Mayor'!AK$9,Libro_Diario[Fecha],"&lt;="&amp;EOMONTH('Libro Mayor'!AK$9,0))</f>
        <v>0</v>
      </c>
      <c r="AL23" s="24">
        <f>SUMIFS(Libro_Diario[[Cantidad ]],Libro_Diario[[Tipo ]],Gastos[[#Headers],[Gastos]],Libro_Diario[[Categoria ]],Gastos[[#This Row],[Gastos]],Libro_Diario[Fecha],"&gt;="&amp;'Libro Mayor'!AL$9,Libro_Diario[Fecha],"&lt;="&amp;EOMONTH('Libro Mayor'!AL$9,0))</f>
        <v>0</v>
      </c>
      <c r="AM23" s="24">
        <f>SUMIFS(Libro_Diario[[Cantidad ]],Libro_Diario[[Tipo ]],Gastos[[#Headers],[Gastos]],Libro_Diario[[Categoria ]],Gastos[[#This Row],[Gastos]],Libro_Diario[Fecha],"&gt;="&amp;'Libro Mayor'!AM$9,Libro_Diario[Fecha],"&lt;="&amp;EOMONTH('Libro Mayor'!AM$9,0))</f>
        <v>0</v>
      </c>
      <c r="AN23" s="24">
        <f>SUMIFS(Libro_Diario[[Cantidad ]],Libro_Diario[[Tipo ]],Gastos[[#Headers],[Gastos]],Libro_Diario[[Categoria ]],Gastos[[#This Row],[Gastos]],Libro_Diario[Fecha],"&gt;="&amp;'Libro Mayor'!AN$9,Libro_Diario[Fecha],"&lt;="&amp;EOMONTH('Libro Mayor'!AN$9,0))</f>
        <v>0</v>
      </c>
      <c r="AO23" s="24">
        <f>SUMIFS(Libro_Diario[[Cantidad ]],Libro_Diario[[Tipo ]],Gastos[[#Headers],[Gastos]],Libro_Diario[[Categoria ]],Gastos[[#This Row],[Gastos]],Libro_Diario[Fecha],"&gt;="&amp;'Libro Mayor'!AO$9,Libro_Diario[Fecha],"&lt;="&amp;EOMONTH('Libro Mayor'!AO$9,0))</f>
        <v>0</v>
      </c>
      <c r="AP23" s="24">
        <f>SUMIFS(Libro_Diario[[Cantidad ]],Libro_Diario[[Tipo ]],Gastos[[#Headers],[Gastos]],Libro_Diario[[Categoria ]],Gastos[[#This Row],[Gastos]],Libro_Diario[Fecha],"&gt;="&amp;'Libro Mayor'!AP$9,Libro_Diario[Fecha],"&lt;="&amp;EOMONTH('Libro Mayor'!AP$9,0))</f>
        <v>0</v>
      </c>
      <c r="AQ23" s="24">
        <f>SUMIFS(Libro_Diario[[Cantidad ]],Libro_Diario[[Tipo ]],Gastos[[#Headers],[Gastos]],Libro_Diario[[Categoria ]],Gastos[[#This Row],[Gastos]],Libro_Diario[Fecha],"&gt;="&amp;'Libro Mayor'!AQ$9,Libro_Diario[Fecha],"&lt;="&amp;EOMONTH('Libro Mayor'!AQ$9,0))</f>
        <v>0</v>
      </c>
      <c r="AR23" s="24">
        <f>SUMIFS(Libro_Diario[[Cantidad ]],Libro_Diario[[Tipo ]],Gastos[[#Headers],[Gastos]],Libro_Diario[[Categoria ]],Gastos[[#This Row],[Gastos]],Libro_Diario[Fecha],"&gt;="&amp;'Libro Mayor'!AR$9,Libro_Diario[Fecha],"&lt;="&amp;EOMONTH('Libro Mayor'!AR$9,0))</f>
        <v>0</v>
      </c>
      <c r="AS23" s="25">
        <f>SUM(AG23:AR23)</f>
        <v>0</v>
      </c>
      <c r="AU23" s="24">
        <f>SUMIFS(Libro_Diario[[Cantidad ]],Libro_Diario[[Tipo ]],Gastos[[#Headers],[Gastos]],Libro_Diario[[Categoria ]],Gastos[[#This Row],[Gastos]],Libro_Diario[Fecha],"&gt;="&amp;'Libro Mayor'!AU$9,Libro_Diario[Fecha],"&lt;="&amp;EOMONTH('Libro Mayor'!AU$9,0))</f>
        <v>0</v>
      </c>
      <c r="AV23" s="24">
        <f>SUMIFS(Libro_Diario[[Cantidad ]],Libro_Diario[[Tipo ]],Gastos[[#Headers],[Gastos]],Libro_Diario[[Categoria ]],Gastos[[#This Row],[Gastos]],Libro_Diario[Fecha],"&gt;="&amp;'Libro Mayor'!AV$9,Libro_Diario[Fecha],"&lt;="&amp;EOMONTH('Libro Mayor'!AV$9,0))</f>
        <v>0</v>
      </c>
      <c r="AW23" s="24">
        <f>SUMIFS(Libro_Diario[[Cantidad ]],Libro_Diario[[Tipo ]],Gastos[[#Headers],[Gastos]],Libro_Diario[[Categoria ]],Gastos[[#This Row],[Gastos]],Libro_Diario[Fecha],"&gt;="&amp;'Libro Mayor'!AW$9,Libro_Diario[Fecha],"&lt;="&amp;EOMONTH('Libro Mayor'!AW$9,0))</f>
        <v>0</v>
      </c>
      <c r="AX23" s="24">
        <f>SUMIFS(Libro_Diario[[Cantidad ]],Libro_Diario[[Tipo ]],Gastos[[#Headers],[Gastos]],Libro_Diario[[Categoria ]],Gastos[[#This Row],[Gastos]],Libro_Diario[Fecha],"&gt;="&amp;'Libro Mayor'!AX$9,Libro_Diario[Fecha],"&lt;="&amp;EOMONTH('Libro Mayor'!AX$9,0))</f>
        <v>0</v>
      </c>
      <c r="AY23" s="24">
        <f>SUMIFS(Libro_Diario[[Cantidad ]],Libro_Diario[[Tipo ]],Gastos[[#Headers],[Gastos]],Libro_Diario[[Categoria ]],Gastos[[#This Row],[Gastos]],Libro_Diario[Fecha],"&gt;="&amp;'Libro Mayor'!AY$9,Libro_Diario[Fecha],"&lt;="&amp;EOMONTH('Libro Mayor'!AY$9,0))</f>
        <v>0</v>
      </c>
      <c r="AZ23" s="24">
        <f>SUMIFS(Libro_Diario[[Cantidad ]],Libro_Diario[[Tipo ]],Gastos[[#Headers],[Gastos]],Libro_Diario[[Categoria ]],Gastos[[#This Row],[Gastos]],Libro_Diario[Fecha],"&gt;="&amp;'Libro Mayor'!AZ$9,Libro_Diario[Fecha],"&lt;="&amp;EOMONTH('Libro Mayor'!AZ$9,0))</f>
        <v>0</v>
      </c>
      <c r="BA23" s="24">
        <f>SUMIFS(Libro_Diario[[Cantidad ]],Libro_Diario[[Tipo ]],Gastos[[#Headers],[Gastos]],Libro_Diario[[Categoria ]],Gastos[[#This Row],[Gastos]],Libro_Diario[Fecha],"&gt;="&amp;'Libro Mayor'!BA$9,Libro_Diario[Fecha],"&lt;="&amp;EOMONTH('Libro Mayor'!BA$9,0))</f>
        <v>0</v>
      </c>
      <c r="BB23" s="24">
        <f>SUMIFS(Libro_Diario[[Cantidad ]],Libro_Diario[[Tipo ]],Gastos[[#Headers],[Gastos]],Libro_Diario[[Categoria ]],Gastos[[#This Row],[Gastos]],Libro_Diario[Fecha],"&gt;="&amp;'Libro Mayor'!BB$9,Libro_Diario[Fecha],"&lt;="&amp;EOMONTH('Libro Mayor'!BB$9,0))</f>
        <v>0</v>
      </c>
      <c r="BC23" s="24">
        <f>SUMIFS(Libro_Diario[[Cantidad ]],Libro_Diario[[Tipo ]],Gastos[[#Headers],[Gastos]],Libro_Diario[[Categoria ]],Gastos[[#This Row],[Gastos]],Libro_Diario[Fecha],"&gt;="&amp;'Libro Mayor'!BC$9,Libro_Diario[Fecha],"&lt;="&amp;EOMONTH('Libro Mayor'!BC$9,0))</f>
        <v>0</v>
      </c>
      <c r="BD23" s="24">
        <f>SUMIFS(Libro_Diario[[Cantidad ]],Libro_Diario[[Tipo ]],Gastos[[#Headers],[Gastos]],Libro_Diario[[Categoria ]],Gastos[[#This Row],[Gastos]],Libro_Diario[Fecha],"&gt;="&amp;'Libro Mayor'!BD$9,Libro_Diario[Fecha],"&lt;="&amp;EOMONTH('Libro Mayor'!BD$9,0))</f>
        <v>0</v>
      </c>
      <c r="BE23" s="24">
        <f>SUMIFS(Libro_Diario[[Cantidad ]],Libro_Diario[[Tipo ]],Gastos[[#Headers],[Gastos]],Libro_Diario[[Categoria ]],Gastos[[#This Row],[Gastos]],Libro_Diario[Fecha],"&gt;="&amp;'Libro Mayor'!BE$9,Libro_Diario[Fecha],"&lt;="&amp;EOMONTH('Libro Mayor'!BE$9,0))</f>
        <v>0</v>
      </c>
      <c r="BF23" s="24">
        <f>SUMIFS(Libro_Diario[[Cantidad ]],Libro_Diario[[Tipo ]],Gastos[[#Headers],[Gastos]],Libro_Diario[[Categoria ]],Gastos[[#This Row],[Gastos]],Libro_Diario[Fecha],"&gt;="&amp;'Libro Mayor'!BF$9,Libro_Diario[Fecha],"&lt;="&amp;EOMONTH('Libro Mayor'!BF$9,0))</f>
        <v>0</v>
      </c>
      <c r="BG23" s="25">
        <f>SUM(AU23:BF23)</f>
        <v>0</v>
      </c>
      <c r="BI23" s="24">
        <f>SUMIFS(Libro_Diario[[Cantidad ]],Libro_Diario[[Tipo ]],Gastos[[#Headers],[Gastos]],Libro_Diario[[Categoria ]],Gastos[[#This Row],[Gastos]],Libro_Diario[Fecha],"&gt;="&amp;'Libro Mayor'!BI$9,Libro_Diario[Fecha],"&lt;="&amp;EOMONTH('Libro Mayor'!BI$9,0))</f>
        <v>0</v>
      </c>
      <c r="BJ23" s="24">
        <f>SUMIFS(Libro_Diario[[Cantidad ]],Libro_Diario[[Tipo ]],Gastos[[#Headers],[Gastos]],Libro_Diario[[Categoria ]],Gastos[[#This Row],[Gastos]],Libro_Diario[Fecha],"&gt;="&amp;'Libro Mayor'!BJ$9,Libro_Diario[Fecha],"&lt;="&amp;EOMONTH('Libro Mayor'!BJ$9,0))</f>
        <v>0</v>
      </c>
      <c r="BK23" s="24">
        <f>SUMIFS(Libro_Diario[[Cantidad ]],Libro_Diario[[Tipo ]],Gastos[[#Headers],[Gastos]],Libro_Diario[[Categoria ]],Gastos[[#This Row],[Gastos]],Libro_Diario[Fecha],"&gt;="&amp;'Libro Mayor'!BK$9,Libro_Diario[Fecha],"&lt;="&amp;EOMONTH('Libro Mayor'!BK$9,0))</f>
        <v>0</v>
      </c>
      <c r="BL23" s="24">
        <f>SUMIFS(Libro_Diario[[Cantidad ]],Libro_Diario[[Tipo ]],Gastos[[#Headers],[Gastos]],Libro_Diario[[Categoria ]],Gastos[[#This Row],[Gastos]],Libro_Diario[Fecha],"&gt;="&amp;'Libro Mayor'!BL$9,Libro_Diario[Fecha],"&lt;="&amp;EOMONTH('Libro Mayor'!BL$9,0))</f>
        <v>0</v>
      </c>
      <c r="BM23" s="24">
        <f>SUMIFS(Libro_Diario[[Cantidad ]],Libro_Diario[[Tipo ]],Gastos[[#Headers],[Gastos]],Libro_Diario[[Categoria ]],Gastos[[#This Row],[Gastos]],Libro_Diario[Fecha],"&gt;="&amp;'Libro Mayor'!BM$9,Libro_Diario[Fecha],"&lt;="&amp;EOMONTH('Libro Mayor'!BM$9,0))</f>
        <v>0</v>
      </c>
      <c r="BN23" s="24">
        <f>SUMIFS(Libro_Diario[[Cantidad ]],Libro_Diario[[Tipo ]],Gastos[[#Headers],[Gastos]],Libro_Diario[[Categoria ]],Gastos[[#This Row],[Gastos]],Libro_Diario[Fecha],"&gt;="&amp;'Libro Mayor'!BN$9,Libro_Diario[Fecha],"&lt;="&amp;EOMONTH('Libro Mayor'!BN$9,0))</f>
        <v>0</v>
      </c>
      <c r="BO23" s="24">
        <f>SUMIFS(Libro_Diario[[Cantidad ]],Libro_Diario[[Tipo ]],Gastos[[#Headers],[Gastos]],Libro_Diario[[Categoria ]],Gastos[[#This Row],[Gastos]],Libro_Diario[Fecha],"&gt;="&amp;'Libro Mayor'!BO$9,Libro_Diario[Fecha],"&lt;="&amp;EOMONTH('Libro Mayor'!BO$9,0))</f>
        <v>0</v>
      </c>
      <c r="BP23" s="24">
        <f>SUMIFS(Libro_Diario[[Cantidad ]],Libro_Diario[[Tipo ]],Gastos[[#Headers],[Gastos]],Libro_Diario[[Categoria ]],Gastos[[#This Row],[Gastos]],Libro_Diario[Fecha],"&gt;="&amp;'Libro Mayor'!BP$9,Libro_Diario[Fecha],"&lt;="&amp;EOMONTH('Libro Mayor'!BP$9,0))</f>
        <v>0</v>
      </c>
      <c r="BQ23" s="24">
        <f>SUMIFS(Libro_Diario[[Cantidad ]],Libro_Diario[[Tipo ]],Gastos[[#Headers],[Gastos]],Libro_Diario[[Categoria ]],Gastos[[#This Row],[Gastos]],Libro_Diario[Fecha],"&gt;="&amp;'Libro Mayor'!BQ$9,Libro_Diario[Fecha],"&lt;="&amp;EOMONTH('Libro Mayor'!BQ$9,0))</f>
        <v>0</v>
      </c>
      <c r="BR23" s="24">
        <f>SUMIFS(Libro_Diario[[Cantidad ]],Libro_Diario[[Tipo ]],Gastos[[#Headers],[Gastos]],Libro_Diario[[Categoria ]],Gastos[[#This Row],[Gastos]],Libro_Diario[Fecha],"&gt;="&amp;'Libro Mayor'!BR$9,Libro_Diario[Fecha],"&lt;="&amp;EOMONTH('Libro Mayor'!BR$9,0))</f>
        <v>0</v>
      </c>
      <c r="BS23" s="24">
        <f>SUMIFS(Libro_Diario[[Cantidad ]],Libro_Diario[[Tipo ]],Gastos[[#Headers],[Gastos]],Libro_Diario[[Categoria ]],Gastos[[#This Row],[Gastos]],Libro_Diario[Fecha],"&gt;="&amp;'Libro Mayor'!BS$9,Libro_Diario[Fecha],"&lt;="&amp;EOMONTH('Libro Mayor'!BS$9,0))</f>
        <v>0</v>
      </c>
      <c r="BT23" s="24">
        <f>SUMIFS(Libro_Diario[[Cantidad ]],Libro_Diario[[Tipo ]],Gastos[[#Headers],[Gastos]],Libro_Diario[[Categoria ]],Gastos[[#This Row],[Gastos]],Libro_Diario[Fecha],"&gt;="&amp;'Libro Mayor'!BT$9,Libro_Diario[Fecha],"&lt;="&amp;EOMONTH('Libro Mayor'!BT$9,0))</f>
        <v>0</v>
      </c>
      <c r="BU23" s="25">
        <f>SUM(BI23:BT23)</f>
        <v>0</v>
      </c>
      <c r="BW23" s="24">
        <f>SUMIFS(Libro_Diario[[Cantidad ]],Libro_Diario[[Tipo ]],Gastos[[#Headers],[Gastos]],Libro_Diario[[Categoria ]],Gastos[[#This Row],[Gastos]],Libro_Diario[Fecha],"&gt;="&amp;'Libro Mayor'!BW$9,Libro_Diario[Fecha],"&lt;="&amp;EOMONTH('Libro Mayor'!BW$9,0))</f>
        <v>0</v>
      </c>
      <c r="BX23" s="24">
        <f>SUMIFS(Libro_Diario[[Cantidad ]],Libro_Diario[[Tipo ]],Gastos[[#Headers],[Gastos]],Libro_Diario[[Categoria ]],Gastos[[#This Row],[Gastos]],Libro_Diario[Fecha],"&gt;="&amp;'Libro Mayor'!BX$9,Libro_Diario[Fecha],"&lt;="&amp;EOMONTH('Libro Mayor'!BX$9,0))</f>
        <v>0</v>
      </c>
      <c r="BY23" s="24">
        <f>SUMIFS(Libro_Diario[[Cantidad ]],Libro_Diario[[Tipo ]],Gastos[[#Headers],[Gastos]],Libro_Diario[[Categoria ]],Gastos[[#This Row],[Gastos]],Libro_Diario[Fecha],"&gt;="&amp;'Libro Mayor'!BY$9,Libro_Diario[Fecha],"&lt;="&amp;EOMONTH('Libro Mayor'!BY$9,0))</f>
        <v>0</v>
      </c>
      <c r="BZ23" s="24">
        <f>SUMIFS(Libro_Diario[[Cantidad ]],Libro_Diario[[Tipo ]],Gastos[[#Headers],[Gastos]],Libro_Diario[[Categoria ]],Gastos[[#This Row],[Gastos]],Libro_Diario[Fecha],"&gt;="&amp;'Libro Mayor'!BZ$9,Libro_Diario[Fecha],"&lt;="&amp;EOMONTH('Libro Mayor'!BZ$9,0))</f>
        <v>0</v>
      </c>
      <c r="CA23" s="24">
        <f>SUMIFS(Libro_Diario[[Cantidad ]],Libro_Diario[[Tipo ]],Gastos[[#Headers],[Gastos]],Libro_Diario[[Categoria ]],Gastos[[#This Row],[Gastos]],Libro_Diario[Fecha],"&gt;="&amp;'Libro Mayor'!CA$9,Libro_Diario[Fecha],"&lt;="&amp;EOMONTH('Libro Mayor'!CA$9,0))</f>
        <v>0</v>
      </c>
      <c r="CB23" s="24">
        <f>SUMIFS(Libro_Diario[[Cantidad ]],Libro_Diario[[Tipo ]],Gastos[[#Headers],[Gastos]],Libro_Diario[[Categoria ]],Gastos[[#This Row],[Gastos]],Libro_Diario[Fecha],"&gt;="&amp;'Libro Mayor'!CB$9,Libro_Diario[Fecha],"&lt;="&amp;EOMONTH('Libro Mayor'!CB$9,0))</f>
        <v>0</v>
      </c>
      <c r="CC23" s="24">
        <f>SUMIFS(Libro_Diario[[Cantidad ]],Libro_Diario[[Tipo ]],Gastos[[#Headers],[Gastos]],Libro_Diario[[Categoria ]],Gastos[[#This Row],[Gastos]],Libro_Diario[Fecha],"&gt;="&amp;'Libro Mayor'!CC$9,Libro_Diario[Fecha],"&lt;="&amp;EOMONTH('Libro Mayor'!CC$9,0))</f>
        <v>0</v>
      </c>
      <c r="CD23" s="24">
        <f>SUMIFS(Libro_Diario[[Cantidad ]],Libro_Diario[[Tipo ]],Gastos[[#Headers],[Gastos]],Libro_Diario[[Categoria ]],Gastos[[#This Row],[Gastos]],Libro_Diario[Fecha],"&gt;="&amp;'Libro Mayor'!CD$9,Libro_Diario[Fecha],"&lt;="&amp;EOMONTH('Libro Mayor'!CD$9,0))</f>
        <v>0</v>
      </c>
      <c r="CE23" s="24">
        <f>SUMIFS(Libro_Diario[[Cantidad ]],Libro_Diario[[Tipo ]],Gastos[[#Headers],[Gastos]],Libro_Diario[[Categoria ]],Gastos[[#This Row],[Gastos]],Libro_Diario[Fecha],"&gt;="&amp;'Libro Mayor'!CE$9,Libro_Diario[Fecha],"&lt;="&amp;EOMONTH('Libro Mayor'!CE$9,0))</f>
        <v>0</v>
      </c>
      <c r="CF23" s="24">
        <f>SUMIFS(Libro_Diario[[Cantidad ]],Libro_Diario[[Tipo ]],Gastos[[#Headers],[Gastos]],Libro_Diario[[Categoria ]],Gastos[[#This Row],[Gastos]],Libro_Diario[Fecha],"&gt;="&amp;'Libro Mayor'!CF$9,Libro_Diario[Fecha],"&lt;="&amp;EOMONTH('Libro Mayor'!CF$9,0))</f>
        <v>0</v>
      </c>
      <c r="CG23" s="24">
        <f>SUMIFS(Libro_Diario[[Cantidad ]],Libro_Diario[[Tipo ]],Gastos[[#Headers],[Gastos]],Libro_Diario[[Categoria ]],Gastos[[#This Row],[Gastos]],Libro_Diario[Fecha],"&gt;="&amp;'Libro Mayor'!CG$9,Libro_Diario[Fecha],"&lt;="&amp;EOMONTH('Libro Mayor'!CG$9,0))</f>
        <v>0</v>
      </c>
      <c r="CH23" s="24">
        <f>SUMIFS(Libro_Diario[[Cantidad ]],Libro_Diario[[Tipo ]],Gastos[[#Headers],[Gastos]],Libro_Diario[[Categoria ]],Gastos[[#This Row],[Gastos]],Libro_Diario[Fecha],"&gt;="&amp;'Libro Mayor'!CH$9,Libro_Diario[Fecha],"&lt;="&amp;EOMONTH('Libro Mayor'!CH$9,0))</f>
        <v>0</v>
      </c>
      <c r="CI23" s="25">
        <f>SUM(BW23:CH23)</f>
        <v>0</v>
      </c>
      <c r="CK23" s="24">
        <f>SUMIFS(Libro_Diario[[Cantidad ]],Libro_Diario[[Tipo ]],Gastos[[#Headers],[Gastos]],Libro_Diario[[Categoria ]],Gastos[[#This Row],[Gastos]],Libro_Diario[Fecha],"&gt;="&amp;'Libro Mayor'!CK$9,Libro_Diario[Fecha],"&lt;="&amp;EOMONTH('Libro Mayor'!CK$9,0))</f>
        <v>0</v>
      </c>
      <c r="CL23" s="24">
        <f>SUMIFS(Libro_Diario[[Cantidad ]],Libro_Diario[[Tipo ]],Gastos[[#Headers],[Gastos]],Libro_Diario[[Categoria ]],Gastos[[#This Row],[Gastos]],Libro_Diario[Fecha],"&gt;="&amp;'Libro Mayor'!CL$9,Libro_Diario[Fecha],"&lt;="&amp;EOMONTH('Libro Mayor'!CL$9,0))</f>
        <v>0</v>
      </c>
      <c r="CM23" s="24">
        <f>SUMIFS(Libro_Diario[[Cantidad ]],Libro_Diario[[Tipo ]],Gastos[[#Headers],[Gastos]],Libro_Diario[[Categoria ]],Gastos[[#This Row],[Gastos]],Libro_Diario[Fecha],"&gt;="&amp;'Libro Mayor'!CM$9,Libro_Diario[Fecha],"&lt;="&amp;EOMONTH('Libro Mayor'!CM$9,0))</f>
        <v>0</v>
      </c>
      <c r="CN23" s="24">
        <f>SUMIFS(Libro_Diario[[Cantidad ]],Libro_Diario[[Tipo ]],Gastos[[#Headers],[Gastos]],Libro_Diario[[Categoria ]],Gastos[[#This Row],[Gastos]],Libro_Diario[Fecha],"&gt;="&amp;'Libro Mayor'!CN$9,Libro_Diario[Fecha],"&lt;="&amp;EOMONTH('Libro Mayor'!CN$9,0))</f>
        <v>0</v>
      </c>
      <c r="CO23" s="24">
        <f>SUMIFS(Libro_Diario[[Cantidad ]],Libro_Diario[[Tipo ]],Gastos[[#Headers],[Gastos]],Libro_Diario[[Categoria ]],Gastos[[#This Row],[Gastos]],Libro_Diario[Fecha],"&gt;="&amp;'Libro Mayor'!CO$9,Libro_Diario[Fecha],"&lt;="&amp;EOMONTH('Libro Mayor'!CO$9,0))</f>
        <v>0</v>
      </c>
      <c r="CP23" s="24">
        <f>SUMIFS(Libro_Diario[[Cantidad ]],Libro_Diario[[Tipo ]],Gastos[[#Headers],[Gastos]],Libro_Diario[[Categoria ]],Gastos[[#This Row],[Gastos]],Libro_Diario[Fecha],"&gt;="&amp;'Libro Mayor'!CP$9,Libro_Diario[Fecha],"&lt;="&amp;EOMONTH('Libro Mayor'!CP$9,0))</f>
        <v>0</v>
      </c>
      <c r="CQ23" s="24">
        <f>SUMIFS(Libro_Diario[[Cantidad ]],Libro_Diario[[Tipo ]],Gastos[[#Headers],[Gastos]],Libro_Diario[[Categoria ]],Gastos[[#This Row],[Gastos]],Libro_Diario[Fecha],"&gt;="&amp;'Libro Mayor'!CQ$9,Libro_Diario[Fecha],"&lt;="&amp;EOMONTH('Libro Mayor'!CQ$9,0))</f>
        <v>0</v>
      </c>
      <c r="CR23" s="24">
        <f>SUMIFS(Libro_Diario[[Cantidad ]],Libro_Diario[[Tipo ]],Gastos[[#Headers],[Gastos]],Libro_Diario[[Categoria ]],Gastos[[#This Row],[Gastos]],Libro_Diario[Fecha],"&gt;="&amp;'Libro Mayor'!CR$9,Libro_Diario[Fecha],"&lt;="&amp;EOMONTH('Libro Mayor'!CR$9,0))</f>
        <v>0</v>
      </c>
      <c r="CS23" s="24">
        <f>SUMIFS(Libro_Diario[[Cantidad ]],Libro_Diario[[Tipo ]],Gastos[[#Headers],[Gastos]],Libro_Diario[[Categoria ]],Gastos[[#This Row],[Gastos]],Libro_Diario[Fecha],"&gt;="&amp;'Libro Mayor'!CS$9,Libro_Diario[Fecha],"&lt;="&amp;EOMONTH('Libro Mayor'!CS$9,0))</f>
        <v>0</v>
      </c>
      <c r="CT23" s="24">
        <f>SUMIFS(Libro_Diario[[Cantidad ]],Libro_Diario[[Tipo ]],Gastos[[#Headers],[Gastos]],Libro_Diario[[Categoria ]],Gastos[[#This Row],[Gastos]],Libro_Diario[Fecha],"&gt;="&amp;'Libro Mayor'!CT$9,Libro_Diario[Fecha],"&lt;="&amp;EOMONTH('Libro Mayor'!CT$9,0))</f>
        <v>0</v>
      </c>
      <c r="CU23" s="24">
        <f>SUMIFS(Libro_Diario[[Cantidad ]],Libro_Diario[[Tipo ]],Gastos[[#Headers],[Gastos]],Libro_Diario[[Categoria ]],Gastos[[#This Row],[Gastos]],Libro_Diario[Fecha],"&gt;="&amp;'Libro Mayor'!CU$9,Libro_Diario[Fecha],"&lt;="&amp;EOMONTH('Libro Mayor'!CU$9,0))</f>
        <v>0</v>
      </c>
      <c r="CV23" s="24">
        <f>SUMIFS(Libro_Diario[[Cantidad ]],Libro_Diario[[Tipo ]],Gastos[[#Headers],[Gastos]],Libro_Diario[[Categoria ]],Gastos[[#This Row],[Gastos]],Libro_Diario[Fecha],"&gt;="&amp;'Libro Mayor'!CV$9,Libro_Diario[Fecha],"&lt;="&amp;EOMONTH('Libro Mayor'!CV$9,0))</f>
        <v>0</v>
      </c>
      <c r="CW23" s="25">
        <f>SUM(CK23:CV23)</f>
        <v>0</v>
      </c>
      <c r="CY23" s="24">
        <f>SUMIFS(Libro_Diario[[Cantidad ]],Libro_Diario[[Tipo ]],Gastos[[#Headers],[Gastos]],Libro_Diario[[Categoria ]],Gastos[[#This Row],[Gastos]],Libro_Diario[Fecha],"&gt;="&amp;'Libro Mayor'!CY$9,Libro_Diario[Fecha],"&lt;="&amp;EOMONTH('Libro Mayor'!CY$9,0))</f>
        <v>0</v>
      </c>
      <c r="CZ23" s="24">
        <f>SUMIFS(Libro_Diario[[Cantidad ]],Libro_Diario[[Tipo ]],Gastos[[#Headers],[Gastos]],Libro_Diario[[Categoria ]],Gastos[[#This Row],[Gastos]],Libro_Diario[Fecha],"&gt;="&amp;'Libro Mayor'!CZ$9,Libro_Diario[Fecha],"&lt;="&amp;EOMONTH('Libro Mayor'!CZ$9,0))</f>
        <v>0</v>
      </c>
      <c r="DA23" s="24">
        <f>SUMIFS(Libro_Diario[[Cantidad ]],Libro_Diario[[Tipo ]],Gastos[[#Headers],[Gastos]],Libro_Diario[[Categoria ]],Gastos[[#This Row],[Gastos]],Libro_Diario[Fecha],"&gt;="&amp;'Libro Mayor'!DA$9,Libro_Diario[Fecha],"&lt;="&amp;EOMONTH('Libro Mayor'!DA$9,0))</f>
        <v>0</v>
      </c>
      <c r="DB23" s="24">
        <f>SUMIFS(Libro_Diario[[Cantidad ]],Libro_Diario[[Tipo ]],Gastos[[#Headers],[Gastos]],Libro_Diario[[Categoria ]],Gastos[[#This Row],[Gastos]],Libro_Diario[Fecha],"&gt;="&amp;'Libro Mayor'!DB$9,Libro_Diario[Fecha],"&lt;="&amp;EOMONTH('Libro Mayor'!DB$9,0))</f>
        <v>0</v>
      </c>
      <c r="DC23" s="24">
        <f>SUMIFS(Libro_Diario[[Cantidad ]],Libro_Diario[[Tipo ]],Gastos[[#Headers],[Gastos]],Libro_Diario[[Categoria ]],Gastos[[#This Row],[Gastos]],Libro_Diario[Fecha],"&gt;="&amp;'Libro Mayor'!DC$9,Libro_Diario[Fecha],"&lt;="&amp;EOMONTH('Libro Mayor'!DC$9,0))</f>
        <v>0</v>
      </c>
      <c r="DD23" s="24">
        <f>SUMIFS(Libro_Diario[[Cantidad ]],Libro_Diario[[Tipo ]],Gastos[[#Headers],[Gastos]],Libro_Diario[[Categoria ]],Gastos[[#This Row],[Gastos]],Libro_Diario[Fecha],"&gt;="&amp;'Libro Mayor'!DD$9,Libro_Diario[Fecha],"&lt;="&amp;EOMONTH('Libro Mayor'!DD$9,0))</f>
        <v>0</v>
      </c>
      <c r="DE23" s="24">
        <f>SUMIFS(Libro_Diario[[Cantidad ]],Libro_Diario[[Tipo ]],Gastos[[#Headers],[Gastos]],Libro_Diario[[Categoria ]],Gastos[[#This Row],[Gastos]],Libro_Diario[Fecha],"&gt;="&amp;'Libro Mayor'!DE$9,Libro_Diario[Fecha],"&lt;="&amp;EOMONTH('Libro Mayor'!DE$9,0))</f>
        <v>0</v>
      </c>
      <c r="DF23" s="24">
        <f>SUMIFS(Libro_Diario[[Cantidad ]],Libro_Diario[[Tipo ]],Gastos[[#Headers],[Gastos]],Libro_Diario[[Categoria ]],Gastos[[#This Row],[Gastos]],Libro_Diario[Fecha],"&gt;="&amp;'Libro Mayor'!DF$9,Libro_Diario[Fecha],"&lt;="&amp;EOMONTH('Libro Mayor'!DF$9,0))</f>
        <v>0</v>
      </c>
      <c r="DG23" s="24">
        <f>SUMIFS(Libro_Diario[[Cantidad ]],Libro_Diario[[Tipo ]],Gastos[[#Headers],[Gastos]],Libro_Diario[[Categoria ]],Gastos[[#This Row],[Gastos]],Libro_Diario[Fecha],"&gt;="&amp;'Libro Mayor'!DG$9,Libro_Diario[Fecha],"&lt;="&amp;EOMONTH('Libro Mayor'!DG$9,0))</f>
        <v>0</v>
      </c>
      <c r="DH23" s="24">
        <f>SUMIFS(Libro_Diario[[Cantidad ]],Libro_Diario[[Tipo ]],Gastos[[#Headers],[Gastos]],Libro_Diario[[Categoria ]],Gastos[[#This Row],[Gastos]],Libro_Diario[Fecha],"&gt;="&amp;'Libro Mayor'!DH$9,Libro_Diario[Fecha],"&lt;="&amp;EOMONTH('Libro Mayor'!DH$9,0))</f>
        <v>0</v>
      </c>
      <c r="DI23" s="24">
        <f>SUMIFS(Libro_Diario[[Cantidad ]],Libro_Diario[[Tipo ]],Gastos[[#Headers],[Gastos]],Libro_Diario[[Categoria ]],Gastos[[#This Row],[Gastos]],Libro_Diario[Fecha],"&gt;="&amp;'Libro Mayor'!DI$9,Libro_Diario[Fecha],"&lt;="&amp;EOMONTH('Libro Mayor'!DI$9,0))</f>
        <v>0</v>
      </c>
      <c r="DJ23" s="24">
        <f>SUMIFS(Libro_Diario[[Cantidad ]],Libro_Diario[[Tipo ]],Gastos[[#Headers],[Gastos]],Libro_Diario[[Categoria ]],Gastos[[#This Row],[Gastos]],Libro_Diario[Fecha],"&gt;="&amp;'Libro Mayor'!DJ$9,Libro_Diario[Fecha],"&lt;="&amp;EOMONTH('Libro Mayor'!DJ$9,0))</f>
        <v>0</v>
      </c>
      <c r="DK23" s="25">
        <f>SUM(CY23:DJ23)</f>
        <v>0</v>
      </c>
      <c r="DM23" s="24">
        <f>SUMIFS(Libro_Diario[[Cantidad ]],Libro_Diario[[Tipo ]],Gastos[[#Headers],[Gastos]],Libro_Diario[[Categoria ]],Gastos[[#This Row],[Gastos]],Libro_Diario[Fecha],"&gt;="&amp;'Libro Mayor'!DM$9,Libro_Diario[Fecha],"&lt;="&amp;EOMONTH('Libro Mayor'!DM$9,0))</f>
        <v>0</v>
      </c>
      <c r="DN23" s="24">
        <f>SUMIFS(Libro_Diario[[Cantidad ]],Libro_Diario[[Tipo ]],Gastos[[#Headers],[Gastos]],Libro_Diario[[Categoria ]],Gastos[[#This Row],[Gastos]],Libro_Diario[Fecha],"&gt;="&amp;'Libro Mayor'!DN$9,Libro_Diario[Fecha],"&lt;="&amp;EOMONTH('Libro Mayor'!DN$9,0))</f>
        <v>0</v>
      </c>
      <c r="DO23" s="24">
        <f>SUMIFS(Libro_Diario[[Cantidad ]],Libro_Diario[[Tipo ]],Gastos[[#Headers],[Gastos]],Libro_Diario[[Categoria ]],Gastos[[#This Row],[Gastos]],Libro_Diario[Fecha],"&gt;="&amp;'Libro Mayor'!DO$9,Libro_Diario[Fecha],"&lt;="&amp;EOMONTH('Libro Mayor'!DO$9,0))</f>
        <v>0</v>
      </c>
      <c r="DP23" s="24">
        <f>SUMIFS(Libro_Diario[[Cantidad ]],Libro_Diario[[Tipo ]],Gastos[[#Headers],[Gastos]],Libro_Diario[[Categoria ]],Gastos[[#This Row],[Gastos]],Libro_Diario[Fecha],"&gt;="&amp;'Libro Mayor'!DP$9,Libro_Diario[Fecha],"&lt;="&amp;EOMONTH('Libro Mayor'!DP$9,0))</f>
        <v>0</v>
      </c>
      <c r="DQ23" s="24">
        <f>SUMIFS(Libro_Diario[[Cantidad ]],Libro_Diario[[Tipo ]],Gastos[[#Headers],[Gastos]],Libro_Diario[[Categoria ]],Gastos[[#This Row],[Gastos]],Libro_Diario[Fecha],"&gt;="&amp;'Libro Mayor'!DQ$9,Libro_Diario[Fecha],"&lt;="&amp;EOMONTH('Libro Mayor'!DQ$9,0))</f>
        <v>0</v>
      </c>
      <c r="DR23" s="24">
        <f>SUMIFS(Libro_Diario[[Cantidad ]],Libro_Diario[[Tipo ]],Gastos[[#Headers],[Gastos]],Libro_Diario[[Categoria ]],Gastos[[#This Row],[Gastos]],Libro_Diario[Fecha],"&gt;="&amp;'Libro Mayor'!DR$9,Libro_Diario[Fecha],"&lt;="&amp;EOMONTH('Libro Mayor'!DR$9,0))</f>
        <v>0</v>
      </c>
      <c r="DS23" s="24">
        <f>SUMIFS(Libro_Diario[[Cantidad ]],Libro_Diario[[Tipo ]],Gastos[[#Headers],[Gastos]],Libro_Diario[[Categoria ]],Gastos[[#This Row],[Gastos]],Libro_Diario[Fecha],"&gt;="&amp;'Libro Mayor'!DS$9,Libro_Diario[Fecha],"&lt;="&amp;EOMONTH('Libro Mayor'!DS$9,0))</f>
        <v>0</v>
      </c>
      <c r="DT23" s="24">
        <f>SUMIFS(Libro_Diario[[Cantidad ]],Libro_Diario[[Tipo ]],Gastos[[#Headers],[Gastos]],Libro_Diario[[Categoria ]],Gastos[[#This Row],[Gastos]],Libro_Diario[Fecha],"&gt;="&amp;'Libro Mayor'!DT$9,Libro_Diario[Fecha],"&lt;="&amp;EOMONTH('Libro Mayor'!DT$9,0))</f>
        <v>0</v>
      </c>
      <c r="DU23" s="24">
        <f>SUMIFS(Libro_Diario[[Cantidad ]],Libro_Diario[[Tipo ]],Gastos[[#Headers],[Gastos]],Libro_Diario[[Categoria ]],Gastos[[#This Row],[Gastos]],Libro_Diario[Fecha],"&gt;="&amp;'Libro Mayor'!DU$9,Libro_Diario[Fecha],"&lt;="&amp;EOMONTH('Libro Mayor'!DU$9,0))</f>
        <v>0</v>
      </c>
      <c r="DV23" s="24">
        <f>SUMIFS(Libro_Diario[[Cantidad ]],Libro_Diario[[Tipo ]],Gastos[[#Headers],[Gastos]],Libro_Diario[[Categoria ]],Gastos[[#This Row],[Gastos]],Libro_Diario[Fecha],"&gt;="&amp;'Libro Mayor'!DV$9,Libro_Diario[Fecha],"&lt;="&amp;EOMONTH('Libro Mayor'!DV$9,0))</f>
        <v>0</v>
      </c>
      <c r="DW23" s="24">
        <f>SUMIFS(Libro_Diario[[Cantidad ]],Libro_Diario[[Tipo ]],Gastos[[#Headers],[Gastos]],Libro_Diario[[Categoria ]],Gastos[[#This Row],[Gastos]],Libro_Diario[Fecha],"&gt;="&amp;'Libro Mayor'!DW$9,Libro_Diario[Fecha],"&lt;="&amp;EOMONTH('Libro Mayor'!DW$9,0))</f>
        <v>0</v>
      </c>
      <c r="DX23" s="24">
        <f>SUMIFS(Libro_Diario[[Cantidad ]],Libro_Diario[[Tipo ]],Gastos[[#Headers],[Gastos]],Libro_Diario[[Categoria ]],Gastos[[#This Row],[Gastos]],Libro_Diario[Fecha],"&gt;="&amp;'Libro Mayor'!DX$9,Libro_Diario[Fecha],"&lt;="&amp;EOMONTH('Libro Mayor'!DX$9,0))</f>
        <v>0</v>
      </c>
      <c r="DY23" s="25">
        <f>SUM(DM23:DX23)</f>
        <v>0</v>
      </c>
      <c r="EA23" s="24">
        <f>SUMIFS(Libro_Diario[[Cantidad ]],Libro_Diario[[Tipo ]],Gastos[[#Headers],[Gastos]],Libro_Diario[[Categoria ]],Gastos[[#This Row],[Gastos]],Libro_Diario[Fecha],"&gt;="&amp;'Libro Mayor'!EA$9,Libro_Diario[Fecha],"&lt;="&amp;EOMONTH('Libro Mayor'!EA$9,0))</f>
        <v>0</v>
      </c>
      <c r="EB23" s="24">
        <f>SUMIFS(Libro_Diario[[Cantidad ]],Libro_Diario[[Tipo ]],Gastos[[#Headers],[Gastos]],Libro_Diario[[Categoria ]],Gastos[[#This Row],[Gastos]],Libro_Diario[Fecha],"&gt;="&amp;'Libro Mayor'!EB$9,Libro_Diario[Fecha],"&lt;="&amp;EOMONTH('Libro Mayor'!EB$9,0))</f>
        <v>0</v>
      </c>
      <c r="EC23" s="24">
        <f>SUMIFS(Libro_Diario[[Cantidad ]],Libro_Diario[[Tipo ]],Gastos[[#Headers],[Gastos]],Libro_Diario[[Categoria ]],Gastos[[#This Row],[Gastos]],Libro_Diario[Fecha],"&gt;="&amp;'Libro Mayor'!EC$9,Libro_Diario[Fecha],"&lt;="&amp;EOMONTH('Libro Mayor'!EC$9,0))</f>
        <v>0</v>
      </c>
      <c r="ED23" s="24">
        <f>SUMIFS(Libro_Diario[[Cantidad ]],Libro_Diario[[Tipo ]],Gastos[[#Headers],[Gastos]],Libro_Diario[[Categoria ]],Gastos[[#This Row],[Gastos]],Libro_Diario[Fecha],"&gt;="&amp;'Libro Mayor'!ED$9,Libro_Diario[Fecha],"&lt;="&amp;EOMONTH('Libro Mayor'!ED$9,0))</f>
        <v>0</v>
      </c>
      <c r="EE23" s="24">
        <f>SUMIFS(Libro_Diario[[Cantidad ]],Libro_Diario[[Tipo ]],Gastos[[#Headers],[Gastos]],Libro_Diario[[Categoria ]],Gastos[[#This Row],[Gastos]],Libro_Diario[Fecha],"&gt;="&amp;'Libro Mayor'!EE$9,Libro_Diario[Fecha],"&lt;="&amp;EOMONTH('Libro Mayor'!EE$9,0))</f>
        <v>0</v>
      </c>
      <c r="EF23" s="24">
        <f>SUMIFS(Libro_Diario[[Cantidad ]],Libro_Diario[[Tipo ]],Gastos[[#Headers],[Gastos]],Libro_Diario[[Categoria ]],Gastos[[#This Row],[Gastos]],Libro_Diario[Fecha],"&gt;="&amp;'Libro Mayor'!EF$9,Libro_Diario[Fecha],"&lt;="&amp;EOMONTH('Libro Mayor'!EF$9,0))</f>
        <v>0</v>
      </c>
      <c r="EG23" s="24">
        <f>SUMIFS(Libro_Diario[[Cantidad ]],Libro_Diario[[Tipo ]],Gastos[[#Headers],[Gastos]],Libro_Diario[[Categoria ]],Gastos[[#This Row],[Gastos]],Libro_Diario[Fecha],"&gt;="&amp;'Libro Mayor'!EG$9,Libro_Diario[Fecha],"&lt;="&amp;EOMONTH('Libro Mayor'!EG$9,0))</f>
        <v>0</v>
      </c>
      <c r="EH23" s="24">
        <f>SUMIFS(Libro_Diario[[Cantidad ]],Libro_Diario[[Tipo ]],Gastos[[#Headers],[Gastos]],Libro_Diario[[Categoria ]],Gastos[[#This Row],[Gastos]],Libro_Diario[Fecha],"&gt;="&amp;'Libro Mayor'!EH$9,Libro_Diario[Fecha],"&lt;="&amp;EOMONTH('Libro Mayor'!EH$9,0))</f>
        <v>0</v>
      </c>
      <c r="EI23" s="24">
        <f>SUMIFS(Libro_Diario[[Cantidad ]],Libro_Diario[[Tipo ]],Gastos[[#Headers],[Gastos]],Libro_Diario[[Categoria ]],Gastos[[#This Row],[Gastos]],Libro_Diario[Fecha],"&gt;="&amp;'Libro Mayor'!EI$9,Libro_Diario[Fecha],"&lt;="&amp;EOMONTH('Libro Mayor'!EI$9,0))</f>
        <v>0</v>
      </c>
      <c r="EJ23" s="24">
        <f>SUMIFS(Libro_Diario[[Cantidad ]],Libro_Diario[[Tipo ]],Gastos[[#Headers],[Gastos]],Libro_Diario[[Categoria ]],Gastos[[#This Row],[Gastos]],Libro_Diario[Fecha],"&gt;="&amp;'Libro Mayor'!EJ$9,Libro_Diario[Fecha],"&lt;="&amp;EOMONTH('Libro Mayor'!EJ$9,0))</f>
        <v>0</v>
      </c>
      <c r="EK23" s="24">
        <f>SUMIFS(Libro_Diario[[Cantidad ]],Libro_Diario[[Tipo ]],Gastos[[#Headers],[Gastos]],Libro_Diario[[Categoria ]],Gastos[[#This Row],[Gastos]],Libro_Diario[Fecha],"&gt;="&amp;'Libro Mayor'!EK$9,Libro_Diario[Fecha],"&lt;="&amp;EOMONTH('Libro Mayor'!EK$9,0))</f>
        <v>0</v>
      </c>
      <c r="EL23" s="24">
        <f>SUMIFS(Libro_Diario[[Cantidad ]],Libro_Diario[[Tipo ]],Gastos[[#Headers],[Gastos]],Libro_Diario[[Categoria ]],Gastos[[#This Row],[Gastos]],Libro_Diario[Fecha],"&gt;="&amp;'Libro Mayor'!EL$9,Libro_Diario[Fecha],"&lt;="&amp;EOMONTH('Libro Mayor'!EL$9,0))</f>
        <v>0</v>
      </c>
      <c r="EM23" s="25">
        <f>SUM(EA23:EL23)</f>
        <v>0</v>
      </c>
      <c r="EO23" s="24">
        <f>SUMIFS(Libro_Diario[[Cantidad ]],Libro_Diario[[Tipo ]],Gastos[[#Headers],[Gastos]],Libro_Diario[[Categoria ]],Gastos[[#This Row],[Gastos]],Libro_Diario[Fecha],"&gt;="&amp;'Libro Mayor'!EO$9,Libro_Diario[Fecha],"&lt;="&amp;EOMONTH('Libro Mayor'!EO$9,0))</f>
        <v>0</v>
      </c>
      <c r="EP23" s="24">
        <f>SUMIFS(Libro_Diario[[Cantidad ]],Libro_Diario[[Tipo ]],Gastos[[#Headers],[Gastos]],Libro_Diario[[Categoria ]],Gastos[[#This Row],[Gastos]],Libro_Diario[Fecha],"&gt;="&amp;'Libro Mayor'!EP$9,Libro_Diario[Fecha],"&lt;="&amp;EOMONTH('Libro Mayor'!EP$9,0))</f>
        <v>0</v>
      </c>
      <c r="EQ23" s="24">
        <f>SUMIFS(Libro_Diario[[Cantidad ]],Libro_Diario[[Tipo ]],Gastos[[#Headers],[Gastos]],Libro_Diario[[Categoria ]],Gastos[[#This Row],[Gastos]],Libro_Diario[Fecha],"&gt;="&amp;'Libro Mayor'!EQ$9,Libro_Diario[Fecha],"&lt;="&amp;EOMONTH('Libro Mayor'!EQ$9,0))</f>
        <v>0</v>
      </c>
      <c r="ER23" s="24">
        <f>SUMIFS(Libro_Diario[[Cantidad ]],Libro_Diario[[Tipo ]],Gastos[[#Headers],[Gastos]],Libro_Diario[[Categoria ]],Gastos[[#This Row],[Gastos]],Libro_Diario[Fecha],"&gt;="&amp;'Libro Mayor'!ER$9,Libro_Diario[Fecha],"&lt;="&amp;EOMONTH('Libro Mayor'!ER$9,0))</f>
        <v>0</v>
      </c>
      <c r="ES23" s="24">
        <f>SUMIFS(Libro_Diario[[Cantidad ]],Libro_Diario[[Tipo ]],Gastos[[#Headers],[Gastos]],Libro_Diario[[Categoria ]],Gastos[[#This Row],[Gastos]],Libro_Diario[Fecha],"&gt;="&amp;'Libro Mayor'!ES$9,Libro_Diario[Fecha],"&lt;="&amp;EOMONTH('Libro Mayor'!ES$9,0))</f>
        <v>0</v>
      </c>
      <c r="ET23" s="24">
        <f>SUMIFS(Libro_Diario[[Cantidad ]],Libro_Diario[[Tipo ]],Gastos[[#Headers],[Gastos]],Libro_Diario[[Categoria ]],Gastos[[#This Row],[Gastos]],Libro_Diario[Fecha],"&gt;="&amp;'Libro Mayor'!ET$9,Libro_Diario[Fecha],"&lt;="&amp;EOMONTH('Libro Mayor'!ET$9,0))</f>
        <v>0</v>
      </c>
      <c r="EU23" s="24">
        <f>SUMIFS(Libro_Diario[[Cantidad ]],Libro_Diario[[Tipo ]],Gastos[[#Headers],[Gastos]],Libro_Diario[[Categoria ]],Gastos[[#This Row],[Gastos]],Libro_Diario[Fecha],"&gt;="&amp;'Libro Mayor'!EU$9,Libro_Diario[Fecha],"&lt;="&amp;EOMONTH('Libro Mayor'!EU$9,0))</f>
        <v>0</v>
      </c>
      <c r="EV23" s="24">
        <f>SUMIFS(Libro_Diario[[Cantidad ]],Libro_Diario[[Tipo ]],Gastos[[#Headers],[Gastos]],Libro_Diario[[Categoria ]],Gastos[[#This Row],[Gastos]],Libro_Diario[Fecha],"&gt;="&amp;'Libro Mayor'!EV$9,Libro_Diario[Fecha],"&lt;="&amp;EOMONTH('Libro Mayor'!EV$9,0))</f>
        <v>0</v>
      </c>
      <c r="EW23" s="24">
        <f>SUMIFS(Libro_Diario[[Cantidad ]],Libro_Diario[[Tipo ]],Gastos[[#Headers],[Gastos]],Libro_Diario[[Categoria ]],Gastos[[#This Row],[Gastos]],Libro_Diario[Fecha],"&gt;="&amp;'Libro Mayor'!EW$9,Libro_Diario[Fecha],"&lt;="&amp;EOMONTH('Libro Mayor'!EW$9,0))</f>
        <v>0</v>
      </c>
      <c r="EX23" s="24">
        <f>SUMIFS(Libro_Diario[[Cantidad ]],Libro_Diario[[Tipo ]],Gastos[[#Headers],[Gastos]],Libro_Diario[[Categoria ]],Gastos[[#This Row],[Gastos]],Libro_Diario[Fecha],"&gt;="&amp;'Libro Mayor'!EX$9,Libro_Diario[Fecha],"&lt;="&amp;EOMONTH('Libro Mayor'!EX$9,0))</f>
        <v>0</v>
      </c>
      <c r="EY23" s="24">
        <f>SUMIFS(Libro_Diario[[Cantidad ]],Libro_Diario[[Tipo ]],Gastos[[#Headers],[Gastos]],Libro_Diario[[Categoria ]],Gastos[[#This Row],[Gastos]],Libro_Diario[Fecha],"&gt;="&amp;'Libro Mayor'!EY$9,Libro_Diario[Fecha],"&lt;="&amp;EOMONTH('Libro Mayor'!EY$9,0))</f>
        <v>0</v>
      </c>
      <c r="EZ23" s="24">
        <f>SUMIFS(Libro_Diario[[Cantidad ]],Libro_Diario[[Tipo ]],Gastos[[#Headers],[Gastos]],Libro_Diario[[Categoria ]],Gastos[[#This Row],[Gastos]],Libro_Diario[Fecha],"&gt;="&amp;'Libro Mayor'!EZ$9,Libro_Diario[Fecha],"&lt;="&amp;EOMONTH('Libro Mayor'!EZ$9,0))</f>
        <v>0</v>
      </c>
      <c r="FA23" s="25">
        <f>SUM(EO23:EZ23)</f>
        <v>0</v>
      </c>
    </row>
    <row r="24" spans="3:157" x14ac:dyDescent="0.3">
      <c r="C24" s="17" t="s">
        <v>19</v>
      </c>
      <c r="D24" s="23"/>
      <c r="E24" s="24">
        <f>SUMIFS(Libro_Diario[[Cantidad ]],Libro_Diario[[Tipo ]],Gastos[[#Headers],[Gastos]],Libro_Diario[[Categoria ]],Gastos[[#This Row],[Gastos]],Libro_Diario[Fecha],"&gt;="&amp;'Libro Mayor'!E$9,Libro_Diario[Fecha],"&lt;="&amp;EOMONTH('Libro Mayor'!E$9,0))</f>
        <v>0</v>
      </c>
      <c r="F24" s="24">
        <f>SUMIFS(Libro_Diario[[Cantidad ]],Libro_Diario[[Tipo ]],Gastos[[#Headers],[Gastos]],Libro_Diario[[Categoria ]],Gastos[[#This Row],[Gastos]],Libro_Diario[Fecha],"&gt;="&amp;'Libro Mayor'!F$9,Libro_Diario[Fecha],"&lt;="&amp;EOMONTH('Libro Mayor'!F$9,0))</f>
        <v>0</v>
      </c>
      <c r="G24" s="24">
        <f>SUMIFS(Libro_Diario[[Cantidad ]],Libro_Diario[[Tipo ]],Gastos[[#Headers],[Gastos]],Libro_Diario[[Categoria ]],Gastos[[#This Row],[Gastos]],Libro_Diario[Fecha],"&gt;="&amp;'Libro Mayor'!G$9,Libro_Diario[Fecha],"&lt;="&amp;EOMONTH('Libro Mayor'!G$9,0))</f>
        <v>0</v>
      </c>
      <c r="H24" s="24">
        <f>SUMIFS(Libro_Diario[[Cantidad ]],Libro_Diario[[Tipo ]],Gastos[[#Headers],[Gastos]],Libro_Diario[[Categoria ]],Gastos[[#This Row],[Gastos]],Libro_Diario[Fecha],"&gt;="&amp;'Libro Mayor'!H$9,Libro_Diario[Fecha],"&lt;="&amp;EOMONTH('Libro Mayor'!H$9,0))</f>
        <v>0</v>
      </c>
      <c r="I24" s="24">
        <f>SUMIFS(Libro_Diario[[Cantidad ]],Libro_Diario[[Tipo ]],Gastos[[#Headers],[Gastos]],Libro_Diario[[Categoria ]],Gastos[[#This Row],[Gastos]],Libro_Diario[Fecha],"&gt;="&amp;'Libro Mayor'!I$9,Libro_Diario[Fecha],"&lt;="&amp;EOMONTH('Libro Mayor'!I$9,0))</f>
        <v>0</v>
      </c>
      <c r="J24" s="24">
        <f>SUMIFS(Libro_Diario[[Cantidad ]],Libro_Diario[[Tipo ]],Gastos[[#Headers],[Gastos]],Libro_Diario[[Categoria ]],Gastos[[#This Row],[Gastos]],Libro_Diario[Fecha],"&gt;="&amp;'Libro Mayor'!J$9,Libro_Diario[Fecha],"&lt;="&amp;EOMONTH('Libro Mayor'!J$9,0))</f>
        <v>0</v>
      </c>
      <c r="K24" s="24">
        <f>SUMIFS(Libro_Diario[[Cantidad ]],Libro_Diario[[Tipo ]],Gastos[[#Headers],[Gastos]],Libro_Diario[[Categoria ]],Gastos[[#This Row],[Gastos]],Libro_Diario[Fecha],"&gt;="&amp;'Libro Mayor'!K$9,Libro_Diario[Fecha],"&lt;="&amp;EOMONTH('Libro Mayor'!K$9,0))</f>
        <v>0</v>
      </c>
      <c r="L24" s="24">
        <f>SUMIFS(Libro_Diario[[Cantidad ]],Libro_Diario[[Tipo ]],Gastos[[#Headers],[Gastos]],Libro_Diario[[Categoria ]],Gastos[[#This Row],[Gastos]],Libro_Diario[Fecha],"&gt;="&amp;'Libro Mayor'!L$9,Libro_Diario[Fecha],"&lt;="&amp;EOMONTH('Libro Mayor'!L$9,0))</f>
        <v>0</v>
      </c>
      <c r="M24" s="24">
        <f>SUMIFS(Libro_Diario[[Cantidad ]],Libro_Diario[[Tipo ]],Gastos[[#Headers],[Gastos]],Libro_Diario[[Categoria ]],Gastos[[#This Row],[Gastos]],Libro_Diario[Fecha],"&gt;="&amp;'Libro Mayor'!M$9,Libro_Diario[Fecha],"&lt;="&amp;EOMONTH('Libro Mayor'!M$9,0))</f>
        <v>0</v>
      </c>
      <c r="N24" s="24">
        <f>SUMIFS(Libro_Diario[[Cantidad ]],Libro_Diario[[Tipo ]],Gastos[[#Headers],[Gastos]],Libro_Diario[[Categoria ]],Gastos[[#This Row],[Gastos]],Libro_Diario[Fecha],"&gt;="&amp;'Libro Mayor'!N$9,Libro_Diario[Fecha],"&lt;="&amp;EOMONTH('Libro Mayor'!N$9,0))</f>
        <v>0</v>
      </c>
      <c r="O24" s="24">
        <f>SUMIFS(Libro_Diario[[Cantidad ]],Libro_Diario[[Tipo ]],Gastos[[#Headers],[Gastos]],Libro_Diario[[Categoria ]],Gastos[[#This Row],[Gastos]],Libro_Diario[Fecha],"&gt;="&amp;'Libro Mayor'!O$9,Libro_Diario[Fecha],"&lt;="&amp;EOMONTH('Libro Mayor'!O$9,0))</f>
        <v>0</v>
      </c>
      <c r="P24" s="24">
        <f>SUMIFS(Libro_Diario[[Cantidad ]],Libro_Diario[[Tipo ]],Gastos[[#Headers],[Gastos]],Libro_Diario[[Categoria ]],Gastos[[#This Row],[Gastos]],Libro_Diario[Fecha],"&gt;="&amp;'Libro Mayor'!P$9,Libro_Diario[Fecha],"&lt;="&amp;EOMONTH('Libro Mayor'!P$9,0))</f>
        <v>0</v>
      </c>
      <c r="Q24" s="25">
        <f>SUM(E24:P24)</f>
        <v>0</v>
      </c>
      <c r="S24" s="24">
        <f>SUMIFS(Libro_Diario[[Cantidad ]],Libro_Diario[[Tipo ]],Gastos[[#Headers],[Gastos]],Libro_Diario[[Categoria ]],Gastos[[#This Row],[Gastos]],Libro_Diario[Fecha],"&gt;="&amp;'Libro Mayor'!S$9,Libro_Diario[Fecha],"&lt;="&amp;EOMONTH('Libro Mayor'!S$9,0))</f>
        <v>0</v>
      </c>
      <c r="T24" s="24">
        <f>SUMIFS(Libro_Diario[[Cantidad ]],Libro_Diario[[Tipo ]],Gastos[[#Headers],[Gastos]],Libro_Diario[[Categoria ]],Gastos[[#This Row],[Gastos]],Libro_Diario[Fecha],"&gt;="&amp;'Libro Mayor'!T$9,Libro_Diario[Fecha],"&lt;="&amp;EOMONTH('Libro Mayor'!T$9,0))</f>
        <v>0</v>
      </c>
      <c r="U24" s="24">
        <f>SUMIFS(Libro_Diario[[Cantidad ]],Libro_Diario[[Tipo ]],Gastos[[#Headers],[Gastos]],Libro_Diario[[Categoria ]],Gastos[[#This Row],[Gastos]],Libro_Diario[Fecha],"&gt;="&amp;'Libro Mayor'!U$9,Libro_Diario[Fecha],"&lt;="&amp;EOMONTH('Libro Mayor'!U$9,0))</f>
        <v>0</v>
      </c>
      <c r="V24" s="24">
        <f>SUMIFS(Libro_Diario[[Cantidad ]],Libro_Diario[[Tipo ]],Gastos[[#Headers],[Gastos]],Libro_Diario[[Categoria ]],Gastos[[#This Row],[Gastos]],Libro_Diario[Fecha],"&gt;="&amp;'Libro Mayor'!V$9,Libro_Diario[Fecha],"&lt;="&amp;EOMONTH('Libro Mayor'!V$9,0))</f>
        <v>0</v>
      </c>
      <c r="W24" s="24">
        <f>SUMIFS(Libro_Diario[[Cantidad ]],Libro_Diario[[Tipo ]],Gastos[[#Headers],[Gastos]],Libro_Diario[[Categoria ]],Gastos[[#This Row],[Gastos]],Libro_Diario[Fecha],"&gt;="&amp;'Libro Mayor'!W$9,Libro_Diario[Fecha],"&lt;="&amp;EOMONTH('Libro Mayor'!W$9,0))</f>
        <v>0</v>
      </c>
      <c r="X24" s="24">
        <f>SUMIFS(Libro_Diario[[Cantidad ]],Libro_Diario[[Tipo ]],Gastos[[#Headers],[Gastos]],Libro_Diario[[Categoria ]],Gastos[[#This Row],[Gastos]],Libro_Diario[Fecha],"&gt;="&amp;'Libro Mayor'!X$9,Libro_Diario[Fecha],"&lt;="&amp;EOMONTH('Libro Mayor'!X$9,0))</f>
        <v>0</v>
      </c>
      <c r="Y24" s="24">
        <f>SUMIFS(Libro_Diario[[Cantidad ]],Libro_Diario[[Tipo ]],Gastos[[#Headers],[Gastos]],Libro_Diario[[Categoria ]],Gastos[[#This Row],[Gastos]],Libro_Diario[Fecha],"&gt;="&amp;'Libro Mayor'!Y$9,Libro_Diario[Fecha],"&lt;="&amp;EOMONTH('Libro Mayor'!Y$9,0))</f>
        <v>0</v>
      </c>
      <c r="Z24" s="24">
        <f>SUMIFS(Libro_Diario[[Cantidad ]],Libro_Diario[[Tipo ]],Gastos[[#Headers],[Gastos]],Libro_Diario[[Categoria ]],Gastos[[#This Row],[Gastos]],Libro_Diario[Fecha],"&gt;="&amp;'Libro Mayor'!Z$9,Libro_Diario[Fecha],"&lt;="&amp;EOMONTH('Libro Mayor'!Z$9,0))</f>
        <v>0</v>
      </c>
      <c r="AA24" s="24">
        <f>SUMIFS(Libro_Diario[[Cantidad ]],Libro_Diario[[Tipo ]],Gastos[[#Headers],[Gastos]],Libro_Diario[[Categoria ]],Gastos[[#This Row],[Gastos]],Libro_Diario[Fecha],"&gt;="&amp;'Libro Mayor'!AA$9,Libro_Diario[Fecha],"&lt;="&amp;EOMONTH('Libro Mayor'!AA$9,0))</f>
        <v>0</v>
      </c>
      <c r="AB24" s="24">
        <f>SUMIFS(Libro_Diario[[Cantidad ]],Libro_Diario[[Tipo ]],Gastos[[#Headers],[Gastos]],Libro_Diario[[Categoria ]],Gastos[[#This Row],[Gastos]],Libro_Diario[Fecha],"&gt;="&amp;'Libro Mayor'!AB$9,Libro_Diario[Fecha],"&lt;="&amp;EOMONTH('Libro Mayor'!AB$9,0))</f>
        <v>0</v>
      </c>
      <c r="AC24" s="24">
        <f>SUMIFS(Libro_Diario[[Cantidad ]],Libro_Diario[[Tipo ]],Gastos[[#Headers],[Gastos]],Libro_Diario[[Categoria ]],Gastos[[#This Row],[Gastos]],Libro_Diario[Fecha],"&gt;="&amp;'Libro Mayor'!AC$9,Libro_Diario[Fecha],"&lt;="&amp;EOMONTH('Libro Mayor'!AC$9,0))</f>
        <v>0</v>
      </c>
      <c r="AD24" s="24">
        <f>SUMIFS(Libro_Diario[Detalles],Libro_Diario[[Categoria ]],Gastos[[#Headers],[Gastos]],Libro_Diario[[Cantidad ]],Gastos[[#This Row],[Gastos]],Libro_Diario[[Tipo ]],"&gt;="&amp;'Libro Mayor'!AD$9,Libro_Diario[[Tipo ]],"&lt;="&amp;EOMONTH('Libro Mayor'!AD$9,0))</f>
        <v>0</v>
      </c>
      <c r="AE24" s="25">
        <f>SUM(S24:AD24)</f>
        <v>0</v>
      </c>
      <c r="AG24" s="24">
        <f>SUMIFS(Libro_Diario[[Cantidad ]],Libro_Diario[[Tipo ]],Gastos[[#Headers],[Gastos]],Libro_Diario[[Categoria ]],Gastos[[#This Row],[Gastos]],Libro_Diario[Fecha],"&gt;="&amp;'Libro Mayor'!AG$9,Libro_Diario[Fecha],"&lt;="&amp;EOMONTH('Libro Mayor'!AG$9,0))</f>
        <v>0</v>
      </c>
      <c r="AH24" s="24">
        <f>SUMIFS(Libro_Diario[[Cantidad ]],Libro_Diario[[Tipo ]],Gastos[[#Headers],[Gastos]],Libro_Diario[[Categoria ]],Gastos[[#This Row],[Gastos]],Libro_Diario[Fecha],"&gt;="&amp;'Libro Mayor'!AH$9,Libro_Diario[Fecha],"&lt;="&amp;EOMONTH('Libro Mayor'!AH$9,0))</f>
        <v>0</v>
      </c>
      <c r="AI24" s="24">
        <f>SUMIFS(Libro_Diario[[Cantidad ]],Libro_Diario[[Tipo ]],Gastos[[#Headers],[Gastos]],Libro_Diario[[Categoria ]],Gastos[[#This Row],[Gastos]],Libro_Diario[Fecha],"&gt;="&amp;'Libro Mayor'!AI$9,Libro_Diario[Fecha],"&lt;="&amp;EOMONTH('Libro Mayor'!AI$9,0))</f>
        <v>0</v>
      </c>
      <c r="AJ24" s="24">
        <f>SUMIFS(Libro_Diario[[Cantidad ]],Libro_Diario[[Tipo ]],Gastos[[#Headers],[Gastos]],Libro_Diario[[Categoria ]],Gastos[[#This Row],[Gastos]],Libro_Diario[Fecha],"&gt;="&amp;'Libro Mayor'!AJ$9,Libro_Diario[Fecha],"&lt;="&amp;EOMONTH('Libro Mayor'!AJ$9,0))</f>
        <v>0</v>
      </c>
      <c r="AK24" s="24">
        <f>SUMIFS(Libro_Diario[[Cantidad ]],Libro_Diario[[Tipo ]],Gastos[[#Headers],[Gastos]],Libro_Diario[[Categoria ]],Gastos[[#This Row],[Gastos]],Libro_Diario[Fecha],"&gt;="&amp;'Libro Mayor'!AK$9,Libro_Diario[Fecha],"&lt;="&amp;EOMONTH('Libro Mayor'!AK$9,0))</f>
        <v>0</v>
      </c>
      <c r="AL24" s="24">
        <f>SUMIFS(Libro_Diario[[Cantidad ]],Libro_Diario[[Tipo ]],Gastos[[#Headers],[Gastos]],Libro_Diario[[Categoria ]],Gastos[[#This Row],[Gastos]],Libro_Diario[Fecha],"&gt;="&amp;'Libro Mayor'!AL$9,Libro_Diario[Fecha],"&lt;="&amp;EOMONTH('Libro Mayor'!AL$9,0))</f>
        <v>0</v>
      </c>
      <c r="AM24" s="24">
        <f>SUMIFS(Libro_Diario[[Cantidad ]],Libro_Diario[[Tipo ]],Gastos[[#Headers],[Gastos]],Libro_Diario[[Categoria ]],Gastos[[#This Row],[Gastos]],Libro_Diario[Fecha],"&gt;="&amp;'Libro Mayor'!AM$9,Libro_Diario[Fecha],"&lt;="&amp;EOMONTH('Libro Mayor'!AM$9,0))</f>
        <v>0</v>
      </c>
      <c r="AN24" s="24">
        <f>SUMIFS(Libro_Diario[[Cantidad ]],Libro_Diario[[Tipo ]],Gastos[[#Headers],[Gastos]],Libro_Diario[[Categoria ]],Gastos[[#This Row],[Gastos]],Libro_Diario[Fecha],"&gt;="&amp;'Libro Mayor'!AN$9,Libro_Diario[Fecha],"&lt;="&amp;EOMONTH('Libro Mayor'!AN$9,0))</f>
        <v>0</v>
      </c>
      <c r="AO24" s="24">
        <f>SUMIFS(Libro_Diario[[Cantidad ]],Libro_Diario[[Tipo ]],Gastos[[#Headers],[Gastos]],Libro_Diario[[Categoria ]],Gastos[[#This Row],[Gastos]],Libro_Diario[Fecha],"&gt;="&amp;'Libro Mayor'!AO$9,Libro_Diario[Fecha],"&lt;="&amp;EOMONTH('Libro Mayor'!AO$9,0))</f>
        <v>0</v>
      </c>
      <c r="AP24" s="24">
        <f>SUMIFS(Libro_Diario[[Cantidad ]],Libro_Diario[[Tipo ]],Gastos[[#Headers],[Gastos]],Libro_Diario[[Categoria ]],Gastos[[#This Row],[Gastos]],Libro_Diario[Fecha],"&gt;="&amp;'Libro Mayor'!AP$9,Libro_Diario[Fecha],"&lt;="&amp;EOMONTH('Libro Mayor'!AP$9,0))</f>
        <v>0</v>
      </c>
      <c r="AQ24" s="24">
        <f>SUMIFS(Libro_Diario[[Cantidad ]],Libro_Diario[[Tipo ]],Gastos[[#Headers],[Gastos]],Libro_Diario[[Categoria ]],Gastos[[#This Row],[Gastos]],Libro_Diario[Fecha],"&gt;="&amp;'Libro Mayor'!AQ$9,Libro_Diario[Fecha],"&lt;="&amp;EOMONTH('Libro Mayor'!AQ$9,0))</f>
        <v>0</v>
      </c>
      <c r="AR24" s="24">
        <f>SUMIFS(Libro_Diario[Detalles],Libro_Diario[[Categoria ]],Gastos[[#Headers],[Gastos]],Libro_Diario[[Cantidad ]],Gastos[[#This Row],[Gastos]],Libro_Diario[[Tipo ]],"&gt;="&amp;'Libro Mayor'!AR$9,Libro_Diario[[Tipo ]],"&lt;="&amp;EOMONTH('Libro Mayor'!AR$9,0))</f>
        <v>0</v>
      </c>
      <c r="AS24" s="25">
        <f>SUM(AG24:AR24)</f>
        <v>0</v>
      </c>
      <c r="AU24" s="24">
        <f>SUMIFS(Libro_Diario[[Cantidad ]],Libro_Diario[[Tipo ]],Gastos[[#Headers],[Gastos]],Libro_Diario[[Categoria ]],Gastos[[#This Row],[Gastos]],Libro_Diario[Fecha],"&gt;="&amp;'Libro Mayor'!AU$9,Libro_Diario[Fecha],"&lt;="&amp;EOMONTH('Libro Mayor'!AU$9,0))</f>
        <v>0</v>
      </c>
      <c r="AV24" s="24">
        <f>SUMIFS(Libro_Diario[[Cantidad ]],Libro_Diario[[Tipo ]],Gastos[[#Headers],[Gastos]],Libro_Diario[[Categoria ]],Gastos[[#This Row],[Gastos]],Libro_Diario[Fecha],"&gt;="&amp;'Libro Mayor'!AV$9,Libro_Diario[Fecha],"&lt;="&amp;EOMONTH('Libro Mayor'!AV$9,0))</f>
        <v>0</v>
      </c>
      <c r="AW24" s="24">
        <f>SUMIFS(Libro_Diario[[Cantidad ]],Libro_Diario[[Tipo ]],Gastos[[#Headers],[Gastos]],Libro_Diario[[Categoria ]],Gastos[[#This Row],[Gastos]],Libro_Diario[Fecha],"&gt;="&amp;'Libro Mayor'!AW$9,Libro_Diario[Fecha],"&lt;="&amp;EOMONTH('Libro Mayor'!AW$9,0))</f>
        <v>0</v>
      </c>
      <c r="AX24" s="24">
        <f>SUMIFS(Libro_Diario[[Cantidad ]],Libro_Diario[[Tipo ]],Gastos[[#Headers],[Gastos]],Libro_Diario[[Categoria ]],Gastos[[#This Row],[Gastos]],Libro_Diario[Fecha],"&gt;="&amp;'Libro Mayor'!AX$9,Libro_Diario[Fecha],"&lt;="&amp;EOMONTH('Libro Mayor'!AX$9,0))</f>
        <v>0</v>
      </c>
      <c r="AY24" s="24">
        <f>SUMIFS(Libro_Diario[[Cantidad ]],Libro_Diario[[Tipo ]],Gastos[[#Headers],[Gastos]],Libro_Diario[[Categoria ]],Gastos[[#This Row],[Gastos]],Libro_Diario[Fecha],"&gt;="&amp;'Libro Mayor'!AY$9,Libro_Diario[Fecha],"&lt;="&amp;EOMONTH('Libro Mayor'!AY$9,0))</f>
        <v>0</v>
      </c>
      <c r="AZ24" s="24">
        <f>SUMIFS(Libro_Diario[[Cantidad ]],Libro_Diario[[Tipo ]],Gastos[[#Headers],[Gastos]],Libro_Diario[[Categoria ]],Gastos[[#This Row],[Gastos]],Libro_Diario[Fecha],"&gt;="&amp;'Libro Mayor'!AZ$9,Libro_Diario[Fecha],"&lt;="&amp;EOMONTH('Libro Mayor'!AZ$9,0))</f>
        <v>0</v>
      </c>
      <c r="BA24" s="24">
        <f>SUMIFS(Libro_Diario[[Cantidad ]],Libro_Diario[[Tipo ]],Gastos[[#Headers],[Gastos]],Libro_Diario[[Categoria ]],Gastos[[#This Row],[Gastos]],Libro_Diario[Fecha],"&gt;="&amp;'Libro Mayor'!BA$9,Libro_Diario[Fecha],"&lt;="&amp;EOMONTH('Libro Mayor'!BA$9,0))</f>
        <v>0</v>
      </c>
      <c r="BB24" s="24">
        <f>SUMIFS(Libro_Diario[[Cantidad ]],Libro_Diario[[Tipo ]],Gastos[[#Headers],[Gastos]],Libro_Diario[[Categoria ]],Gastos[[#This Row],[Gastos]],Libro_Diario[Fecha],"&gt;="&amp;'Libro Mayor'!BB$9,Libro_Diario[Fecha],"&lt;="&amp;EOMONTH('Libro Mayor'!BB$9,0))</f>
        <v>0</v>
      </c>
      <c r="BC24" s="24">
        <f>SUMIFS(Libro_Diario[[Cantidad ]],Libro_Diario[[Tipo ]],Gastos[[#Headers],[Gastos]],Libro_Diario[[Categoria ]],Gastos[[#This Row],[Gastos]],Libro_Diario[Fecha],"&gt;="&amp;'Libro Mayor'!BC$9,Libro_Diario[Fecha],"&lt;="&amp;EOMONTH('Libro Mayor'!BC$9,0))</f>
        <v>0</v>
      </c>
      <c r="BD24" s="24">
        <f>SUMIFS(Libro_Diario[[Cantidad ]],Libro_Diario[[Tipo ]],Gastos[[#Headers],[Gastos]],Libro_Diario[[Categoria ]],Gastos[[#This Row],[Gastos]],Libro_Diario[Fecha],"&gt;="&amp;'Libro Mayor'!BD$9,Libro_Diario[Fecha],"&lt;="&amp;EOMONTH('Libro Mayor'!BD$9,0))</f>
        <v>0</v>
      </c>
      <c r="BE24" s="24">
        <f>SUMIFS(Libro_Diario[[Cantidad ]],Libro_Diario[[Tipo ]],Gastos[[#Headers],[Gastos]],Libro_Diario[[Categoria ]],Gastos[[#This Row],[Gastos]],Libro_Diario[Fecha],"&gt;="&amp;'Libro Mayor'!BE$9,Libro_Diario[Fecha],"&lt;="&amp;EOMONTH('Libro Mayor'!BE$9,0))</f>
        <v>0</v>
      </c>
      <c r="BF24" s="24">
        <f>SUMIFS(Libro_Diario[Detalles],Libro_Diario[[Categoria ]],Gastos[[#Headers],[Gastos]],Libro_Diario[[Cantidad ]],Gastos[[#This Row],[Gastos]],Libro_Diario[[Tipo ]],"&gt;="&amp;'Libro Mayor'!BF$9,Libro_Diario[[Tipo ]],"&lt;="&amp;EOMONTH('Libro Mayor'!BF$9,0))</f>
        <v>0</v>
      </c>
      <c r="BG24" s="25">
        <f>SUM(AU24:BF24)</f>
        <v>0</v>
      </c>
      <c r="BI24" s="24">
        <f>SUMIFS(Libro_Diario[[Cantidad ]],Libro_Diario[[Tipo ]],Gastos[[#Headers],[Gastos]],Libro_Diario[[Categoria ]],Gastos[[#This Row],[Gastos]],Libro_Diario[Fecha],"&gt;="&amp;'Libro Mayor'!BI$9,Libro_Diario[Fecha],"&lt;="&amp;EOMONTH('Libro Mayor'!BI$9,0))</f>
        <v>0</v>
      </c>
      <c r="BJ24" s="24">
        <f>SUMIFS(Libro_Diario[[Cantidad ]],Libro_Diario[[Tipo ]],Gastos[[#Headers],[Gastos]],Libro_Diario[[Categoria ]],Gastos[[#This Row],[Gastos]],Libro_Diario[Fecha],"&gt;="&amp;'Libro Mayor'!BJ$9,Libro_Diario[Fecha],"&lt;="&amp;EOMONTH('Libro Mayor'!BJ$9,0))</f>
        <v>0</v>
      </c>
      <c r="BK24" s="24">
        <f>SUMIFS(Libro_Diario[[Cantidad ]],Libro_Diario[[Tipo ]],Gastos[[#Headers],[Gastos]],Libro_Diario[[Categoria ]],Gastos[[#This Row],[Gastos]],Libro_Diario[Fecha],"&gt;="&amp;'Libro Mayor'!BK$9,Libro_Diario[Fecha],"&lt;="&amp;EOMONTH('Libro Mayor'!BK$9,0))</f>
        <v>0</v>
      </c>
      <c r="BL24" s="24">
        <f>SUMIFS(Libro_Diario[[Cantidad ]],Libro_Diario[[Tipo ]],Gastos[[#Headers],[Gastos]],Libro_Diario[[Categoria ]],Gastos[[#This Row],[Gastos]],Libro_Diario[Fecha],"&gt;="&amp;'Libro Mayor'!BL$9,Libro_Diario[Fecha],"&lt;="&amp;EOMONTH('Libro Mayor'!BL$9,0))</f>
        <v>0</v>
      </c>
      <c r="BM24" s="24">
        <f>SUMIFS(Libro_Diario[[Cantidad ]],Libro_Diario[[Tipo ]],Gastos[[#Headers],[Gastos]],Libro_Diario[[Categoria ]],Gastos[[#This Row],[Gastos]],Libro_Diario[Fecha],"&gt;="&amp;'Libro Mayor'!BM$9,Libro_Diario[Fecha],"&lt;="&amp;EOMONTH('Libro Mayor'!BM$9,0))</f>
        <v>0</v>
      </c>
      <c r="BN24" s="24">
        <f>SUMIFS(Libro_Diario[[Cantidad ]],Libro_Diario[[Tipo ]],Gastos[[#Headers],[Gastos]],Libro_Diario[[Categoria ]],Gastos[[#This Row],[Gastos]],Libro_Diario[Fecha],"&gt;="&amp;'Libro Mayor'!BN$9,Libro_Diario[Fecha],"&lt;="&amp;EOMONTH('Libro Mayor'!BN$9,0))</f>
        <v>0</v>
      </c>
      <c r="BO24" s="24">
        <f>SUMIFS(Libro_Diario[[Cantidad ]],Libro_Diario[[Tipo ]],Gastos[[#Headers],[Gastos]],Libro_Diario[[Categoria ]],Gastos[[#This Row],[Gastos]],Libro_Diario[Fecha],"&gt;="&amp;'Libro Mayor'!BO$9,Libro_Diario[Fecha],"&lt;="&amp;EOMONTH('Libro Mayor'!BO$9,0))</f>
        <v>0</v>
      </c>
      <c r="BP24" s="24">
        <f>SUMIFS(Libro_Diario[[Cantidad ]],Libro_Diario[[Tipo ]],Gastos[[#Headers],[Gastos]],Libro_Diario[[Categoria ]],Gastos[[#This Row],[Gastos]],Libro_Diario[Fecha],"&gt;="&amp;'Libro Mayor'!BP$9,Libro_Diario[Fecha],"&lt;="&amp;EOMONTH('Libro Mayor'!BP$9,0))</f>
        <v>0</v>
      </c>
      <c r="BQ24" s="24">
        <f>SUMIFS(Libro_Diario[[Cantidad ]],Libro_Diario[[Tipo ]],Gastos[[#Headers],[Gastos]],Libro_Diario[[Categoria ]],Gastos[[#This Row],[Gastos]],Libro_Diario[Fecha],"&gt;="&amp;'Libro Mayor'!BQ$9,Libro_Diario[Fecha],"&lt;="&amp;EOMONTH('Libro Mayor'!BQ$9,0))</f>
        <v>0</v>
      </c>
      <c r="BR24" s="24">
        <f>SUMIFS(Libro_Diario[[Cantidad ]],Libro_Diario[[Tipo ]],Gastos[[#Headers],[Gastos]],Libro_Diario[[Categoria ]],Gastos[[#This Row],[Gastos]],Libro_Diario[Fecha],"&gt;="&amp;'Libro Mayor'!BR$9,Libro_Diario[Fecha],"&lt;="&amp;EOMONTH('Libro Mayor'!BR$9,0))</f>
        <v>0</v>
      </c>
      <c r="BS24" s="24">
        <f>SUMIFS(Libro_Diario[[Cantidad ]],Libro_Diario[[Tipo ]],Gastos[[#Headers],[Gastos]],Libro_Diario[[Categoria ]],Gastos[[#This Row],[Gastos]],Libro_Diario[Fecha],"&gt;="&amp;'Libro Mayor'!BS$9,Libro_Diario[Fecha],"&lt;="&amp;EOMONTH('Libro Mayor'!BS$9,0))</f>
        <v>0</v>
      </c>
      <c r="BT24" s="24">
        <f>SUMIFS(Libro_Diario[Detalles],Libro_Diario[[Categoria ]],Gastos[[#Headers],[Gastos]],Libro_Diario[[Cantidad ]],Gastos[[#This Row],[Gastos]],Libro_Diario[[Tipo ]],"&gt;="&amp;'Libro Mayor'!BT$9,Libro_Diario[[Tipo ]],"&lt;="&amp;EOMONTH('Libro Mayor'!BT$9,0))</f>
        <v>0</v>
      </c>
      <c r="BU24" s="25">
        <f>SUM(BI24:BT24)</f>
        <v>0</v>
      </c>
      <c r="BW24" s="24">
        <f>SUMIFS(Libro_Diario[[Cantidad ]],Libro_Diario[[Tipo ]],Gastos[[#Headers],[Gastos]],Libro_Diario[[Categoria ]],Gastos[[#This Row],[Gastos]],Libro_Diario[Fecha],"&gt;="&amp;'Libro Mayor'!BW$9,Libro_Diario[Fecha],"&lt;="&amp;EOMONTH('Libro Mayor'!BW$9,0))</f>
        <v>0</v>
      </c>
      <c r="BX24" s="24">
        <f>SUMIFS(Libro_Diario[[Cantidad ]],Libro_Diario[[Tipo ]],Gastos[[#Headers],[Gastos]],Libro_Diario[[Categoria ]],Gastos[[#This Row],[Gastos]],Libro_Diario[Fecha],"&gt;="&amp;'Libro Mayor'!BX$9,Libro_Diario[Fecha],"&lt;="&amp;EOMONTH('Libro Mayor'!BX$9,0))</f>
        <v>0</v>
      </c>
      <c r="BY24" s="24">
        <f>SUMIFS(Libro_Diario[[Cantidad ]],Libro_Diario[[Tipo ]],Gastos[[#Headers],[Gastos]],Libro_Diario[[Categoria ]],Gastos[[#This Row],[Gastos]],Libro_Diario[Fecha],"&gt;="&amp;'Libro Mayor'!BY$9,Libro_Diario[Fecha],"&lt;="&amp;EOMONTH('Libro Mayor'!BY$9,0))</f>
        <v>0</v>
      </c>
      <c r="BZ24" s="24">
        <f>SUMIFS(Libro_Diario[[Cantidad ]],Libro_Diario[[Tipo ]],Gastos[[#Headers],[Gastos]],Libro_Diario[[Categoria ]],Gastos[[#This Row],[Gastos]],Libro_Diario[Fecha],"&gt;="&amp;'Libro Mayor'!BZ$9,Libro_Diario[Fecha],"&lt;="&amp;EOMONTH('Libro Mayor'!BZ$9,0))</f>
        <v>0</v>
      </c>
      <c r="CA24" s="24">
        <f>SUMIFS(Libro_Diario[[Cantidad ]],Libro_Diario[[Tipo ]],Gastos[[#Headers],[Gastos]],Libro_Diario[[Categoria ]],Gastos[[#This Row],[Gastos]],Libro_Diario[Fecha],"&gt;="&amp;'Libro Mayor'!CA$9,Libro_Diario[Fecha],"&lt;="&amp;EOMONTH('Libro Mayor'!CA$9,0))</f>
        <v>0</v>
      </c>
      <c r="CB24" s="24">
        <f>SUMIFS(Libro_Diario[[Cantidad ]],Libro_Diario[[Tipo ]],Gastos[[#Headers],[Gastos]],Libro_Diario[[Categoria ]],Gastos[[#This Row],[Gastos]],Libro_Diario[Fecha],"&gt;="&amp;'Libro Mayor'!CB$9,Libro_Diario[Fecha],"&lt;="&amp;EOMONTH('Libro Mayor'!CB$9,0))</f>
        <v>0</v>
      </c>
      <c r="CC24" s="24">
        <f>SUMIFS(Libro_Diario[[Cantidad ]],Libro_Diario[[Tipo ]],Gastos[[#Headers],[Gastos]],Libro_Diario[[Categoria ]],Gastos[[#This Row],[Gastos]],Libro_Diario[Fecha],"&gt;="&amp;'Libro Mayor'!CC$9,Libro_Diario[Fecha],"&lt;="&amp;EOMONTH('Libro Mayor'!CC$9,0))</f>
        <v>0</v>
      </c>
      <c r="CD24" s="24">
        <f>SUMIFS(Libro_Diario[[Cantidad ]],Libro_Diario[[Tipo ]],Gastos[[#Headers],[Gastos]],Libro_Diario[[Categoria ]],Gastos[[#This Row],[Gastos]],Libro_Diario[Fecha],"&gt;="&amp;'Libro Mayor'!CD$9,Libro_Diario[Fecha],"&lt;="&amp;EOMONTH('Libro Mayor'!CD$9,0))</f>
        <v>0</v>
      </c>
      <c r="CE24" s="24">
        <f>SUMIFS(Libro_Diario[[Cantidad ]],Libro_Diario[[Tipo ]],Gastos[[#Headers],[Gastos]],Libro_Diario[[Categoria ]],Gastos[[#This Row],[Gastos]],Libro_Diario[Fecha],"&gt;="&amp;'Libro Mayor'!CE$9,Libro_Diario[Fecha],"&lt;="&amp;EOMONTH('Libro Mayor'!CE$9,0))</f>
        <v>0</v>
      </c>
      <c r="CF24" s="24">
        <f>SUMIFS(Libro_Diario[[Cantidad ]],Libro_Diario[[Tipo ]],Gastos[[#Headers],[Gastos]],Libro_Diario[[Categoria ]],Gastos[[#This Row],[Gastos]],Libro_Diario[Fecha],"&gt;="&amp;'Libro Mayor'!CF$9,Libro_Diario[Fecha],"&lt;="&amp;EOMONTH('Libro Mayor'!CF$9,0))</f>
        <v>0</v>
      </c>
      <c r="CG24" s="24">
        <f>SUMIFS(Libro_Diario[[Cantidad ]],Libro_Diario[[Tipo ]],Gastos[[#Headers],[Gastos]],Libro_Diario[[Categoria ]],Gastos[[#This Row],[Gastos]],Libro_Diario[Fecha],"&gt;="&amp;'Libro Mayor'!CG$9,Libro_Diario[Fecha],"&lt;="&amp;EOMONTH('Libro Mayor'!CG$9,0))</f>
        <v>0</v>
      </c>
      <c r="CH24" s="24">
        <f>SUMIFS(Libro_Diario[Detalles],Libro_Diario[[Categoria ]],Gastos[[#Headers],[Gastos]],Libro_Diario[[Cantidad ]],Gastos[[#This Row],[Gastos]],Libro_Diario[[Tipo ]],"&gt;="&amp;'Libro Mayor'!CH$9,Libro_Diario[[Tipo ]],"&lt;="&amp;EOMONTH('Libro Mayor'!CH$9,0))</f>
        <v>0</v>
      </c>
      <c r="CI24" s="25">
        <f>SUM(BW24:CH24)</f>
        <v>0</v>
      </c>
      <c r="CK24" s="24">
        <f>SUMIFS(Libro_Diario[[Cantidad ]],Libro_Diario[[Tipo ]],Gastos[[#Headers],[Gastos]],Libro_Diario[[Categoria ]],Gastos[[#This Row],[Gastos]],Libro_Diario[Fecha],"&gt;="&amp;'Libro Mayor'!CK$9,Libro_Diario[Fecha],"&lt;="&amp;EOMONTH('Libro Mayor'!CK$9,0))</f>
        <v>0</v>
      </c>
      <c r="CL24" s="24">
        <f>SUMIFS(Libro_Diario[[Cantidad ]],Libro_Diario[[Tipo ]],Gastos[[#Headers],[Gastos]],Libro_Diario[[Categoria ]],Gastos[[#This Row],[Gastos]],Libro_Diario[Fecha],"&gt;="&amp;'Libro Mayor'!CL$9,Libro_Diario[Fecha],"&lt;="&amp;EOMONTH('Libro Mayor'!CL$9,0))</f>
        <v>0</v>
      </c>
      <c r="CM24" s="24">
        <f>SUMIFS(Libro_Diario[[Cantidad ]],Libro_Diario[[Tipo ]],Gastos[[#Headers],[Gastos]],Libro_Diario[[Categoria ]],Gastos[[#This Row],[Gastos]],Libro_Diario[Fecha],"&gt;="&amp;'Libro Mayor'!CM$9,Libro_Diario[Fecha],"&lt;="&amp;EOMONTH('Libro Mayor'!CM$9,0))</f>
        <v>0</v>
      </c>
      <c r="CN24" s="24">
        <f>SUMIFS(Libro_Diario[[Cantidad ]],Libro_Diario[[Tipo ]],Gastos[[#Headers],[Gastos]],Libro_Diario[[Categoria ]],Gastos[[#This Row],[Gastos]],Libro_Diario[Fecha],"&gt;="&amp;'Libro Mayor'!CN$9,Libro_Diario[Fecha],"&lt;="&amp;EOMONTH('Libro Mayor'!CN$9,0))</f>
        <v>0</v>
      </c>
      <c r="CO24" s="24">
        <f>SUMIFS(Libro_Diario[[Cantidad ]],Libro_Diario[[Tipo ]],Gastos[[#Headers],[Gastos]],Libro_Diario[[Categoria ]],Gastos[[#This Row],[Gastos]],Libro_Diario[Fecha],"&gt;="&amp;'Libro Mayor'!CO$9,Libro_Diario[Fecha],"&lt;="&amp;EOMONTH('Libro Mayor'!CO$9,0))</f>
        <v>0</v>
      </c>
      <c r="CP24" s="24">
        <f>SUMIFS(Libro_Diario[[Cantidad ]],Libro_Diario[[Tipo ]],Gastos[[#Headers],[Gastos]],Libro_Diario[[Categoria ]],Gastos[[#This Row],[Gastos]],Libro_Diario[Fecha],"&gt;="&amp;'Libro Mayor'!CP$9,Libro_Diario[Fecha],"&lt;="&amp;EOMONTH('Libro Mayor'!CP$9,0))</f>
        <v>0</v>
      </c>
      <c r="CQ24" s="24">
        <f>SUMIFS(Libro_Diario[[Cantidad ]],Libro_Diario[[Tipo ]],Gastos[[#Headers],[Gastos]],Libro_Diario[[Categoria ]],Gastos[[#This Row],[Gastos]],Libro_Diario[Fecha],"&gt;="&amp;'Libro Mayor'!CQ$9,Libro_Diario[Fecha],"&lt;="&amp;EOMONTH('Libro Mayor'!CQ$9,0))</f>
        <v>0</v>
      </c>
      <c r="CR24" s="24">
        <f>SUMIFS(Libro_Diario[[Cantidad ]],Libro_Diario[[Tipo ]],Gastos[[#Headers],[Gastos]],Libro_Diario[[Categoria ]],Gastos[[#This Row],[Gastos]],Libro_Diario[Fecha],"&gt;="&amp;'Libro Mayor'!CR$9,Libro_Diario[Fecha],"&lt;="&amp;EOMONTH('Libro Mayor'!CR$9,0))</f>
        <v>0</v>
      </c>
      <c r="CS24" s="24">
        <f>SUMIFS(Libro_Diario[[Cantidad ]],Libro_Diario[[Tipo ]],Gastos[[#Headers],[Gastos]],Libro_Diario[[Categoria ]],Gastos[[#This Row],[Gastos]],Libro_Diario[Fecha],"&gt;="&amp;'Libro Mayor'!CS$9,Libro_Diario[Fecha],"&lt;="&amp;EOMONTH('Libro Mayor'!CS$9,0))</f>
        <v>0</v>
      </c>
      <c r="CT24" s="24">
        <f>SUMIFS(Libro_Diario[[Cantidad ]],Libro_Diario[[Tipo ]],Gastos[[#Headers],[Gastos]],Libro_Diario[[Categoria ]],Gastos[[#This Row],[Gastos]],Libro_Diario[Fecha],"&gt;="&amp;'Libro Mayor'!CT$9,Libro_Diario[Fecha],"&lt;="&amp;EOMONTH('Libro Mayor'!CT$9,0))</f>
        <v>0</v>
      </c>
      <c r="CU24" s="24">
        <f>SUMIFS(Libro_Diario[[Cantidad ]],Libro_Diario[[Tipo ]],Gastos[[#Headers],[Gastos]],Libro_Diario[[Categoria ]],Gastos[[#This Row],[Gastos]],Libro_Diario[Fecha],"&gt;="&amp;'Libro Mayor'!CU$9,Libro_Diario[Fecha],"&lt;="&amp;EOMONTH('Libro Mayor'!CU$9,0))</f>
        <v>0</v>
      </c>
      <c r="CV24" s="24">
        <f>SUMIFS(Libro_Diario[Detalles],Libro_Diario[[Categoria ]],Gastos[[#Headers],[Gastos]],Libro_Diario[[Cantidad ]],Gastos[[#This Row],[Gastos]],Libro_Diario[[Tipo ]],"&gt;="&amp;'Libro Mayor'!CV$9,Libro_Diario[[Tipo ]],"&lt;="&amp;EOMONTH('Libro Mayor'!CV$9,0))</f>
        <v>0</v>
      </c>
      <c r="CW24" s="25">
        <f>SUM(CK24:CV24)</f>
        <v>0</v>
      </c>
      <c r="CY24" s="24">
        <f>SUMIFS(Libro_Diario[[Cantidad ]],Libro_Diario[[Tipo ]],Gastos[[#Headers],[Gastos]],Libro_Diario[[Categoria ]],Gastos[[#This Row],[Gastos]],Libro_Diario[Fecha],"&gt;="&amp;'Libro Mayor'!CY$9,Libro_Diario[Fecha],"&lt;="&amp;EOMONTH('Libro Mayor'!CY$9,0))</f>
        <v>0</v>
      </c>
      <c r="CZ24" s="24">
        <f>SUMIFS(Libro_Diario[[Cantidad ]],Libro_Diario[[Tipo ]],Gastos[[#Headers],[Gastos]],Libro_Diario[[Categoria ]],Gastos[[#This Row],[Gastos]],Libro_Diario[Fecha],"&gt;="&amp;'Libro Mayor'!CZ$9,Libro_Diario[Fecha],"&lt;="&amp;EOMONTH('Libro Mayor'!CZ$9,0))</f>
        <v>0</v>
      </c>
      <c r="DA24" s="24">
        <f>SUMIFS(Libro_Diario[[Cantidad ]],Libro_Diario[[Tipo ]],Gastos[[#Headers],[Gastos]],Libro_Diario[[Categoria ]],Gastos[[#This Row],[Gastos]],Libro_Diario[Fecha],"&gt;="&amp;'Libro Mayor'!DA$9,Libro_Diario[Fecha],"&lt;="&amp;EOMONTH('Libro Mayor'!DA$9,0))</f>
        <v>0</v>
      </c>
      <c r="DB24" s="24">
        <f>SUMIFS(Libro_Diario[[Cantidad ]],Libro_Diario[[Tipo ]],Gastos[[#Headers],[Gastos]],Libro_Diario[[Categoria ]],Gastos[[#This Row],[Gastos]],Libro_Diario[Fecha],"&gt;="&amp;'Libro Mayor'!DB$9,Libro_Diario[Fecha],"&lt;="&amp;EOMONTH('Libro Mayor'!DB$9,0))</f>
        <v>0</v>
      </c>
      <c r="DC24" s="24">
        <f>SUMIFS(Libro_Diario[[Cantidad ]],Libro_Diario[[Tipo ]],Gastos[[#Headers],[Gastos]],Libro_Diario[[Categoria ]],Gastos[[#This Row],[Gastos]],Libro_Diario[Fecha],"&gt;="&amp;'Libro Mayor'!DC$9,Libro_Diario[Fecha],"&lt;="&amp;EOMONTH('Libro Mayor'!DC$9,0))</f>
        <v>0</v>
      </c>
      <c r="DD24" s="24">
        <f>SUMIFS(Libro_Diario[[Cantidad ]],Libro_Diario[[Tipo ]],Gastos[[#Headers],[Gastos]],Libro_Diario[[Categoria ]],Gastos[[#This Row],[Gastos]],Libro_Diario[Fecha],"&gt;="&amp;'Libro Mayor'!DD$9,Libro_Diario[Fecha],"&lt;="&amp;EOMONTH('Libro Mayor'!DD$9,0))</f>
        <v>0</v>
      </c>
      <c r="DE24" s="24">
        <f>SUMIFS(Libro_Diario[[Cantidad ]],Libro_Diario[[Tipo ]],Gastos[[#Headers],[Gastos]],Libro_Diario[[Categoria ]],Gastos[[#This Row],[Gastos]],Libro_Diario[Fecha],"&gt;="&amp;'Libro Mayor'!DE$9,Libro_Diario[Fecha],"&lt;="&amp;EOMONTH('Libro Mayor'!DE$9,0))</f>
        <v>0</v>
      </c>
      <c r="DF24" s="24">
        <f>SUMIFS(Libro_Diario[[Cantidad ]],Libro_Diario[[Tipo ]],Gastos[[#Headers],[Gastos]],Libro_Diario[[Categoria ]],Gastos[[#This Row],[Gastos]],Libro_Diario[Fecha],"&gt;="&amp;'Libro Mayor'!DF$9,Libro_Diario[Fecha],"&lt;="&amp;EOMONTH('Libro Mayor'!DF$9,0))</f>
        <v>0</v>
      </c>
      <c r="DG24" s="24">
        <f>SUMIFS(Libro_Diario[[Cantidad ]],Libro_Diario[[Tipo ]],Gastos[[#Headers],[Gastos]],Libro_Diario[[Categoria ]],Gastos[[#This Row],[Gastos]],Libro_Diario[Fecha],"&gt;="&amp;'Libro Mayor'!DG$9,Libro_Diario[Fecha],"&lt;="&amp;EOMONTH('Libro Mayor'!DG$9,0))</f>
        <v>0</v>
      </c>
      <c r="DH24" s="24">
        <f>SUMIFS(Libro_Diario[[Cantidad ]],Libro_Diario[[Tipo ]],Gastos[[#Headers],[Gastos]],Libro_Diario[[Categoria ]],Gastos[[#This Row],[Gastos]],Libro_Diario[Fecha],"&gt;="&amp;'Libro Mayor'!DH$9,Libro_Diario[Fecha],"&lt;="&amp;EOMONTH('Libro Mayor'!DH$9,0))</f>
        <v>0</v>
      </c>
      <c r="DI24" s="24">
        <f>SUMIFS(Libro_Diario[[Cantidad ]],Libro_Diario[[Tipo ]],Gastos[[#Headers],[Gastos]],Libro_Diario[[Categoria ]],Gastos[[#This Row],[Gastos]],Libro_Diario[Fecha],"&gt;="&amp;'Libro Mayor'!DI$9,Libro_Diario[Fecha],"&lt;="&amp;EOMONTH('Libro Mayor'!DI$9,0))</f>
        <v>0</v>
      </c>
      <c r="DJ24" s="24">
        <f>SUMIFS(Libro_Diario[Detalles],Libro_Diario[[Categoria ]],Gastos[[#Headers],[Gastos]],Libro_Diario[[Cantidad ]],Gastos[[#This Row],[Gastos]],Libro_Diario[[Tipo ]],"&gt;="&amp;'Libro Mayor'!DJ$9,Libro_Diario[[Tipo ]],"&lt;="&amp;EOMONTH('Libro Mayor'!DJ$9,0))</f>
        <v>0</v>
      </c>
      <c r="DK24" s="25">
        <f>SUM(CY24:DJ24)</f>
        <v>0</v>
      </c>
      <c r="DM24" s="24">
        <f>SUMIFS(Libro_Diario[[Cantidad ]],Libro_Diario[[Tipo ]],Gastos[[#Headers],[Gastos]],Libro_Diario[[Categoria ]],Gastos[[#This Row],[Gastos]],Libro_Diario[Fecha],"&gt;="&amp;'Libro Mayor'!DM$9,Libro_Diario[Fecha],"&lt;="&amp;EOMONTH('Libro Mayor'!DM$9,0))</f>
        <v>0</v>
      </c>
      <c r="DN24" s="24">
        <f>SUMIFS(Libro_Diario[[Cantidad ]],Libro_Diario[[Tipo ]],Gastos[[#Headers],[Gastos]],Libro_Diario[[Categoria ]],Gastos[[#This Row],[Gastos]],Libro_Diario[Fecha],"&gt;="&amp;'Libro Mayor'!DN$9,Libro_Diario[Fecha],"&lt;="&amp;EOMONTH('Libro Mayor'!DN$9,0))</f>
        <v>0</v>
      </c>
      <c r="DO24" s="24">
        <f>SUMIFS(Libro_Diario[[Cantidad ]],Libro_Diario[[Tipo ]],Gastos[[#Headers],[Gastos]],Libro_Diario[[Categoria ]],Gastos[[#This Row],[Gastos]],Libro_Diario[Fecha],"&gt;="&amp;'Libro Mayor'!DO$9,Libro_Diario[Fecha],"&lt;="&amp;EOMONTH('Libro Mayor'!DO$9,0))</f>
        <v>0</v>
      </c>
      <c r="DP24" s="24">
        <f>SUMIFS(Libro_Diario[[Cantidad ]],Libro_Diario[[Tipo ]],Gastos[[#Headers],[Gastos]],Libro_Diario[[Categoria ]],Gastos[[#This Row],[Gastos]],Libro_Diario[Fecha],"&gt;="&amp;'Libro Mayor'!DP$9,Libro_Diario[Fecha],"&lt;="&amp;EOMONTH('Libro Mayor'!DP$9,0))</f>
        <v>0</v>
      </c>
      <c r="DQ24" s="24">
        <f>SUMIFS(Libro_Diario[[Cantidad ]],Libro_Diario[[Tipo ]],Gastos[[#Headers],[Gastos]],Libro_Diario[[Categoria ]],Gastos[[#This Row],[Gastos]],Libro_Diario[Fecha],"&gt;="&amp;'Libro Mayor'!DQ$9,Libro_Diario[Fecha],"&lt;="&amp;EOMONTH('Libro Mayor'!DQ$9,0))</f>
        <v>0</v>
      </c>
      <c r="DR24" s="24">
        <f>SUMIFS(Libro_Diario[[Cantidad ]],Libro_Diario[[Tipo ]],Gastos[[#Headers],[Gastos]],Libro_Diario[[Categoria ]],Gastos[[#This Row],[Gastos]],Libro_Diario[Fecha],"&gt;="&amp;'Libro Mayor'!DR$9,Libro_Diario[Fecha],"&lt;="&amp;EOMONTH('Libro Mayor'!DR$9,0))</f>
        <v>0</v>
      </c>
      <c r="DS24" s="24">
        <f>SUMIFS(Libro_Diario[[Cantidad ]],Libro_Diario[[Tipo ]],Gastos[[#Headers],[Gastos]],Libro_Diario[[Categoria ]],Gastos[[#This Row],[Gastos]],Libro_Diario[Fecha],"&gt;="&amp;'Libro Mayor'!DS$9,Libro_Diario[Fecha],"&lt;="&amp;EOMONTH('Libro Mayor'!DS$9,0))</f>
        <v>0</v>
      </c>
      <c r="DT24" s="24">
        <f>SUMIFS(Libro_Diario[[Cantidad ]],Libro_Diario[[Tipo ]],Gastos[[#Headers],[Gastos]],Libro_Diario[[Categoria ]],Gastos[[#This Row],[Gastos]],Libro_Diario[Fecha],"&gt;="&amp;'Libro Mayor'!DT$9,Libro_Diario[Fecha],"&lt;="&amp;EOMONTH('Libro Mayor'!DT$9,0))</f>
        <v>0</v>
      </c>
      <c r="DU24" s="24">
        <f>SUMIFS(Libro_Diario[[Cantidad ]],Libro_Diario[[Tipo ]],Gastos[[#Headers],[Gastos]],Libro_Diario[[Categoria ]],Gastos[[#This Row],[Gastos]],Libro_Diario[Fecha],"&gt;="&amp;'Libro Mayor'!DU$9,Libro_Diario[Fecha],"&lt;="&amp;EOMONTH('Libro Mayor'!DU$9,0))</f>
        <v>0</v>
      </c>
      <c r="DV24" s="24">
        <f>SUMIFS(Libro_Diario[[Cantidad ]],Libro_Diario[[Tipo ]],Gastos[[#Headers],[Gastos]],Libro_Diario[[Categoria ]],Gastos[[#This Row],[Gastos]],Libro_Diario[Fecha],"&gt;="&amp;'Libro Mayor'!DV$9,Libro_Diario[Fecha],"&lt;="&amp;EOMONTH('Libro Mayor'!DV$9,0))</f>
        <v>0</v>
      </c>
      <c r="DW24" s="24">
        <f>SUMIFS(Libro_Diario[[Cantidad ]],Libro_Diario[[Tipo ]],Gastos[[#Headers],[Gastos]],Libro_Diario[[Categoria ]],Gastos[[#This Row],[Gastos]],Libro_Diario[Fecha],"&gt;="&amp;'Libro Mayor'!DW$9,Libro_Diario[Fecha],"&lt;="&amp;EOMONTH('Libro Mayor'!DW$9,0))</f>
        <v>0</v>
      </c>
      <c r="DX24" s="24">
        <f>SUMIFS(Libro_Diario[Detalles],Libro_Diario[[Categoria ]],Gastos[[#Headers],[Gastos]],Libro_Diario[[Cantidad ]],Gastos[[#This Row],[Gastos]],Libro_Diario[[Tipo ]],"&gt;="&amp;'Libro Mayor'!DX$9,Libro_Diario[[Tipo ]],"&lt;="&amp;EOMONTH('Libro Mayor'!DX$9,0))</f>
        <v>0</v>
      </c>
      <c r="DY24" s="25">
        <f>SUM(DM24:DX24)</f>
        <v>0</v>
      </c>
      <c r="EA24" s="24">
        <f>SUMIFS(Libro_Diario[[Cantidad ]],Libro_Diario[[Tipo ]],Gastos[[#Headers],[Gastos]],Libro_Diario[[Categoria ]],Gastos[[#This Row],[Gastos]],Libro_Diario[Fecha],"&gt;="&amp;'Libro Mayor'!EA$9,Libro_Diario[Fecha],"&lt;="&amp;EOMONTH('Libro Mayor'!EA$9,0))</f>
        <v>0</v>
      </c>
      <c r="EB24" s="24">
        <f>SUMIFS(Libro_Diario[[Cantidad ]],Libro_Diario[[Tipo ]],Gastos[[#Headers],[Gastos]],Libro_Diario[[Categoria ]],Gastos[[#This Row],[Gastos]],Libro_Diario[Fecha],"&gt;="&amp;'Libro Mayor'!EB$9,Libro_Diario[Fecha],"&lt;="&amp;EOMONTH('Libro Mayor'!EB$9,0))</f>
        <v>0</v>
      </c>
      <c r="EC24" s="24">
        <f>SUMIFS(Libro_Diario[[Cantidad ]],Libro_Diario[[Tipo ]],Gastos[[#Headers],[Gastos]],Libro_Diario[[Categoria ]],Gastos[[#This Row],[Gastos]],Libro_Diario[Fecha],"&gt;="&amp;'Libro Mayor'!EC$9,Libro_Diario[Fecha],"&lt;="&amp;EOMONTH('Libro Mayor'!EC$9,0))</f>
        <v>0</v>
      </c>
      <c r="ED24" s="24">
        <f>SUMIFS(Libro_Diario[[Cantidad ]],Libro_Diario[[Tipo ]],Gastos[[#Headers],[Gastos]],Libro_Diario[[Categoria ]],Gastos[[#This Row],[Gastos]],Libro_Diario[Fecha],"&gt;="&amp;'Libro Mayor'!ED$9,Libro_Diario[Fecha],"&lt;="&amp;EOMONTH('Libro Mayor'!ED$9,0))</f>
        <v>0</v>
      </c>
      <c r="EE24" s="24">
        <f>SUMIFS(Libro_Diario[[Cantidad ]],Libro_Diario[[Tipo ]],Gastos[[#Headers],[Gastos]],Libro_Diario[[Categoria ]],Gastos[[#This Row],[Gastos]],Libro_Diario[Fecha],"&gt;="&amp;'Libro Mayor'!EE$9,Libro_Diario[Fecha],"&lt;="&amp;EOMONTH('Libro Mayor'!EE$9,0))</f>
        <v>0</v>
      </c>
      <c r="EF24" s="24">
        <f>SUMIFS(Libro_Diario[[Cantidad ]],Libro_Diario[[Tipo ]],Gastos[[#Headers],[Gastos]],Libro_Diario[[Categoria ]],Gastos[[#This Row],[Gastos]],Libro_Diario[Fecha],"&gt;="&amp;'Libro Mayor'!EF$9,Libro_Diario[Fecha],"&lt;="&amp;EOMONTH('Libro Mayor'!EF$9,0))</f>
        <v>0</v>
      </c>
      <c r="EG24" s="24">
        <f>SUMIFS(Libro_Diario[[Cantidad ]],Libro_Diario[[Tipo ]],Gastos[[#Headers],[Gastos]],Libro_Diario[[Categoria ]],Gastos[[#This Row],[Gastos]],Libro_Diario[Fecha],"&gt;="&amp;'Libro Mayor'!EG$9,Libro_Diario[Fecha],"&lt;="&amp;EOMONTH('Libro Mayor'!EG$9,0))</f>
        <v>0</v>
      </c>
      <c r="EH24" s="24">
        <f>SUMIFS(Libro_Diario[[Cantidad ]],Libro_Diario[[Tipo ]],Gastos[[#Headers],[Gastos]],Libro_Diario[[Categoria ]],Gastos[[#This Row],[Gastos]],Libro_Diario[Fecha],"&gt;="&amp;'Libro Mayor'!EH$9,Libro_Diario[Fecha],"&lt;="&amp;EOMONTH('Libro Mayor'!EH$9,0))</f>
        <v>0</v>
      </c>
      <c r="EI24" s="24">
        <f>SUMIFS(Libro_Diario[[Cantidad ]],Libro_Diario[[Tipo ]],Gastos[[#Headers],[Gastos]],Libro_Diario[[Categoria ]],Gastos[[#This Row],[Gastos]],Libro_Diario[Fecha],"&gt;="&amp;'Libro Mayor'!EI$9,Libro_Diario[Fecha],"&lt;="&amp;EOMONTH('Libro Mayor'!EI$9,0))</f>
        <v>0</v>
      </c>
      <c r="EJ24" s="24">
        <f>SUMIFS(Libro_Diario[[Cantidad ]],Libro_Diario[[Tipo ]],Gastos[[#Headers],[Gastos]],Libro_Diario[[Categoria ]],Gastos[[#This Row],[Gastos]],Libro_Diario[Fecha],"&gt;="&amp;'Libro Mayor'!EJ$9,Libro_Diario[Fecha],"&lt;="&amp;EOMONTH('Libro Mayor'!EJ$9,0))</f>
        <v>0</v>
      </c>
      <c r="EK24" s="24">
        <f>SUMIFS(Libro_Diario[[Cantidad ]],Libro_Diario[[Tipo ]],Gastos[[#Headers],[Gastos]],Libro_Diario[[Categoria ]],Gastos[[#This Row],[Gastos]],Libro_Diario[Fecha],"&gt;="&amp;'Libro Mayor'!EK$9,Libro_Diario[Fecha],"&lt;="&amp;EOMONTH('Libro Mayor'!EK$9,0))</f>
        <v>0</v>
      </c>
      <c r="EL24" s="24">
        <f>SUMIFS(Libro_Diario[Detalles],Libro_Diario[[Categoria ]],Gastos[[#Headers],[Gastos]],Libro_Diario[[Cantidad ]],Gastos[[#This Row],[Gastos]],Libro_Diario[[Tipo ]],"&gt;="&amp;'Libro Mayor'!EL$9,Libro_Diario[[Tipo ]],"&lt;="&amp;EOMONTH('Libro Mayor'!EL$9,0))</f>
        <v>0</v>
      </c>
      <c r="EM24" s="25">
        <f>SUM(EA24:EL24)</f>
        <v>0</v>
      </c>
      <c r="EO24" s="24">
        <f>SUMIFS(Libro_Diario[[Cantidad ]],Libro_Diario[[Tipo ]],Gastos[[#Headers],[Gastos]],Libro_Diario[[Categoria ]],Gastos[[#This Row],[Gastos]],Libro_Diario[Fecha],"&gt;="&amp;'Libro Mayor'!EO$9,Libro_Diario[Fecha],"&lt;="&amp;EOMONTH('Libro Mayor'!EO$9,0))</f>
        <v>0</v>
      </c>
      <c r="EP24" s="24">
        <f>SUMIFS(Libro_Diario[[Cantidad ]],Libro_Diario[[Tipo ]],Gastos[[#Headers],[Gastos]],Libro_Diario[[Categoria ]],Gastos[[#This Row],[Gastos]],Libro_Diario[Fecha],"&gt;="&amp;'Libro Mayor'!EP$9,Libro_Diario[Fecha],"&lt;="&amp;EOMONTH('Libro Mayor'!EP$9,0))</f>
        <v>0</v>
      </c>
      <c r="EQ24" s="24">
        <f>SUMIFS(Libro_Diario[[Cantidad ]],Libro_Diario[[Tipo ]],Gastos[[#Headers],[Gastos]],Libro_Diario[[Categoria ]],Gastos[[#This Row],[Gastos]],Libro_Diario[Fecha],"&gt;="&amp;'Libro Mayor'!EQ$9,Libro_Diario[Fecha],"&lt;="&amp;EOMONTH('Libro Mayor'!EQ$9,0))</f>
        <v>0</v>
      </c>
      <c r="ER24" s="24">
        <f>SUMIFS(Libro_Diario[[Cantidad ]],Libro_Diario[[Tipo ]],Gastos[[#Headers],[Gastos]],Libro_Diario[[Categoria ]],Gastos[[#This Row],[Gastos]],Libro_Diario[Fecha],"&gt;="&amp;'Libro Mayor'!ER$9,Libro_Diario[Fecha],"&lt;="&amp;EOMONTH('Libro Mayor'!ER$9,0))</f>
        <v>0</v>
      </c>
      <c r="ES24" s="24">
        <f>SUMIFS(Libro_Diario[[Cantidad ]],Libro_Diario[[Tipo ]],Gastos[[#Headers],[Gastos]],Libro_Diario[[Categoria ]],Gastos[[#This Row],[Gastos]],Libro_Diario[Fecha],"&gt;="&amp;'Libro Mayor'!ES$9,Libro_Diario[Fecha],"&lt;="&amp;EOMONTH('Libro Mayor'!ES$9,0))</f>
        <v>0</v>
      </c>
      <c r="ET24" s="24">
        <f>SUMIFS(Libro_Diario[[Cantidad ]],Libro_Diario[[Tipo ]],Gastos[[#Headers],[Gastos]],Libro_Diario[[Categoria ]],Gastos[[#This Row],[Gastos]],Libro_Diario[Fecha],"&gt;="&amp;'Libro Mayor'!ET$9,Libro_Diario[Fecha],"&lt;="&amp;EOMONTH('Libro Mayor'!ET$9,0))</f>
        <v>0</v>
      </c>
      <c r="EU24" s="24">
        <f>SUMIFS(Libro_Diario[[Cantidad ]],Libro_Diario[[Tipo ]],Gastos[[#Headers],[Gastos]],Libro_Diario[[Categoria ]],Gastos[[#This Row],[Gastos]],Libro_Diario[Fecha],"&gt;="&amp;'Libro Mayor'!EU$9,Libro_Diario[Fecha],"&lt;="&amp;EOMONTH('Libro Mayor'!EU$9,0))</f>
        <v>0</v>
      </c>
      <c r="EV24" s="24">
        <f>SUMIFS(Libro_Diario[[Cantidad ]],Libro_Diario[[Tipo ]],Gastos[[#Headers],[Gastos]],Libro_Diario[[Categoria ]],Gastos[[#This Row],[Gastos]],Libro_Diario[Fecha],"&gt;="&amp;'Libro Mayor'!EV$9,Libro_Diario[Fecha],"&lt;="&amp;EOMONTH('Libro Mayor'!EV$9,0))</f>
        <v>0</v>
      </c>
      <c r="EW24" s="24">
        <f>SUMIFS(Libro_Diario[[Cantidad ]],Libro_Diario[[Tipo ]],Gastos[[#Headers],[Gastos]],Libro_Diario[[Categoria ]],Gastos[[#This Row],[Gastos]],Libro_Diario[Fecha],"&gt;="&amp;'Libro Mayor'!EW$9,Libro_Diario[Fecha],"&lt;="&amp;EOMONTH('Libro Mayor'!EW$9,0))</f>
        <v>0</v>
      </c>
      <c r="EX24" s="24">
        <f>SUMIFS(Libro_Diario[[Cantidad ]],Libro_Diario[[Tipo ]],Gastos[[#Headers],[Gastos]],Libro_Diario[[Categoria ]],Gastos[[#This Row],[Gastos]],Libro_Diario[Fecha],"&gt;="&amp;'Libro Mayor'!EX$9,Libro_Diario[Fecha],"&lt;="&amp;EOMONTH('Libro Mayor'!EX$9,0))</f>
        <v>0</v>
      </c>
      <c r="EY24" s="24">
        <f>SUMIFS(Libro_Diario[[Cantidad ]],Libro_Diario[[Tipo ]],Gastos[[#Headers],[Gastos]],Libro_Diario[[Categoria ]],Gastos[[#This Row],[Gastos]],Libro_Diario[Fecha],"&gt;="&amp;'Libro Mayor'!EY$9,Libro_Diario[Fecha],"&lt;="&amp;EOMONTH('Libro Mayor'!EY$9,0))</f>
        <v>0</v>
      </c>
      <c r="EZ24" s="24">
        <f>SUMIFS(Libro_Diario[[Cantidad ]],Libro_Diario[[Tipo ]],Gastos[[#Headers],[Gastos]],Libro_Diario[[Categoria ]],Gastos[[#This Row],[Gastos]],Libro_Diario[Fecha],"&gt;="&amp;'Libro Mayor'!EZ$9,Libro_Diario[Fecha],"&lt;="&amp;EOMONTH('Libro Mayor'!EZ$9,0))</f>
        <v>0</v>
      </c>
      <c r="FA24" s="25">
        <f t="shared" ref="FA24:FA34" si="22">SUM(EO24:EZ24)</f>
        <v>0</v>
      </c>
    </row>
    <row r="25" spans="3:157" x14ac:dyDescent="0.3">
      <c r="C25" s="17" t="s">
        <v>20</v>
      </c>
      <c r="D25" s="23"/>
      <c r="E25" s="24">
        <f>SUMIFS(Libro_Diario[[Cantidad ]],Libro_Diario[[Tipo ]],Gastos[[#Headers],[Gastos]],Libro_Diario[[Categoria ]],Gastos[[#This Row],[Gastos]],Libro_Diario[Fecha],"&gt;="&amp;'Libro Mayor'!E$9,Libro_Diario[Fecha],"&lt;="&amp;EOMONTH('Libro Mayor'!E$9,0))</f>
        <v>0</v>
      </c>
      <c r="F25" s="24">
        <f>SUMIFS(Libro_Diario[[Cantidad ]],Libro_Diario[[Tipo ]],Gastos[[#Headers],[Gastos]],Libro_Diario[[Categoria ]],Gastos[[#This Row],[Gastos]],Libro_Diario[Fecha],"&gt;="&amp;'Libro Mayor'!F$9,Libro_Diario[Fecha],"&lt;="&amp;EOMONTH('Libro Mayor'!F$9,0))</f>
        <v>0</v>
      </c>
      <c r="G25" s="24">
        <f>SUMIFS(Libro_Diario[[Cantidad ]],Libro_Diario[[Tipo ]],Gastos[[#Headers],[Gastos]],Libro_Diario[[Categoria ]],Gastos[[#This Row],[Gastos]],Libro_Diario[Fecha],"&gt;="&amp;'Libro Mayor'!G$9,Libro_Diario[Fecha],"&lt;="&amp;EOMONTH('Libro Mayor'!G$9,0))</f>
        <v>0</v>
      </c>
      <c r="H25" s="24">
        <f>SUMIFS(Libro_Diario[[Cantidad ]],Libro_Diario[[Tipo ]],Gastos[[#Headers],[Gastos]],Libro_Diario[[Categoria ]],Gastos[[#This Row],[Gastos]],Libro_Diario[Fecha],"&gt;="&amp;'Libro Mayor'!H$9,Libro_Diario[Fecha],"&lt;="&amp;EOMONTH('Libro Mayor'!H$9,0))</f>
        <v>0</v>
      </c>
      <c r="I25" s="24">
        <f>SUMIFS(Libro_Diario[[Cantidad ]],Libro_Diario[[Tipo ]],Gastos[[#Headers],[Gastos]],Libro_Diario[[Categoria ]],Gastos[[#This Row],[Gastos]],Libro_Diario[Fecha],"&gt;="&amp;'Libro Mayor'!I$9,Libro_Diario[Fecha],"&lt;="&amp;EOMONTH('Libro Mayor'!I$9,0))</f>
        <v>0</v>
      </c>
      <c r="J25" s="24">
        <f>SUMIFS(Libro_Diario[[Cantidad ]],Libro_Diario[[Tipo ]],Gastos[[#Headers],[Gastos]],Libro_Diario[[Categoria ]],Gastos[[#This Row],[Gastos]],Libro_Diario[Fecha],"&gt;="&amp;'Libro Mayor'!J$9,Libro_Diario[Fecha],"&lt;="&amp;EOMONTH('Libro Mayor'!J$9,0))</f>
        <v>0</v>
      </c>
      <c r="K25" s="24">
        <f>SUMIFS(Libro_Diario[[Cantidad ]],Libro_Diario[[Tipo ]],Gastos[[#Headers],[Gastos]],Libro_Diario[[Categoria ]],Gastos[[#This Row],[Gastos]],Libro_Diario[Fecha],"&gt;="&amp;'Libro Mayor'!K$9,Libro_Diario[Fecha],"&lt;="&amp;EOMONTH('Libro Mayor'!K$9,0))</f>
        <v>0</v>
      </c>
      <c r="L25" s="24">
        <f>SUMIFS(Libro_Diario[[Cantidad ]],Libro_Diario[[Tipo ]],Gastos[[#Headers],[Gastos]],Libro_Diario[[Categoria ]],Gastos[[#This Row],[Gastos]],Libro_Diario[Fecha],"&gt;="&amp;'Libro Mayor'!L$9,Libro_Diario[Fecha],"&lt;="&amp;EOMONTH('Libro Mayor'!L$9,0))</f>
        <v>0</v>
      </c>
      <c r="M25" s="24">
        <f>SUMIFS(Libro_Diario[[Cantidad ]],Libro_Diario[[Tipo ]],Gastos[[#Headers],[Gastos]],Libro_Diario[[Categoria ]],Gastos[[#This Row],[Gastos]],Libro_Diario[Fecha],"&gt;="&amp;'Libro Mayor'!M$9,Libro_Diario[Fecha],"&lt;="&amp;EOMONTH('Libro Mayor'!M$9,0))</f>
        <v>0</v>
      </c>
      <c r="N25" s="24">
        <f>SUMIFS(Libro_Diario[[Cantidad ]],Libro_Diario[[Tipo ]],Gastos[[#Headers],[Gastos]],Libro_Diario[[Categoria ]],Gastos[[#This Row],[Gastos]],Libro_Diario[Fecha],"&gt;="&amp;'Libro Mayor'!N$9,Libro_Diario[Fecha],"&lt;="&amp;EOMONTH('Libro Mayor'!N$9,0))</f>
        <v>0</v>
      </c>
      <c r="O25" s="24">
        <f>SUMIFS(Libro_Diario[[Cantidad ]],Libro_Diario[[Tipo ]],Gastos[[#Headers],[Gastos]],Libro_Diario[[Categoria ]],Gastos[[#This Row],[Gastos]],Libro_Diario[Fecha],"&gt;="&amp;'Libro Mayor'!O$9,Libro_Diario[Fecha],"&lt;="&amp;EOMONTH('Libro Mayor'!O$9,0))</f>
        <v>0</v>
      </c>
      <c r="P25" s="24">
        <f>SUMIFS(Libro_Diario[[Cantidad ]],Libro_Diario[[Tipo ]],Gastos[[#Headers],[Gastos]],Libro_Diario[[Categoria ]],Gastos[[#This Row],[Gastos]],Libro_Diario[Fecha],"&gt;="&amp;'Libro Mayor'!P$9,Libro_Diario[Fecha],"&lt;="&amp;EOMONTH('Libro Mayor'!P$9,0))</f>
        <v>0</v>
      </c>
      <c r="Q25" s="25">
        <f t="shared" ref="Q25:Q34" si="23">SUM(E25:P25)</f>
        <v>0</v>
      </c>
      <c r="S25" s="24">
        <f>SUMIFS(Libro_Diario[[Cantidad ]],Libro_Diario[[Tipo ]],Gastos[[#Headers],[Gastos]],Libro_Diario[[Categoria ]],Gastos[[#This Row],[Gastos]],Libro_Diario[Fecha],"&gt;="&amp;'Libro Mayor'!S$9,Libro_Diario[Fecha],"&lt;="&amp;EOMONTH('Libro Mayor'!S$9,0))</f>
        <v>0</v>
      </c>
      <c r="T25" s="24">
        <f>SUMIFS(Libro_Diario[[Cantidad ]],Libro_Diario[[Tipo ]],Gastos[[#Headers],[Gastos]],Libro_Diario[[Categoria ]],Gastos[[#This Row],[Gastos]],Libro_Diario[Fecha],"&gt;="&amp;'Libro Mayor'!T$9,Libro_Diario[Fecha],"&lt;="&amp;EOMONTH('Libro Mayor'!T$9,0))</f>
        <v>0</v>
      </c>
      <c r="U25" s="24">
        <f>SUMIFS(Libro_Diario[[Cantidad ]],Libro_Diario[[Tipo ]],Gastos[[#Headers],[Gastos]],Libro_Diario[[Categoria ]],Gastos[[#This Row],[Gastos]],Libro_Diario[Fecha],"&gt;="&amp;'Libro Mayor'!U$9,Libro_Diario[Fecha],"&lt;="&amp;EOMONTH('Libro Mayor'!U$9,0))</f>
        <v>0</v>
      </c>
      <c r="V25" s="24">
        <f>SUMIFS(Libro_Diario[[Cantidad ]],Libro_Diario[[Tipo ]],Gastos[[#Headers],[Gastos]],Libro_Diario[[Categoria ]],Gastos[[#This Row],[Gastos]],Libro_Diario[Fecha],"&gt;="&amp;'Libro Mayor'!V$9,Libro_Diario[Fecha],"&lt;="&amp;EOMONTH('Libro Mayor'!V$9,0))</f>
        <v>0</v>
      </c>
      <c r="W25" s="24">
        <f>SUMIFS(Libro_Diario[[Cantidad ]],Libro_Diario[[Tipo ]],Gastos[[#Headers],[Gastos]],Libro_Diario[[Categoria ]],Gastos[[#This Row],[Gastos]],Libro_Diario[Fecha],"&gt;="&amp;'Libro Mayor'!W$9,Libro_Diario[Fecha],"&lt;="&amp;EOMONTH('Libro Mayor'!W$9,0))</f>
        <v>0</v>
      </c>
      <c r="X25" s="24">
        <f>SUMIFS(Libro_Diario[[Cantidad ]],Libro_Diario[[Tipo ]],Gastos[[#Headers],[Gastos]],Libro_Diario[[Categoria ]],Gastos[[#This Row],[Gastos]],Libro_Diario[Fecha],"&gt;="&amp;'Libro Mayor'!X$9,Libro_Diario[Fecha],"&lt;="&amp;EOMONTH('Libro Mayor'!X$9,0))</f>
        <v>0</v>
      </c>
      <c r="Y25" s="24">
        <f>SUMIFS(Libro_Diario[[Cantidad ]],Libro_Diario[[Tipo ]],Gastos[[#Headers],[Gastos]],Libro_Diario[[Categoria ]],Gastos[[#This Row],[Gastos]],Libro_Diario[Fecha],"&gt;="&amp;'Libro Mayor'!Y$9,Libro_Diario[Fecha],"&lt;="&amp;EOMONTH('Libro Mayor'!Y$9,0))</f>
        <v>0</v>
      </c>
      <c r="Z25" s="24">
        <f>SUMIFS(Libro_Diario[[Cantidad ]],Libro_Diario[[Tipo ]],Gastos[[#Headers],[Gastos]],Libro_Diario[[Categoria ]],Gastos[[#This Row],[Gastos]],Libro_Diario[Fecha],"&gt;="&amp;'Libro Mayor'!Z$9,Libro_Diario[Fecha],"&lt;="&amp;EOMONTH('Libro Mayor'!Z$9,0))</f>
        <v>0</v>
      </c>
      <c r="AA25" s="24">
        <f>SUMIFS(Libro_Diario[[Cantidad ]],Libro_Diario[[Tipo ]],Gastos[[#Headers],[Gastos]],Libro_Diario[[Categoria ]],Gastos[[#This Row],[Gastos]],Libro_Diario[Fecha],"&gt;="&amp;'Libro Mayor'!AA$9,Libro_Diario[Fecha],"&lt;="&amp;EOMONTH('Libro Mayor'!AA$9,0))</f>
        <v>0</v>
      </c>
      <c r="AB25" s="24">
        <f>SUMIFS(Libro_Diario[[Cantidad ]],Libro_Diario[[Tipo ]],Gastos[[#Headers],[Gastos]],Libro_Diario[[Categoria ]],Gastos[[#This Row],[Gastos]],Libro_Diario[Fecha],"&gt;="&amp;'Libro Mayor'!AB$9,Libro_Diario[Fecha],"&lt;="&amp;EOMONTH('Libro Mayor'!AB$9,0))</f>
        <v>0</v>
      </c>
      <c r="AC25" s="24">
        <f>SUMIFS(Libro_Diario[[Cantidad ]],Libro_Diario[[Tipo ]],Gastos[[#Headers],[Gastos]],Libro_Diario[[Categoria ]],Gastos[[#This Row],[Gastos]],Libro_Diario[Fecha],"&gt;="&amp;'Libro Mayor'!AC$9,Libro_Diario[Fecha],"&lt;="&amp;EOMONTH('Libro Mayor'!AC$9,0))</f>
        <v>0</v>
      </c>
      <c r="AD25" s="24">
        <f>SUMIFS(Libro_Diario[Detalles],Libro_Diario[[Categoria ]],Gastos[[#Headers],[Gastos]],Libro_Diario[[Cantidad ]],Gastos[[#This Row],[Gastos]],Libro_Diario[[Tipo ]],"&gt;="&amp;'Libro Mayor'!AD$9,Libro_Diario[[Tipo ]],"&lt;="&amp;EOMONTH('Libro Mayor'!AD$9,0))</f>
        <v>0</v>
      </c>
      <c r="AE25" s="25">
        <f t="shared" ref="AE25:AE29" si="24">SUM(S25:AD25)</f>
        <v>0</v>
      </c>
      <c r="AG25" s="24">
        <f>SUMIFS(Libro_Diario[[Cantidad ]],Libro_Diario[[Tipo ]],Gastos[[#Headers],[Gastos]],Libro_Diario[[Categoria ]],Gastos[[#This Row],[Gastos]],Libro_Diario[Fecha],"&gt;="&amp;'Libro Mayor'!AG$9,Libro_Diario[Fecha],"&lt;="&amp;EOMONTH('Libro Mayor'!AG$9,0))</f>
        <v>0</v>
      </c>
      <c r="AH25" s="24">
        <f>SUMIFS(Libro_Diario[[Cantidad ]],Libro_Diario[[Tipo ]],Gastos[[#Headers],[Gastos]],Libro_Diario[[Categoria ]],Gastos[[#This Row],[Gastos]],Libro_Diario[Fecha],"&gt;="&amp;'Libro Mayor'!AH$9,Libro_Diario[Fecha],"&lt;="&amp;EOMONTH('Libro Mayor'!AH$9,0))</f>
        <v>0</v>
      </c>
      <c r="AI25" s="24">
        <f>SUMIFS(Libro_Diario[[Cantidad ]],Libro_Diario[[Tipo ]],Gastos[[#Headers],[Gastos]],Libro_Diario[[Categoria ]],Gastos[[#This Row],[Gastos]],Libro_Diario[Fecha],"&gt;="&amp;'Libro Mayor'!AI$9,Libro_Diario[Fecha],"&lt;="&amp;EOMONTH('Libro Mayor'!AI$9,0))</f>
        <v>0</v>
      </c>
      <c r="AJ25" s="24">
        <f>SUMIFS(Libro_Diario[[Cantidad ]],Libro_Diario[[Tipo ]],Gastos[[#Headers],[Gastos]],Libro_Diario[[Categoria ]],Gastos[[#This Row],[Gastos]],Libro_Diario[Fecha],"&gt;="&amp;'Libro Mayor'!AJ$9,Libro_Diario[Fecha],"&lt;="&amp;EOMONTH('Libro Mayor'!AJ$9,0))</f>
        <v>0</v>
      </c>
      <c r="AK25" s="24">
        <f>SUMIFS(Libro_Diario[[Cantidad ]],Libro_Diario[[Tipo ]],Gastos[[#Headers],[Gastos]],Libro_Diario[[Categoria ]],Gastos[[#This Row],[Gastos]],Libro_Diario[Fecha],"&gt;="&amp;'Libro Mayor'!AK$9,Libro_Diario[Fecha],"&lt;="&amp;EOMONTH('Libro Mayor'!AK$9,0))</f>
        <v>0</v>
      </c>
      <c r="AL25" s="24">
        <f>SUMIFS(Libro_Diario[[Cantidad ]],Libro_Diario[[Tipo ]],Gastos[[#Headers],[Gastos]],Libro_Diario[[Categoria ]],Gastos[[#This Row],[Gastos]],Libro_Diario[Fecha],"&gt;="&amp;'Libro Mayor'!AL$9,Libro_Diario[Fecha],"&lt;="&amp;EOMONTH('Libro Mayor'!AL$9,0))</f>
        <v>0</v>
      </c>
      <c r="AM25" s="24">
        <f>SUMIFS(Libro_Diario[[Cantidad ]],Libro_Diario[[Tipo ]],Gastos[[#Headers],[Gastos]],Libro_Diario[[Categoria ]],Gastos[[#This Row],[Gastos]],Libro_Diario[Fecha],"&gt;="&amp;'Libro Mayor'!AM$9,Libro_Diario[Fecha],"&lt;="&amp;EOMONTH('Libro Mayor'!AM$9,0))</f>
        <v>0</v>
      </c>
      <c r="AN25" s="24">
        <f>SUMIFS(Libro_Diario[[Cantidad ]],Libro_Diario[[Tipo ]],Gastos[[#Headers],[Gastos]],Libro_Diario[[Categoria ]],Gastos[[#This Row],[Gastos]],Libro_Diario[Fecha],"&gt;="&amp;'Libro Mayor'!AN$9,Libro_Diario[Fecha],"&lt;="&amp;EOMONTH('Libro Mayor'!AN$9,0))</f>
        <v>0</v>
      </c>
      <c r="AO25" s="24">
        <f>SUMIFS(Libro_Diario[[Cantidad ]],Libro_Diario[[Tipo ]],Gastos[[#Headers],[Gastos]],Libro_Diario[[Categoria ]],Gastos[[#This Row],[Gastos]],Libro_Diario[Fecha],"&gt;="&amp;'Libro Mayor'!AO$9,Libro_Diario[Fecha],"&lt;="&amp;EOMONTH('Libro Mayor'!AO$9,0))</f>
        <v>0</v>
      </c>
      <c r="AP25" s="24">
        <f>SUMIFS(Libro_Diario[[Cantidad ]],Libro_Diario[[Tipo ]],Gastos[[#Headers],[Gastos]],Libro_Diario[[Categoria ]],Gastos[[#This Row],[Gastos]],Libro_Diario[Fecha],"&gt;="&amp;'Libro Mayor'!AP$9,Libro_Diario[Fecha],"&lt;="&amp;EOMONTH('Libro Mayor'!AP$9,0))</f>
        <v>0</v>
      </c>
      <c r="AQ25" s="24">
        <f>SUMIFS(Libro_Diario[[Cantidad ]],Libro_Diario[[Tipo ]],Gastos[[#Headers],[Gastos]],Libro_Diario[[Categoria ]],Gastos[[#This Row],[Gastos]],Libro_Diario[Fecha],"&gt;="&amp;'Libro Mayor'!AQ$9,Libro_Diario[Fecha],"&lt;="&amp;EOMONTH('Libro Mayor'!AQ$9,0))</f>
        <v>0</v>
      </c>
      <c r="AR25" s="24">
        <f>SUMIFS(Libro_Diario[Detalles],Libro_Diario[[Categoria ]],Gastos[[#Headers],[Gastos]],Libro_Diario[[Cantidad ]],Gastos[[#This Row],[Gastos]],Libro_Diario[[Tipo ]],"&gt;="&amp;'Libro Mayor'!AR$9,Libro_Diario[[Tipo ]],"&lt;="&amp;EOMONTH('Libro Mayor'!AR$9,0))</f>
        <v>0</v>
      </c>
      <c r="AS25" s="25">
        <f t="shared" ref="AS25:AS29" si="25">SUM(AG25:AR25)</f>
        <v>0</v>
      </c>
      <c r="AU25" s="24">
        <f>SUMIFS(Libro_Diario[[Cantidad ]],Libro_Diario[[Tipo ]],Gastos[[#Headers],[Gastos]],Libro_Diario[[Categoria ]],Gastos[[#This Row],[Gastos]],Libro_Diario[Fecha],"&gt;="&amp;'Libro Mayor'!AU$9,Libro_Diario[Fecha],"&lt;="&amp;EOMONTH('Libro Mayor'!AU$9,0))</f>
        <v>0</v>
      </c>
      <c r="AV25" s="24">
        <f>SUMIFS(Libro_Diario[[Cantidad ]],Libro_Diario[[Tipo ]],Gastos[[#Headers],[Gastos]],Libro_Diario[[Categoria ]],Gastos[[#This Row],[Gastos]],Libro_Diario[Fecha],"&gt;="&amp;'Libro Mayor'!AV$9,Libro_Diario[Fecha],"&lt;="&amp;EOMONTH('Libro Mayor'!AV$9,0))</f>
        <v>0</v>
      </c>
      <c r="AW25" s="24">
        <f>SUMIFS(Libro_Diario[[Cantidad ]],Libro_Diario[[Tipo ]],Gastos[[#Headers],[Gastos]],Libro_Diario[[Categoria ]],Gastos[[#This Row],[Gastos]],Libro_Diario[Fecha],"&gt;="&amp;'Libro Mayor'!AW$9,Libro_Diario[Fecha],"&lt;="&amp;EOMONTH('Libro Mayor'!AW$9,0))</f>
        <v>0</v>
      </c>
      <c r="AX25" s="24">
        <f>SUMIFS(Libro_Diario[[Cantidad ]],Libro_Diario[[Tipo ]],Gastos[[#Headers],[Gastos]],Libro_Diario[[Categoria ]],Gastos[[#This Row],[Gastos]],Libro_Diario[Fecha],"&gt;="&amp;'Libro Mayor'!AX$9,Libro_Diario[Fecha],"&lt;="&amp;EOMONTH('Libro Mayor'!AX$9,0))</f>
        <v>0</v>
      </c>
      <c r="AY25" s="24">
        <f>SUMIFS(Libro_Diario[[Cantidad ]],Libro_Diario[[Tipo ]],Gastos[[#Headers],[Gastos]],Libro_Diario[[Categoria ]],Gastos[[#This Row],[Gastos]],Libro_Diario[Fecha],"&gt;="&amp;'Libro Mayor'!AY$9,Libro_Diario[Fecha],"&lt;="&amp;EOMONTH('Libro Mayor'!AY$9,0))</f>
        <v>0</v>
      </c>
      <c r="AZ25" s="24">
        <f>SUMIFS(Libro_Diario[[Cantidad ]],Libro_Diario[[Tipo ]],Gastos[[#Headers],[Gastos]],Libro_Diario[[Categoria ]],Gastos[[#This Row],[Gastos]],Libro_Diario[Fecha],"&gt;="&amp;'Libro Mayor'!AZ$9,Libro_Diario[Fecha],"&lt;="&amp;EOMONTH('Libro Mayor'!AZ$9,0))</f>
        <v>0</v>
      </c>
      <c r="BA25" s="24">
        <f>SUMIFS(Libro_Diario[[Cantidad ]],Libro_Diario[[Tipo ]],Gastos[[#Headers],[Gastos]],Libro_Diario[[Categoria ]],Gastos[[#This Row],[Gastos]],Libro_Diario[Fecha],"&gt;="&amp;'Libro Mayor'!BA$9,Libro_Diario[Fecha],"&lt;="&amp;EOMONTH('Libro Mayor'!BA$9,0))</f>
        <v>0</v>
      </c>
      <c r="BB25" s="24">
        <f>SUMIFS(Libro_Diario[[Cantidad ]],Libro_Diario[[Tipo ]],Gastos[[#Headers],[Gastos]],Libro_Diario[[Categoria ]],Gastos[[#This Row],[Gastos]],Libro_Diario[Fecha],"&gt;="&amp;'Libro Mayor'!BB$9,Libro_Diario[Fecha],"&lt;="&amp;EOMONTH('Libro Mayor'!BB$9,0))</f>
        <v>0</v>
      </c>
      <c r="BC25" s="24">
        <f>SUMIFS(Libro_Diario[[Cantidad ]],Libro_Diario[[Tipo ]],Gastos[[#Headers],[Gastos]],Libro_Diario[[Categoria ]],Gastos[[#This Row],[Gastos]],Libro_Diario[Fecha],"&gt;="&amp;'Libro Mayor'!BC$9,Libro_Diario[Fecha],"&lt;="&amp;EOMONTH('Libro Mayor'!BC$9,0))</f>
        <v>0</v>
      </c>
      <c r="BD25" s="24">
        <f>SUMIFS(Libro_Diario[[Cantidad ]],Libro_Diario[[Tipo ]],Gastos[[#Headers],[Gastos]],Libro_Diario[[Categoria ]],Gastos[[#This Row],[Gastos]],Libro_Diario[Fecha],"&gt;="&amp;'Libro Mayor'!BD$9,Libro_Diario[Fecha],"&lt;="&amp;EOMONTH('Libro Mayor'!BD$9,0))</f>
        <v>0</v>
      </c>
      <c r="BE25" s="24">
        <f>SUMIFS(Libro_Diario[[Cantidad ]],Libro_Diario[[Tipo ]],Gastos[[#Headers],[Gastos]],Libro_Diario[[Categoria ]],Gastos[[#This Row],[Gastos]],Libro_Diario[Fecha],"&gt;="&amp;'Libro Mayor'!BE$9,Libro_Diario[Fecha],"&lt;="&amp;EOMONTH('Libro Mayor'!BE$9,0))</f>
        <v>0</v>
      </c>
      <c r="BF25" s="24">
        <f>SUMIFS(Libro_Diario[Detalles],Libro_Diario[[Categoria ]],Gastos[[#Headers],[Gastos]],Libro_Diario[[Cantidad ]],Gastos[[#This Row],[Gastos]],Libro_Diario[[Tipo ]],"&gt;="&amp;'Libro Mayor'!BF$9,Libro_Diario[[Tipo ]],"&lt;="&amp;EOMONTH('Libro Mayor'!BF$9,0))</f>
        <v>0</v>
      </c>
      <c r="BG25" s="25">
        <f t="shared" ref="BG25:BG29" si="26">SUM(AU25:BF25)</f>
        <v>0</v>
      </c>
      <c r="BI25" s="24">
        <f>SUMIFS(Libro_Diario[[Cantidad ]],Libro_Diario[[Tipo ]],Gastos[[#Headers],[Gastos]],Libro_Diario[[Categoria ]],Gastos[[#This Row],[Gastos]],Libro_Diario[Fecha],"&gt;="&amp;'Libro Mayor'!BI$9,Libro_Diario[Fecha],"&lt;="&amp;EOMONTH('Libro Mayor'!BI$9,0))</f>
        <v>0</v>
      </c>
      <c r="BJ25" s="24">
        <f>SUMIFS(Libro_Diario[[Cantidad ]],Libro_Diario[[Tipo ]],Gastos[[#Headers],[Gastos]],Libro_Diario[[Categoria ]],Gastos[[#This Row],[Gastos]],Libro_Diario[Fecha],"&gt;="&amp;'Libro Mayor'!BJ$9,Libro_Diario[Fecha],"&lt;="&amp;EOMONTH('Libro Mayor'!BJ$9,0))</f>
        <v>0</v>
      </c>
      <c r="BK25" s="24">
        <f>SUMIFS(Libro_Diario[[Cantidad ]],Libro_Diario[[Tipo ]],Gastos[[#Headers],[Gastos]],Libro_Diario[[Categoria ]],Gastos[[#This Row],[Gastos]],Libro_Diario[Fecha],"&gt;="&amp;'Libro Mayor'!BK$9,Libro_Diario[Fecha],"&lt;="&amp;EOMONTH('Libro Mayor'!BK$9,0))</f>
        <v>0</v>
      </c>
      <c r="BL25" s="24">
        <f>SUMIFS(Libro_Diario[[Cantidad ]],Libro_Diario[[Tipo ]],Gastos[[#Headers],[Gastos]],Libro_Diario[[Categoria ]],Gastos[[#This Row],[Gastos]],Libro_Diario[Fecha],"&gt;="&amp;'Libro Mayor'!BL$9,Libro_Diario[Fecha],"&lt;="&amp;EOMONTH('Libro Mayor'!BL$9,0))</f>
        <v>0</v>
      </c>
      <c r="BM25" s="24">
        <f>SUMIFS(Libro_Diario[[Cantidad ]],Libro_Diario[[Tipo ]],Gastos[[#Headers],[Gastos]],Libro_Diario[[Categoria ]],Gastos[[#This Row],[Gastos]],Libro_Diario[Fecha],"&gt;="&amp;'Libro Mayor'!BM$9,Libro_Diario[Fecha],"&lt;="&amp;EOMONTH('Libro Mayor'!BM$9,0))</f>
        <v>0</v>
      </c>
      <c r="BN25" s="24">
        <f>SUMIFS(Libro_Diario[[Cantidad ]],Libro_Diario[[Tipo ]],Gastos[[#Headers],[Gastos]],Libro_Diario[[Categoria ]],Gastos[[#This Row],[Gastos]],Libro_Diario[Fecha],"&gt;="&amp;'Libro Mayor'!BN$9,Libro_Diario[Fecha],"&lt;="&amp;EOMONTH('Libro Mayor'!BN$9,0))</f>
        <v>0</v>
      </c>
      <c r="BO25" s="24">
        <f>SUMIFS(Libro_Diario[[Cantidad ]],Libro_Diario[[Tipo ]],Gastos[[#Headers],[Gastos]],Libro_Diario[[Categoria ]],Gastos[[#This Row],[Gastos]],Libro_Diario[Fecha],"&gt;="&amp;'Libro Mayor'!BO$9,Libro_Diario[Fecha],"&lt;="&amp;EOMONTH('Libro Mayor'!BO$9,0))</f>
        <v>0</v>
      </c>
      <c r="BP25" s="24">
        <f>SUMIFS(Libro_Diario[[Cantidad ]],Libro_Diario[[Tipo ]],Gastos[[#Headers],[Gastos]],Libro_Diario[[Categoria ]],Gastos[[#This Row],[Gastos]],Libro_Diario[Fecha],"&gt;="&amp;'Libro Mayor'!BP$9,Libro_Diario[Fecha],"&lt;="&amp;EOMONTH('Libro Mayor'!BP$9,0))</f>
        <v>0</v>
      </c>
      <c r="BQ25" s="24">
        <f>SUMIFS(Libro_Diario[[Cantidad ]],Libro_Diario[[Tipo ]],Gastos[[#Headers],[Gastos]],Libro_Diario[[Categoria ]],Gastos[[#This Row],[Gastos]],Libro_Diario[Fecha],"&gt;="&amp;'Libro Mayor'!BQ$9,Libro_Diario[Fecha],"&lt;="&amp;EOMONTH('Libro Mayor'!BQ$9,0))</f>
        <v>0</v>
      </c>
      <c r="BR25" s="24">
        <f>SUMIFS(Libro_Diario[[Cantidad ]],Libro_Diario[[Tipo ]],Gastos[[#Headers],[Gastos]],Libro_Diario[[Categoria ]],Gastos[[#This Row],[Gastos]],Libro_Diario[Fecha],"&gt;="&amp;'Libro Mayor'!BR$9,Libro_Diario[Fecha],"&lt;="&amp;EOMONTH('Libro Mayor'!BR$9,0))</f>
        <v>0</v>
      </c>
      <c r="BS25" s="24">
        <f>SUMIFS(Libro_Diario[[Cantidad ]],Libro_Diario[[Tipo ]],Gastos[[#Headers],[Gastos]],Libro_Diario[[Categoria ]],Gastos[[#This Row],[Gastos]],Libro_Diario[Fecha],"&gt;="&amp;'Libro Mayor'!BS$9,Libro_Diario[Fecha],"&lt;="&amp;EOMONTH('Libro Mayor'!BS$9,0))</f>
        <v>0</v>
      </c>
      <c r="BT25" s="24">
        <f>SUMIFS(Libro_Diario[Detalles],Libro_Diario[[Categoria ]],Gastos[[#Headers],[Gastos]],Libro_Diario[[Cantidad ]],Gastos[[#This Row],[Gastos]],Libro_Diario[[Tipo ]],"&gt;="&amp;'Libro Mayor'!BT$9,Libro_Diario[[Tipo ]],"&lt;="&amp;EOMONTH('Libro Mayor'!BT$9,0))</f>
        <v>0</v>
      </c>
      <c r="BU25" s="25">
        <f t="shared" ref="BU25:BU29" si="27">SUM(BI25:BT25)</f>
        <v>0</v>
      </c>
      <c r="BW25" s="24">
        <f>SUMIFS(Libro_Diario[[Cantidad ]],Libro_Diario[[Tipo ]],Gastos[[#Headers],[Gastos]],Libro_Diario[[Categoria ]],Gastos[[#This Row],[Gastos]],Libro_Diario[Fecha],"&gt;="&amp;'Libro Mayor'!BW$9,Libro_Diario[Fecha],"&lt;="&amp;EOMONTH('Libro Mayor'!BW$9,0))</f>
        <v>0</v>
      </c>
      <c r="BX25" s="24">
        <f>SUMIFS(Libro_Diario[[Cantidad ]],Libro_Diario[[Tipo ]],Gastos[[#Headers],[Gastos]],Libro_Diario[[Categoria ]],Gastos[[#This Row],[Gastos]],Libro_Diario[Fecha],"&gt;="&amp;'Libro Mayor'!BX$9,Libro_Diario[Fecha],"&lt;="&amp;EOMONTH('Libro Mayor'!BX$9,0))</f>
        <v>0</v>
      </c>
      <c r="BY25" s="24">
        <f>SUMIFS(Libro_Diario[[Cantidad ]],Libro_Diario[[Tipo ]],Gastos[[#Headers],[Gastos]],Libro_Diario[[Categoria ]],Gastos[[#This Row],[Gastos]],Libro_Diario[Fecha],"&gt;="&amp;'Libro Mayor'!BY$9,Libro_Diario[Fecha],"&lt;="&amp;EOMONTH('Libro Mayor'!BY$9,0))</f>
        <v>0</v>
      </c>
      <c r="BZ25" s="24">
        <f>SUMIFS(Libro_Diario[[Cantidad ]],Libro_Diario[[Tipo ]],Gastos[[#Headers],[Gastos]],Libro_Diario[[Categoria ]],Gastos[[#This Row],[Gastos]],Libro_Diario[Fecha],"&gt;="&amp;'Libro Mayor'!BZ$9,Libro_Diario[Fecha],"&lt;="&amp;EOMONTH('Libro Mayor'!BZ$9,0))</f>
        <v>0</v>
      </c>
      <c r="CA25" s="24">
        <f>SUMIFS(Libro_Diario[[Cantidad ]],Libro_Diario[[Tipo ]],Gastos[[#Headers],[Gastos]],Libro_Diario[[Categoria ]],Gastos[[#This Row],[Gastos]],Libro_Diario[Fecha],"&gt;="&amp;'Libro Mayor'!CA$9,Libro_Diario[Fecha],"&lt;="&amp;EOMONTH('Libro Mayor'!CA$9,0))</f>
        <v>0</v>
      </c>
      <c r="CB25" s="24">
        <f>SUMIFS(Libro_Diario[[Cantidad ]],Libro_Diario[[Tipo ]],Gastos[[#Headers],[Gastos]],Libro_Diario[[Categoria ]],Gastos[[#This Row],[Gastos]],Libro_Diario[Fecha],"&gt;="&amp;'Libro Mayor'!CB$9,Libro_Diario[Fecha],"&lt;="&amp;EOMONTH('Libro Mayor'!CB$9,0))</f>
        <v>0</v>
      </c>
      <c r="CC25" s="24">
        <f>SUMIFS(Libro_Diario[[Cantidad ]],Libro_Diario[[Tipo ]],Gastos[[#Headers],[Gastos]],Libro_Diario[[Categoria ]],Gastos[[#This Row],[Gastos]],Libro_Diario[Fecha],"&gt;="&amp;'Libro Mayor'!CC$9,Libro_Diario[Fecha],"&lt;="&amp;EOMONTH('Libro Mayor'!CC$9,0))</f>
        <v>0</v>
      </c>
      <c r="CD25" s="24">
        <f>SUMIFS(Libro_Diario[[Cantidad ]],Libro_Diario[[Tipo ]],Gastos[[#Headers],[Gastos]],Libro_Diario[[Categoria ]],Gastos[[#This Row],[Gastos]],Libro_Diario[Fecha],"&gt;="&amp;'Libro Mayor'!CD$9,Libro_Diario[Fecha],"&lt;="&amp;EOMONTH('Libro Mayor'!CD$9,0))</f>
        <v>0</v>
      </c>
      <c r="CE25" s="24">
        <f>SUMIFS(Libro_Diario[[Cantidad ]],Libro_Diario[[Tipo ]],Gastos[[#Headers],[Gastos]],Libro_Diario[[Categoria ]],Gastos[[#This Row],[Gastos]],Libro_Diario[Fecha],"&gt;="&amp;'Libro Mayor'!CE$9,Libro_Diario[Fecha],"&lt;="&amp;EOMONTH('Libro Mayor'!CE$9,0))</f>
        <v>0</v>
      </c>
      <c r="CF25" s="24">
        <f>SUMIFS(Libro_Diario[[Cantidad ]],Libro_Diario[[Tipo ]],Gastos[[#Headers],[Gastos]],Libro_Diario[[Categoria ]],Gastos[[#This Row],[Gastos]],Libro_Diario[Fecha],"&gt;="&amp;'Libro Mayor'!CF$9,Libro_Diario[Fecha],"&lt;="&amp;EOMONTH('Libro Mayor'!CF$9,0))</f>
        <v>0</v>
      </c>
      <c r="CG25" s="24">
        <f>SUMIFS(Libro_Diario[[Cantidad ]],Libro_Diario[[Tipo ]],Gastos[[#Headers],[Gastos]],Libro_Diario[[Categoria ]],Gastos[[#This Row],[Gastos]],Libro_Diario[Fecha],"&gt;="&amp;'Libro Mayor'!CG$9,Libro_Diario[Fecha],"&lt;="&amp;EOMONTH('Libro Mayor'!CG$9,0))</f>
        <v>0</v>
      </c>
      <c r="CH25" s="24">
        <f>SUMIFS(Libro_Diario[Detalles],Libro_Diario[[Categoria ]],Gastos[[#Headers],[Gastos]],Libro_Diario[[Cantidad ]],Gastos[[#This Row],[Gastos]],Libro_Diario[[Tipo ]],"&gt;="&amp;'Libro Mayor'!CH$9,Libro_Diario[[Tipo ]],"&lt;="&amp;EOMONTH('Libro Mayor'!CH$9,0))</f>
        <v>0</v>
      </c>
      <c r="CI25" s="25">
        <f t="shared" ref="CI25:CI29" si="28">SUM(BW25:CH25)</f>
        <v>0</v>
      </c>
      <c r="CK25" s="24">
        <f>SUMIFS(Libro_Diario[[Cantidad ]],Libro_Diario[[Tipo ]],Gastos[[#Headers],[Gastos]],Libro_Diario[[Categoria ]],Gastos[[#This Row],[Gastos]],Libro_Diario[Fecha],"&gt;="&amp;'Libro Mayor'!CK$9,Libro_Diario[Fecha],"&lt;="&amp;EOMONTH('Libro Mayor'!CK$9,0))</f>
        <v>0</v>
      </c>
      <c r="CL25" s="24">
        <f>SUMIFS(Libro_Diario[[Cantidad ]],Libro_Diario[[Tipo ]],Gastos[[#Headers],[Gastos]],Libro_Diario[[Categoria ]],Gastos[[#This Row],[Gastos]],Libro_Diario[Fecha],"&gt;="&amp;'Libro Mayor'!CL$9,Libro_Diario[Fecha],"&lt;="&amp;EOMONTH('Libro Mayor'!CL$9,0))</f>
        <v>0</v>
      </c>
      <c r="CM25" s="24">
        <f>SUMIFS(Libro_Diario[[Cantidad ]],Libro_Diario[[Tipo ]],Gastos[[#Headers],[Gastos]],Libro_Diario[[Categoria ]],Gastos[[#This Row],[Gastos]],Libro_Diario[Fecha],"&gt;="&amp;'Libro Mayor'!CM$9,Libro_Diario[Fecha],"&lt;="&amp;EOMONTH('Libro Mayor'!CM$9,0))</f>
        <v>0</v>
      </c>
      <c r="CN25" s="24">
        <f>SUMIFS(Libro_Diario[[Cantidad ]],Libro_Diario[[Tipo ]],Gastos[[#Headers],[Gastos]],Libro_Diario[[Categoria ]],Gastos[[#This Row],[Gastos]],Libro_Diario[Fecha],"&gt;="&amp;'Libro Mayor'!CN$9,Libro_Diario[Fecha],"&lt;="&amp;EOMONTH('Libro Mayor'!CN$9,0))</f>
        <v>0</v>
      </c>
      <c r="CO25" s="24">
        <f>SUMIFS(Libro_Diario[[Cantidad ]],Libro_Diario[[Tipo ]],Gastos[[#Headers],[Gastos]],Libro_Diario[[Categoria ]],Gastos[[#This Row],[Gastos]],Libro_Diario[Fecha],"&gt;="&amp;'Libro Mayor'!CO$9,Libro_Diario[Fecha],"&lt;="&amp;EOMONTH('Libro Mayor'!CO$9,0))</f>
        <v>0</v>
      </c>
      <c r="CP25" s="24">
        <f>SUMIFS(Libro_Diario[[Cantidad ]],Libro_Diario[[Tipo ]],Gastos[[#Headers],[Gastos]],Libro_Diario[[Categoria ]],Gastos[[#This Row],[Gastos]],Libro_Diario[Fecha],"&gt;="&amp;'Libro Mayor'!CP$9,Libro_Diario[Fecha],"&lt;="&amp;EOMONTH('Libro Mayor'!CP$9,0))</f>
        <v>0</v>
      </c>
      <c r="CQ25" s="24">
        <f>SUMIFS(Libro_Diario[[Cantidad ]],Libro_Diario[[Tipo ]],Gastos[[#Headers],[Gastos]],Libro_Diario[[Categoria ]],Gastos[[#This Row],[Gastos]],Libro_Diario[Fecha],"&gt;="&amp;'Libro Mayor'!CQ$9,Libro_Diario[Fecha],"&lt;="&amp;EOMONTH('Libro Mayor'!CQ$9,0))</f>
        <v>0</v>
      </c>
      <c r="CR25" s="24">
        <f>SUMIFS(Libro_Diario[[Cantidad ]],Libro_Diario[[Tipo ]],Gastos[[#Headers],[Gastos]],Libro_Diario[[Categoria ]],Gastos[[#This Row],[Gastos]],Libro_Diario[Fecha],"&gt;="&amp;'Libro Mayor'!CR$9,Libro_Diario[Fecha],"&lt;="&amp;EOMONTH('Libro Mayor'!CR$9,0))</f>
        <v>0</v>
      </c>
      <c r="CS25" s="24">
        <f>SUMIFS(Libro_Diario[[Cantidad ]],Libro_Diario[[Tipo ]],Gastos[[#Headers],[Gastos]],Libro_Diario[[Categoria ]],Gastos[[#This Row],[Gastos]],Libro_Diario[Fecha],"&gt;="&amp;'Libro Mayor'!CS$9,Libro_Diario[Fecha],"&lt;="&amp;EOMONTH('Libro Mayor'!CS$9,0))</f>
        <v>0</v>
      </c>
      <c r="CT25" s="24">
        <f>SUMIFS(Libro_Diario[[Cantidad ]],Libro_Diario[[Tipo ]],Gastos[[#Headers],[Gastos]],Libro_Diario[[Categoria ]],Gastos[[#This Row],[Gastos]],Libro_Diario[Fecha],"&gt;="&amp;'Libro Mayor'!CT$9,Libro_Diario[Fecha],"&lt;="&amp;EOMONTH('Libro Mayor'!CT$9,0))</f>
        <v>0</v>
      </c>
      <c r="CU25" s="24">
        <f>SUMIFS(Libro_Diario[[Cantidad ]],Libro_Diario[[Tipo ]],Gastos[[#Headers],[Gastos]],Libro_Diario[[Categoria ]],Gastos[[#This Row],[Gastos]],Libro_Diario[Fecha],"&gt;="&amp;'Libro Mayor'!CU$9,Libro_Diario[Fecha],"&lt;="&amp;EOMONTH('Libro Mayor'!CU$9,0))</f>
        <v>0</v>
      </c>
      <c r="CV25" s="24">
        <f>SUMIFS(Libro_Diario[Detalles],Libro_Diario[[Categoria ]],Gastos[[#Headers],[Gastos]],Libro_Diario[[Cantidad ]],Gastos[[#This Row],[Gastos]],Libro_Diario[[Tipo ]],"&gt;="&amp;'Libro Mayor'!CV$9,Libro_Diario[[Tipo ]],"&lt;="&amp;EOMONTH('Libro Mayor'!CV$9,0))</f>
        <v>0</v>
      </c>
      <c r="CW25" s="25">
        <f t="shared" ref="CW25:CW29" si="29">SUM(CK25:CV25)</f>
        <v>0</v>
      </c>
      <c r="CY25" s="24">
        <f>SUMIFS(Libro_Diario[[Cantidad ]],Libro_Diario[[Tipo ]],Gastos[[#Headers],[Gastos]],Libro_Diario[[Categoria ]],Gastos[[#This Row],[Gastos]],Libro_Diario[Fecha],"&gt;="&amp;'Libro Mayor'!CY$9,Libro_Diario[Fecha],"&lt;="&amp;EOMONTH('Libro Mayor'!CY$9,0))</f>
        <v>0</v>
      </c>
      <c r="CZ25" s="24">
        <f>SUMIFS(Libro_Diario[[Cantidad ]],Libro_Diario[[Tipo ]],Gastos[[#Headers],[Gastos]],Libro_Diario[[Categoria ]],Gastos[[#This Row],[Gastos]],Libro_Diario[Fecha],"&gt;="&amp;'Libro Mayor'!CZ$9,Libro_Diario[Fecha],"&lt;="&amp;EOMONTH('Libro Mayor'!CZ$9,0))</f>
        <v>0</v>
      </c>
      <c r="DA25" s="24">
        <f>SUMIFS(Libro_Diario[[Cantidad ]],Libro_Diario[[Tipo ]],Gastos[[#Headers],[Gastos]],Libro_Diario[[Categoria ]],Gastos[[#This Row],[Gastos]],Libro_Diario[Fecha],"&gt;="&amp;'Libro Mayor'!DA$9,Libro_Diario[Fecha],"&lt;="&amp;EOMONTH('Libro Mayor'!DA$9,0))</f>
        <v>0</v>
      </c>
      <c r="DB25" s="24">
        <f>SUMIFS(Libro_Diario[[Cantidad ]],Libro_Diario[[Tipo ]],Gastos[[#Headers],[Gastos]],Libro_Diario[[Categoria ]],Gastos[[#This Row],[Gastos]],Libro_Diario[Fecha],"&gt;="&amp;'Libro Mayor'!DB$9,Libro_Diario[Fecha],"&lt;="&amp;EOMONTH('Libro Mayor'!DB$9,0))</f>
        <v>0</v>
      </c>
      <c r="DC25" s="24">
        <f>SUMIFS(Libro_Diario[[Cantidad ]],Libro_Diario[[Tipo ]],Gastos[[#Headers],[Gastos]],Libro_Diario[[Categoria ]],Gastos[[#This Row],[Gastos]],Libro_Diario[Fecha],"&gt;="&amp;'Libro Mayor'!DC$9,Libro_Diario[Fecha],"&lt;="&amp;EOMONTH('Libro Mayor'!DC$9,0))</f>
        <v>0</v>
      </c>
      <c r="DD25" s="24">
        <f>SUMIFS(Libro_Diario[[Cantidad ]],Libro_Diario[[Tipo ]],Gastos[[#Headers],[Gastos]],Libro_Diario[[Categoria ]],Gastos[[#This Row],[Gastos]],Libro_Diario[Fecha],"&gt;="&amp;'Libro Mayor'!DD$9,Libro_Diario[Fecha],"&lt;="&amp;EOMONTH('Libro Mayor'!DD$9,0))</f>
        <v>0</v>
      </c>
      <c r="DE25" s="24">
        <f>SUMIFS(Libro_Diario[[Cantidad ]],Libro_Diario[[Tipo ]],Gastos[[#Headers],[Gastos]],Libro_Diario[[Categoria ]],Gastos[[#This Row],[Gastos]],Libro_Diario[Fecha],"&gt;="&amp;'Libro Mayor'!DE$9,Libro_Diario[Fecha],"&lt;="&amp;EOMONTH('Libro Mayor'!DE$9,0))</f>
        <v>0</v>
      </c>
      <c r="DF25" s="24">
        <f>SUMIFS(Libro_Diario[[Cantidad ]],Libro_Diario[[Tipo ]],Gastos[[#Headers],[Gastos]],Libro_Diario[[Categoria ]],Gastos[[#This Row],[Gastos]],Libro_Diario[Fecha],"&gt;="&amp;'Libro Mayor'!DF$9,Libro_Diario[Fecha],"&lt;="&amp;EOMONTH('Libro Mayor'!DF$9,0))</f>
        <v>0</v>
      </c>
      <c r="DG25" s="24">
        <f>SUMIFS(Libro_Diario[[Cantidad ]],Libro_Diario[[Tipo ]],Gastos[[#Headers],[Gastos]],Libro_Diario[[Categoria ]],Gastos[[#This Row],[Gastos]],Libro_Diario[Fecha],"&gt;="&amp;'Libro Mayor'!DG$9,Libro_Diario[Fecha],"&lt;="&amp;EOMONTH('Libro Mayor'!DG$9,0))</f>
        <v>0</v>
      </c>
      <c r="DH25" s="24">
        <f>SUMIFS(Libro_Diario[[Cantidad ]],Libro_Diario[[Tipo ]],Gastos[[#Headers],[Gastos]],Libro_Diario[[Categoria ]],Gastos[[#This Row],[Gastos]],Libro_Diario[Fecha],"&gt;="&amp;'Libro Mayor'!DH$9,Libro_Diario[Fecha],"&lt;="&amp;EOMONTH('Libro Mayor'!DH$9,0))</f>
        <v>0</v>
      </c>
      <c r="DI25" s="24">
        <f>SUMIFS(Libro_Diario[[Cantidad ]],Libro_Diario[[Tipo ]],Gastos[[#Headers],[Gastos]],Libro_Diario[[Categoria ]],Gastos[[#This Row],[Gastos]],Libro_Diario[Fecha],"&gt;="&amp;'Libro Mayor'!DI$9,Libro_Diario[Fecha],"&lt;="&amp;EOMONTH('Libro Mayor'!DI$9,0))</f>
        <v>0</v>
      </c>
      <c r="DJ25" s="24">
        <f>SUMIFS(Libro_Diario[Detalles],Libro_Diario[[Categoria ]],Gastos[[#Headers],[Gastos]],Libro_Diario[[Cantidad ]],Gastos[[#This Row],[Gastos]],Libro_Diario[[Tipo ]],"&gt;="&amp;'Libro Mayor'!DJ$9,Libro_Diario[[Tipo ]],"&lt;="&amp;EOMONTH('Libro Mayor'!DJ$9,0))</f>
        <v>0</v>
      </c>
      <c r="DK25" s="25">
        <f t="shared" ref="DK25:DK29" si="30">SUM(CY25:DJ25)</f>
        <v>0</v>
      </c>
      <c r="DM25" s="24">
        <f>SUMIFS(Libro_Diario[[Cantidad ]],Libro_Diario[[Tipo ]],Gastos[[#Headers],[Gastos]],Libro_Diario[[Categoria ]],Gastos[[#This Row],[Gastos]],Libro_Diario[Fecha],"&gt;="&amp;'Libro Mayor'!DM$9,Libro_Diario[Fecha],"&lt;="&amp;EOMONTH('Libro Mayor'!DM$9,0))</f>
        <v>0</v>
      </c>
      <c r="DN25" s="24">
        <f>SUMIFS(Libro_Diario[[Cantidad ]],Libro_Diario[[Tipo ]],Gastos[[#Headers],[Gastos]],Libro_Diario[[Categoria ]],Gastos[[#This Row],[Gastos]],Libro_Diario[Fecha],"&gt;="&amp;'Libro Mayor'!DN$9,Libro_Diario[Fecha],"&lt;="&amp;EOMONTH('Libro Mayor'!DN$9,0))</f>
        <v>0</v>
      </c>
      <c r="DO25" s="24">
        <f>SUMIFS(Libro_Diario[[Cantidad ]],Libro_Diario[[Tipo ]],Gastos[[#Headers],[Gastos]],Libro_Diario[[Categoria ]],Gastos[[#This Row],[Gastos]],Libro_Diario[Fecha],"&gt;="&amp;'Libro Mayor'!DO$9,Libro_Diario[Fecha],"&lt;="&amp;EOMONTH('Libro Mayor'!DO$9,0))</f>
        <v>0</v>
      </c>
      <c r="DP25" s="24">
        <f>SUMIFS(Libro_Diario[[Cantidad ]],Libro_Diario[[Tipo ]],Gastos[[#Headers],[Gastos]],Libro_Diario[[Categoria ]],Gastos[[#This Row],[Gastos]],Libro_Diario[Fecha],"&gt;="&amp;'Libro Mayor'!DP$9,Libro_Diario[Fecha],"&lt;="&amp;EOMONTH('Libro Mayor'!DP$9,0))</f>
        <v>0</v>
      </c>
      <c r="DQ25" s="24">
        <f>SUMIFS(Libro_Diario[[Cantidad ]],Libro_Diario[[Tipo ]],Gastos[[#Headers],[Gastos]],Libro_Diario[[Categoria ]],Gastos[[#This Row],[Gastos]],Libro_Diario[Fecha],"&gt;="&amp;'Libro Mayor'!DQ$9,Libro_Diario[Fecha],"&lt;="&amp;EOMONTH('Libro Mayor'!DQ$9,0))</f>
        <v>0</v>
      </c>
      <c r="DR25" s="24">
        <f>SUMIFS(Libro_Diario[[Cantidad ]],Libro_Diario[[Tipo ]],Gastos[[#Headers],[Gastos]],Libro_Diario[[Categoria ]],Gastos[[#This Row],[Gastos]],Libro_Diario[Fecha],"&gt;="&amp;'Libro Mayor'!DR$9,Libro_Diario[Fecha],"&lt;="&amp;EOMONTH('Libro Mayor'!DR$9,0))</f>
        <v>0</v>
      </c>
      <c r="DS25" s="24">
        <f>SUMIFS(Libro_Diario[[Cantidad ]],Libro_Diario[[Tipo ]],Gastos[[#Headers],[Gastos]],Libro_Diario[[Categoria ]],Gastos[[#This Row],[Gastos]],Libro_Diario[Fecha],"&gt;="&amp;'Libro Mayor'!DS$9,Libro_Diario[Fecha],"&lt;="&amp;EOMONTH('Libro Mayor'!DS$9,0))</f>
        <v>0</v>
      </c>
      <c r="DT25" s="24">
        <f>SUMIFS(Libro_Diario[[Cantidad ]],Libro_Diario[[Tipo ]],Gastos[[#Headers],[Gastos]],Libro_Diario[[Categoria ]],Gastos[[#This Row],[Gastos]],Libro_Diario[Fecha],"&gt;="&amp;'Libro Mayor'!DT$9,Libro_Diario[Fecha],"&lt;="&amp;EOMONTH('Libro Mayor'!DT$9,0))</f>
        <v>0</v>
      </c>
      <c r="DU25" s="24">
        <f>SUMIFS(Libro_Diario[[Cantidad ]],Libro_Diario[[Tipo ]],Gastos[[#Headers],[Gastos]],Libro_Diario[[Categoria ]],Gastos[[#This Row],[Gastos]],Libro_Diario[Fecha],"&gt;="&amp;'Libro Mayor'!DU$9,Libro_Diario[Fecha],"&lt;="&amp;EOMONTH('Libro Mayor'!DU$9,0))</f>
        <v>0</v>
      </c>
      <c r="DV25" s="24">
        <f>SUMIFS(Libro_Diario[[Cantidad ]],Libro_Diario[[Tipo ]],Gastos[[#Headers],[Gastos]],Libro_Diario[[Categoria ]],Gastos[[#This Row],[Gastos]],Libro_Diario[Fecha],"&gt;="&amp;'Libro Mayor'!DV$9,Libro_Diario[Fecha],"&lt;="&amp;EOMONTH('Libro Mayor'!DV$9,0))</f>
        <v>0</v>
      </c>
      <c r="DW25" s="24">
        <f>SUMIFS(Libro_Diario[[Cantidad ]],Libro_Diario[[Tipo ]],Gastos[[#Headers],[Gastos]],Libro_Diario[[Categoria ]],Gastos[[#This Row],[Gastos]],Libro_Diario[Fecha],"&gt;="&amp;'Libro Mayor'!DW$9,Libro_Diario[Fecha],"&lt;="&amp;EOMONTH('Libro Mayor'!DW$9,0))</f>
        <v>0</v>
      </c>
      <c r="DX25" s="24">
        <f>SUMIFS(Libro_Diario[Detalles],Libro_Diario[[Categoria ]],Gastos[[#Headers],[Gastos]],Libro_Diario[[Cantidad ]],Gastos[[#This Row],[Gastos]],Libro_Diario[[Tipo ]],"&gt;="&amp;'Libro Mayor'!DX$9,Libro_Diario[[Tipo ]],"&lt;="&amp;EOMONTH('Libro Mayor'!DX$9,0))</f>
        <v>0</v>
      </c>
      <c r="DY25" s="25">
        <f t="shared" ref="DY25:DY29" si="31">SUM(DM25:DX25)</f>
        <v>0</v>
      </c>
      <c r="EA25" s="24">
        <f>SUMIFS(Libro_Diario[[Cantidad ]],Libro_Diario[[Tipo ]],Gastos[[#Headers],[Gastos]],Libro_Diario[[Categoria ]],Gastos[[#This Row],[Gastos]],Libro_Diario[Fecha],"&gt;="&amp;'Libro Mayor'!EA$9,Libro_Diario[Fecha],"&lt;="&amp;EOMONTH('Libro Mayor'!EA$9,0))</f>
        <v>0</v>
      </c>
      <c r="EB25" s="24">
        <f>SUMIFS(Libro_Diario[[Cantidad ]],Libro_Diario[[Tipo ]],Gastos[[#Headers],[Gastos]],Libro_Diario[[Categoria ]],Gastos[[#This Row],[Gastos]],Libro_Diario[Fecha],"&gt;="&amp;'Libro Mayor'!EB$9,Libro_Diario[Fecha],"&lt;="&amp;EOMONTH('Libro Mayor'!EB$9,0))</f>
        <v>0</v>
      </c>
      <c r="EC25" s="24">
        <f>SUMIFS(Libro_Diario[[Cantidad ]],Libro_Diario[[Tipo ]],Gastos[[#Headers],[Gastos]],Libro_Diario[[Categoria ]],Gastos[[#This Row],[Gastos]],Libro_Diario[Fecha],"&gt;="&amp;'Libro Mayor'!EC$9,Libro_Diario[Fecha],"&lt;="&amp;EOMONTH('Libro Mayor'!EC$9,0))</f>
        <v>0</v>
      </c>
      <c r="ED25" s="24">
        <f>SUMIFS(Libro_Diario[[Cantidad ]],Libro_Diario[[Tipo ]],Gastos[[#Headers],[Gastos]],Libro_Diario[[Categoria ]],Gastos[[#This Row],[Gastos]],Libro_Diario[Fecha],"&gt;="&amp;'Libro Mayor'!ED$9,Libro_Diario[Fecha],"&lt;="&amp;EOMONTH('Libro Mayor'!ED$9,0))</f>
        <v>0</v>
      </c>
      <c r="EE25" s="24">
        <f>SUMIFS(Libro_Diario[[Cantidad ]],Libro_Diario[[Tipo ]],Gastos[[#Headers],[Gastos]],Libro_Diario[[Categoria ]],Gastos[[#This Row],[Gastos]],Libro_Diario[Fecha],"&gt;="&amp;'Libro Mayor'!EE$9,Libro_Diario[Fecha],"&lt;="&amp;EOMONTH('Libro Mayor'!EE$9,0))</f>
        <v>0</v>
      </c>
      <c r="EF25" s="24">
        <f>SUMIFS(Libro_Diario[[Cantidad ]],Libro_Diario[[Tipo ]],Gastos[[#Headers],[Gastos]],Libro_Diario[[Categoria ]],Gastos[[#This Row],[Gastos]],Libro_Diario[Fecha],"&gt;="&amp;'Libro Mayor'!EF$9,Libro_Diario[Fecha],"&lt;="&amp;EOMONTH('Libro Mayor'!EF$9,0))</f>
        <v>0</v>
      </c>
      <c r="EG25" s="24">
        <f>SUMIFS(Libro_Diario[[Cantidad ]],Libro_Diario[[Tipo ]],Gastos[[#Headers],[Gastos]],Libro_Diario[[Categoria ]],Gastos[[#This Row],[Gastos]],Libro_Diario[Fecha],"&gt;="&amp;'Libro Mayor'!EG$9,Libro_Diario[Fecha],"&lt;="&amp;EOMONTH('Libro Mayor'!EG$9,0))</f>
        <v>0</v>
      </c>
      <c r="EH25" s="24">
        <f>SUMIFS(Libro_Diario[[Cantidad ]],Libro_Diario[[Tipo ]],Gastos[[#Headers],[Gastos]],Libro_Diario[[Categoria ]],Gastos[[#This Row],[Gastos]],Libro_Diario[Fecha],"&gt;="&amp;'Libro Mayor'!EH$9,Libro_Diario[Fecha],"&lt;="&amp;EOMONTH('Libro Mayor'!EH$9,0))</f>
        <v>0</v>
      </c>
      <c r="EI25" s="24">
        <f>SUMIFS(Libro_Diario[[Cantidad ]],Libro_Diario[[Tipo ]],Gastos[[#Headers],[Gastos]],Libro_Diario[[Categoria ]],Gastos[[#This Row],[Gastos]],Libro_Diario[Fecha],"&gt;="&amp;'Libro Mayor'!EI$9,Libro_Diario[Fecha],"&lt;="&amp;EOMONTH('Libro Mayor'!EI$9,0))</f>
        <v>0</v>
      </c>
      <c r="EJ25" s="24">
        <f>SUMIFS(Libro_Diario[[Cantidad ]],Libro_Diario[[Tipo ]],Gastos[[#Headers],[Gastos]],Libro_Diario[[Categoria ]],Gastos[[#This Row],[Gastos]],Libro_Diario[Fecha],"&gt;="&amp;'Libro Mayor'!EJ$9,Libro_Diario[Fecha],"&lt;="&amp;EOMONTH('Libro Mayor'!EJ$9,0))</f>
        <v>0</v>
      </c>
      <c r="EK25" s="24">
        <f>SUMIFS(Libro_Diario[[Cantidad ]],Libro_Diario[[Tipo ]],Gastos[[#Headers],[Gastos]],Libro_Diario[[Categoria ]],Gastos[[#This Row],[Gastos]],Libro_Diario[Fecha],"&gt;="&amp;'Libro Mayor'!EK$9,Libro_Diario[Fecha],"&lt;="&amp;EOMONTH('Libro Mayor'!EK$9,0))</f>
        <v>0</v>
      </c>
      <c r="EL25" s="24">
        <f>SUMIFS(Libro_Diario[Detalles],Libro_Diario[[Categoria ]],Gastos[[#Headers],[Gastos]],Libro_Diario[[Cantidad ]],Gastos[[#This Row],[Gastos]],Libro_Diario[[Tipo ]],"&gt;="&amp;'Libro Mayor'!EL$9,Libro_Diario[[Tipo ]],"&lt;="&amp;EOMONTH('Libro Mayor'!EL$9,0))</f>
        <v>0</v>
      </c>
      <c r="EM25" s="25">
        <f t="shared" ref="EM25:EM29" si="32">SUM(EA25:EL25)</f>
        <v>0</v>
      </c>
      <c r="EO25" s="24">
        <f>SUMIFS(Libro_Diario[[Cantidad ]],Libro_Diario[[Tipo ]],Gastos[[#Headers],[Gastos]],Libro_Diario[[Categoria ]],Gastos[[#This Row],[Gastos]],Libro_Diario[Fecha],"&gt;="&amp;'Libro Mayor'!EO$9,Libro_Diario[Fecha],"&lt;="&amp;EOMONTH('Libro Mayor'!EO$9,0))</f>
        <v>0</v>
      </c>
      <c r="EP25" s="24">
        <f>SUMIFS(Libro_Diario[[Cantidad ]],Libro_Diario[[Tipo ]],Gastos[[#Headers],[Gastos]],Libro_Diario[[Categoria ]],Gastos[[#This Row],[Gastos]],Libro_Diario[Fecha],"&gt;="&amp;'Libro Mayor'!EP$9,Libro_Diario[Fecha],"&lt;="&amp;EOMONTH('Libro Mayor'!EP$9,0))</f>
        <v>0</v>
      </c>
      <c r="EQ25" s="24">
        <f>SUMIFS(Libro_Diario[[Cantidad ]],Libro_Diario[[Tipo ]],Gastos[[#Headers],[Gastos]],Libro_Diario[[Categoria ]],Gastos[[#This Row],[Gastos]],Libro_Diario[Fecha],"&gt;="&amp;'Libro Mayor'!EQ$9,Libro_Diario[Fecha],"&lt;="&amp;EOMONTH('Libro Mayor'!EQ$9,0))</f>
        <v>0</v>
      </c>
      <c r="ER25" s="24">
        <f>SUMIFS(Libro_Diario[[Cantidad ]],Libro_Diario[[Tipo ]],Gastos[[#Headers],[Gastos]],Libro_Diario[[Categoria ]],Gastos[[#This Row],[Gastos]],Libro_Diario[Fecha],"&gt;="&amp;'Libro Mayor'!ER$9,Libro_Diario[Fecha],"&lt;="&amp;EOMONTH('Libro Mayor'!ER$9,0))</f>
        <v>0</v>
      </c>
      <c r="ES25" s="24">
        <f>SUMIFS(Libro_Diario[[Cantidad ]],Libro_Diario[[Tipo ]],Gastos[[#Headers],[Gastos]],Libro_Diario[[Categoria ]],Gastos[[#This Row],[Gastos]],Libro_Diario[Fecha],"&gt;="&amp;'Libro Mayor'!ES$9,Libro_Diario[Fecha],"&lt;="&amp;EOMONTH('Libro Mayor'!ES$9,0))</f>
        <v>0</v>
      </c>
      <c r="ET25" s="24">
        <f>SUMIFS(Libro_Diario[[Cantidad ]],Libro_Diario[[Tipo ]],Gastos[[#Headers],[Gastos]],Libro_Diario[[Categoria ]],Gastos[[#This Row],[Gastos]],Libro_Diario[Fecha],"&gt;="&amp;'Libro Mayor'!ET$9,Libro_Diario[Fecha],"&lt;="&amp;EOMONTH('Libro Mayor'!ET$9,0))</f>
        <v>0</v>
      </c>
      <c r="EU25" s="24">
        <f>SUMIFS(Libro_Diario[[Cantidad ]],Libro_Diario[[Tipo ]],Gastos[[#Headers],[Gastos]],Libro_Diario[[Categoria ]],Gastos[[#This Row],[Gastos]],Libro_Diario[Fecha],"&gt;="&amp;'Libro Mayor'!EU$9,Libro_Diario[Fecha],"&lt;="&amp;EOMONTH('Libro Mayor'!EU$9,0))</f>
        <v>0</v>
      </c>
      <c r="EV25" s="24">
        <f>SUMIFS(Libro_Diario[[Cantidad ]],Libro_Diario[[Tipo ]],Gastos[[#Headers],[Gastos]],Libro_Diario[[Categoria ]],Gastos[[#This Row],[Gastos]],Libro_Diario[Fecha],"&gt;="&amp;'Libro Mayor'!EV$9,Libro_Diario[Fecha],"&lt;="&amp;EOMONTH('Libro Mayor'!EV$9,0))</f>
        <v>0</v>
      </c>
      <c r="EW25" s="24">
        <f>SUMIFS(Libro_Diario[[Cantidad ]],Libro_Diario[[Tipo ]],Gastos[[#Headers],[Gastos]],Libro_Diario[[Categoria ]],Gastos[[#This Row],[Gastos]],Libro_Diario[Fecha],"&gt;="&amp;'Libro Mayor'!EW$9,Libro_Diario[Fecha],"&lt;="&amp;EOMONTH('Libro Mayor'!EW$9,0))</f>
        <v>0</v>
      </c>
      <c r="EX25" s="24">
        <f>SUMIFS(Libro_Diario[[Cantidad ]],Libro_Diario[[Tipo ]],Gastos[[#Headers],[Gastos]],Libro_Diario[[Categoria ]],Gastos[[#This Row],[Gastos]],Libro_Diario[Fecha],"&gt;="&amp;'Libro Mayor'!EX$9,Libro_Diario[Fecha],"&lt;="&amp;EOMONTH('Libro Mayor'!EX$9,0))</f>
        <v>0</v>
      </c>
      <c r="EY25" s="24">
        <f>SUMIFS(Libro_Diario[[Cantidad ]],Libro_Diario[[Tipo ]],Gastos[[#Headers],[Gastos]],Libro_Diario[[Categoria ]],Gastos[[#This Row],[Gastos]],Libro_Diario[Fecha],"&gt;="&amp;'Libro Mayor'!EY$9,Libro_Diario[Fecha],"&lt;="&amp;EOMONTH('Libro Mayor'!EY$9,0))</f>
        <v>0</v>
      </c>
      <c r="EZ25" s="24">
        <f>SUMIFS(Libro_Diario[[Cantidad ]],Libro_Diario[[Tipo ]],Gastos[[#Headers],[Gastos]],Libro_Diario[[Categoria ]],Gastos[[#This Row],[Gastos]],Libro_Diario[Fecha],"&gt;="&amp;'Libro Mayor'!EZ$9,Libro_Diario[Fecha],"&lt;="&amp;EOMONTH('Libro Mayor'!EZ$9,0))</f>
        <v>0</v>
      </c>
      <c r="FA25" s="25">
        <f t="shared" si="22"/>
        <v>0</v>
      </c>
    </row>
    <row r="26" spans="3:157" x14ac:dyDescent="0.3">
      <c r="C26" s="17" t="s">
        <v>13</v>
      </c>
      <c r="D26" s="23"/>
      <c r="E26" s="24">
        <f>SUMIFS(Libro_Diario[[Cantidad ]],Libro_Diario[[Tipo ]],Gastos[[#Headers],[Gastos]],Libro_Diario[[Categoria ]],Gastos[[#This Row],[Gastos]],Libro_Diario[Fecha],"&gt;="&amp;'Libro Mayor'!E$9,Libro_Diario[Fecha],"&lt;="&amp;EOMONTH('Libro Mayor'!E$9,0))</f>
        <v>0</v>
      </c>
      <c r="F26" s="24">
        <f>SUMIFS(Libro_Diario[[Cantidad ]],Libro_Diario[[Tipo ]],Gastos[[#Headers],[Gastos]],Libro_Diario[[Categoria ]],Gastos[[#This Row],[Gastos]],Libro_Diario[Fecha],"&gt;="&amp;'Libro Mayor'!F$9,Libro_Diario[Fecha],"&lt;="&amp;EOMONTH('Libro Mayor'!F$9,0))</f>
        <v>0</v>
      </c>
      <c r="G26" s="24">
        <f>SUMIFS(Libro_Diario[[Cantidad ]],Libro_Diario[[Tipo ]],Gastos[[#Headers],[Gastos]],Libro_Diario[[Categoria ]],Gastos[[#This Row],[Gastos]],Libro_Diario[Fecha],"&gt;="&amp;'Libro Mayor'!G$9,Libro_Diario[Fecha],"&lt;="&amp;EOMONTH('Libro Mayor'!G$9,0))</f>
        <v>0</v>
      </c>
      <c r="H26" s="24">
        <f>SUMIFS(Libro_Diario[[Cantidad ]],Libro_Diario[[Tipo ]],Gastos[[#Headers],[Gastos]],Libro_Diario[[Categoria ]],Gastos[[#This Row],[Gastos]],Libro_Diario[Fecha],"&gt;="&amp;'Libro Mayor'!H$9,Libro_Diario[Fecha],"&lt;="&amp;EOMONTH('Libro Mayor'!H$9,0))</f>
        <v>0</v>
      </c>
      <c r="I26" s="24">
        <f>SUMIFS(Libro_Diario[[Cantidad ]],Libro_Diario[[Tipo ]],Gastos[[#Headers],[Gastos]],Libro_Diario[[Categoria ]],Gastos[[#This Row],[Gastos]],Libro_Diario[Fecha],"&gt;="&amp;'Libro Mayor'!I$9,Libro_Diario[Fecha],"&lt;="&amp;EOMONTH('Libro Mayor'!I$9,0))</f>
        <v>0</v>
      </c>
      <c r="J26" s="24">
        <f>SUMIFS(Libro_Diario[[Cantidad ]],Libro_Diario[[Tipo ]],Gastos[[#Headers],[Gastos]],Libro_Diario[[Categoria ]],Gastos[[#This Row],[Gastos]],Libro_Diario[Fecha],"&gt;="&amp;'Libro Mayor'!J$9,Libro_Diario[Fecha],"&lt;="&amp;EOMONTH('Libro Mayor'!J$9,0))</f>
        <v>0</v>
      </c>
      <c r="K26" s="24">
        <f>SUMIFS(Libro_Diario[[Cantidad ]],Libro_Diario[[Tipo ]],Gastos[[#Headers],[Gastos]],Libro_Diario[[Categoria ]],Gastos[[#This Row],[Gastos]],Libro_Diario[Fecha],"&gt;="&amp;'Libro Mayor'!K$9,Libro_Diario[Fecha],"&lt;="&amp;EOMONTH('Libro Mayor'!K$9,0))</f>
        <v>0</v>
      </c>
      <c r="L26" s="24">
        <f>SUMIFS(Libro_Diario[[Cantidad ]],Libro_Diario[[Tipo ]],Gastos[[#Headers],[Gastos]],Libro_Diario[[Categoria ]],Gastos[[#This Row],[Gastos]],Libro_Diario[Fecha],"&gt;="&amp;'Libro Mayor'!L$9,Libro_Diario[Fecha],"&lt;="&amp;EOMONTH('Libro Mayor'!L$9,0))</f>
        <v>0</v>
      </c>
      <c r="M26" s="24">
        <f>SUMIFS(Libro_Diario[[Cantidad ]],Libro_Diario[[Tipo ]],Gastos[[#Headers],[Gastos]],Libro_Diario[[Categoria ]],Gastos[[#This Row],[Gastos]],Libro_Diario[Fecha],"&gt;="&amp;'Libro Mayor'!M$9,Libro_Diario[Fecha],"&lt;="&amp;EOMONTH('Libro Mayor'!M$9,0))</f>
        <v>0</v>
      </c>
      <c r="N26" s="24">
        <f>SUMIFS(Libro_Diario[[Cantidad ]],Libro_Diario[[Tipo ]],Gastos[[#Headers],[Gastos]],Libro_Diario[[Categoria ]],Gastos[[#This Row],[Gastos]],Libro_Diario[Fecha],"&gt;="&amp;'Libro Mayor'!N$9,Libro_Diario[Fecha],"&lt;="&amp;EOMONTH('Libro Mayor'!N$9,0))</f>
        <v>0</v>
      </c>
      <c r="O26" s="24">
        <f>SUMIFS(Libro_Diario[[Cantidad ]],Libro_Diario[[Tipo ]],Gastos[[#Headers],[Gastos]],Libro_Diario[[Categoria ]],Gastos[[#This Row],[Gastos]],Libro_Diario[Fecha],"&gt;="&amp;'Libro Mayor'!O$9,Libro_Diario[Fecha],"&lt;="&amp;EOMONTH('Libro Mayor'!O$9,0))</f>
        <v>0</v>
      </c>
      <c r="P26" s="24">
        <f>SUMIFS(Libro_Diario[[Cantidad ]],Libro_Diario[[Tipo ]],Gastos[[#Headers],[Gastos]],Libro_Diario[[Categoria ]],Gastos[[#This Row],[Gastos]],Libro_Diario[Fecha],"&gt;="&amp;'Libro Mayor'!P$9,Libro_Diario[Fecha],"&lt;="&amp;EOMONTH('Libro Mayor'!P$9,0))</f>
        <v>0</v>
      </c>
      <c r="Q26" s="25">
        <f t="shared" si="23"/>
        <v>0</v>
      </c>
      <c r="S26" s="24">
        <f>SUMIFS(Libro_Diario[[Cantidad ]],Libro_Diario[[Tipo ]],Gastos[[#Headers],[Gastos]],Libro_Diario[[Categoria ]],Gastos[[#This Row],[Gastos]],Libro_Diario[Fecha],"&gt;="&amp;'Libro Mayor'!S$9,Libro_Diario[Fecha],"&lt;="&amp;EOMONTH('Libro Mayor'!S$9,0))</f>
        <v>0</v>
      </c>
      <c r="T26" s="24">
        <f>SUMIFS(Libro_Diario[[Cantidad ]],Libro_Diario[[Tipo ]],Gastos[[#Headers],[Gastos]],Libro_Diario[[Categoria ]],Gastos[[#This Row],[Gastos]],Libro_Diario[Fecha],"&gt;="&amp;'Libro Mayor'!T$9,Libro_Diario[Fecha],"&lt;="&amp;EOMONTH('Libro Mayor'!T$9,0))</f>
        <v>0</v>
      </c>
      <c r="U26" s="24">
        <f>SUMIFS(Libro_Diario[[Cantidad ]],Libro_Diario[[Tipo ]],Gastos[[#Headers],[Gastos]],Libro_Diario[[Categoria ]],Gastos[[#This Row],[Gastos]],Libro_Diario[Fecha],"&gt;="&amp;'Libro Mayor'!U$9,Libro_Diario[Fecha],"&lt;="&amp;EOMONTH('Libro Mayor'!U$9,0))</f>
        <v>0</v>
      </c>
      <c r="V26" s="24">
        <f>SUMIFS(Libro_Diario[[Cantidad ]],Libro_Diario[[Tipo ]],Gastos[[#Headers],[Gastos]],Libro_Diario[[Categoria ]],Gastos[[#This Row],[Gastos]],Libro_Diario[Fecha],"&gt;="&amp;'Libro Mayor'!V$9,Libro_Diario[Fecha],"&lt;="&amp;EOMONTH('Libro Mayor'!V$9,0))</f>
        <v>0</v>
      </c>
      <c r="W26" s="24">
        <f>SUMIFS(Libro_Diario[[Cantidad ]],Libro_Diario[[Tipo ]],Gastos[[#Headers],[Gastos]],Libro_Diario[[Categoria ]],Gastos[[#This Row],[Gastos]],Libro_Diario[Fecha],"&gt;="&amp;'Libro Mayor'!W$9,Libro_Diario[Fecha],"&lt;="&amp;EOMONTH('Libro Mayor'!W$9,0))</f>
        <v>0</v>
      </c>
      <c r="X26" s="24">
        <f>SUMIFS(Libro_Diario[[Cantidad ]],Libro_Diario[[Tipo ]],Gastos[[#Headers],[Gastos]],Libro_Diario[[Categoria ]],Gastos[[#This Row],[Gastos]],Libro_Diario[Fecha],"&gt;="&amp;'Libro Mayor'!X$9,Libro_Diario[Fecha],"&lt;="&amp;EOMONTH('Libro Mayor'!X$9,0))</f>
        <v>0</v>
      </c>
      <c r="Y26" s="24">
        <f>SUMIFS(Libro_Diario[[Cantidad ]],Libro_Diario[[Tipo ]],Gastos[[#Headers],[Gastos]],Libro_Diario[[Categoria ]],Gastos[[#This Row],[Gastos]],Libro_Diario[Fecha],"&gt;="&amp;'Libro Mayor'!Y$9,Libro_Diario[Fecha],"&lt;="&amp;EOMONTH('Libro Mayor'!Y$9,0))</f>
        <v>0</v>
      </c>
      <c r="Z26" s="24">
        <f>SUMIFS(Libro_Diario[[Cantidad ]],Libro_Diario[[Tipo ]],Gastos[[#Headers],[Gastos]],Libro_Diario[[Categoria ]],Gastos[[#This Row],[Gastos]],Libro_Diario[Fecha],"&gt;="&amp;'Libro Mayor'!Z$9,Libro_Diario[Fecha],"&lt;="&amp;EOMONTH('Libro Mayor'!Z$9,0))</f>
        <v>0</v>
      </c>
      <c r="AA26" s="24">
        <f>SUMIFS(Libro_Diario[[Cantidad ]],Libro_Diario[[Tipo ]],Gastos[[#Headers],[Gastos]],Libro_Diario[[Categoria ]],Gastos[[#This Row],[Gastos]],Libro_Diario[Fecha],"&gt;="&amp;'Libro Mayor'!AA$9,Libro_Diario[Fecha],"&lt;="&amp;EOMONTH('Libro Mayor'!AA$9,0))</f>
        <v>0</v>
      </c>
      <c r="AB26" s="24">
        <f>SUMIFS(Libro_Diario[[Cantidad ]],Libro_Diario[[Tipo ]],Gastos[[#Headers],[Gastos]],Libro_Diario[[Categoria ]],Gastos[[#This Row],[Gastos]],Libro_Diario[Fecha],"&gt;="&amp;'Libro Mayor'!AB$9,Libro_Diario[Fecha],"&lt;="&amp;EOMONTH('Libro Mayor'!AB$9,0))</f>
        <v>0</v>
      </c>
      <c r="AC26" s="24">
        <f>SUMIFS(Libro_Diario[[Cantidad ]],Libro_Diario[[Tipo ]],Gastos[[#Headers],[Gastos]],Libro_Diario[[Categoria ]],Gastos[[#This Row],[Gastos]],Libro_Diario[Fecha],"&gt;="&amp;'Libro Mayor'!AC$9,Libro_Diario[Fecha],"&lt;="&amp;EOMONTH('Libro Mayor'!AC$9,0))</f>
        <v>0</v>
      </c>
      <c r="AD26" s="24">
        <f>SUMIFS(Libro_Diario[Detalles],Libro_Diario[[Categoria ]],Gastos[[#Headers],[Gastos]],Libro_Diario[[Cantidad ]],Gastos[[#This Row],[Gastos]],Libro_Diario[[Tipo ]],"&gt;="&amp;'Libro Mayor'!AD$9,Libro_Diario[[Tipo ]],"&lt;="&amp;EOMONTH('Libro Mayor'!AD$9,0))</f>
        <v>0</v>
      </c>
      <c r="AE26" s="25">
        <f t="shared" si="24"/>
        <v>0</v>
      </c>
      <c r="AG26" s="24">
        <f>SUMIFS(Libro_Diario[[Cantidad ]],Libro_Diario[[Tipo ]],Gastos[[#Headers],[Gastos]],Libro_Diario[[Categoria ]],Gastos[[#This Row],[Gastos]],Libro_Diario[Fecha],"&gt;="&amp;'Libro Mayor'!AG$9,Libro_Diario[Fecha],"&lt;="&amp;EOMONTH('Libro Mayor'!AG$9,0))</f>
        <v>0</v>
      </c>
      <c r="AH26" s="24">
        <f>SUMIFS(Libro_Diario[[Cantidad ]],Libro_Diario[[Tipo ]],Gastos[[#Headers],[Gastos]],Libro_Diario[[Categoria ]],Gastos[[#This Row],[Gastos]],Libro_Diario[Fecha],"&gt;="&amp;'Libro Mayor'!AH$9,Libro_Diario[Fecha],"&lt;="&amp;EOMONTH('Libro Mayor'!AH$9,0))</f>
        <v>0</v>
      </c>
      <c r="AI26" s="24">
        <f>SUMIFS(Libro_Diario[[Cantidad ]],Libro_Diario[[Tipo ]],Gastos[[#Headers],[Gastos]],Libro_Diario[[Categoria ]],Gastos[[#This Row],[Gastos]],Libro_Diario[Fecha],"&gt;="&amp;'Libro Mayor'!AI$9,Libro_Diario[Fecha],"&lt;="&amp;EOMONTH('Libro Mayor'!AI$9,0))</f>
        <v>0</v>
      </c>
      <c r="AJ26" s="24">
        <f>SUMIFS(Libro_Diario[[Cantidad ]],Libro_Diario[[Tipo ]],Gastos[[#Headers],[Gastos]],Libro_Diario[[Categoria ]],Gastos[[#This Row],[Gastos]],Libro_Diario[Fecha],"&gt;="&amp;'Libro Mayor'!AJ$9,Libro_Diario[Fecha],"&lt;="&amp;EOMONTH('Libro Mayor'!AJ$9,0))</f>
        <v>0</v>
      </c>
      <c r="AK26" s="24">
        <f>SUMIFS(Libro_Diario[[Cantidad ]],Libro_Diario[[Tipo ]],Gastos[[#Headers],[Gastos]],Libro_Diario[[Categoria ]],Gastos[[#This Row],[Gastos]],Libro_Diario[Fecha],"&gt;="&amp;'Libro Mayor'!AK$9,Libro_Diario[Fecha],"&lt;="&amp;EOMONTH('Libro Mayor'!AK$9,0))</f>
        <v>0</v>
      </c>
      <c r="AL26" s="24">
        <f>SUMIFS(Libro_Diario[[Cantidad ]],Libro_Diario[[Tipo ]],Gastos[[#Headers],[Gastos]],Libro_Diario[[Categoria ]],Gastos[[#This Row],[Gastos]],Libro_Diario[Fecha],"&gt;="&amp;'Libro Mayor'!AL$9,Libro_Diario[Fecha],"&lt;="&amp;EOMONTH('Libro Mayor'!AL$9,0))</f>
        <v>0</v>
      </c>
      <c r="AM26" s="24">
        <f>SUMIFS(Libro_Diario[[Cantidad ]],Libro_Diario[[Tipo ]],Gastos[[#Headers],[Gastos]],Libro_Diario[[Categoria ]],Gastos[[#This Row],[Gastos]],Libro_Diario[Fecha],"&gt;="&amp;'Libro Mayor'!AM$9,Libro_Diario[Fecha],"&lt;="&amp;EOMONTH('Libro Mayor'!AM$9,0))</f>
        <v>0</v>
      </c>
      <c r="AN26" s="24">
        <f>SUMIFS(Libro_Diario[[Cantidad ]],Libro_Diario[[Tipo ]],Gastos[[#Headers],[Gastos]],Libro_Diario[[Categoria ]],Gastos[[#This Row],[Gastos]],Libro_Diario[Fecha],"&gt;="&amp;'Libro Mayor'!AN$9,Libro_Diario[Fecha],"&lt;="&amp;EOMONTH('Libro Mayor'!AN$9,0))</f>
        <v>0</v>
      </c>
      <c r="AO26" s="24">
        <f>SUMIFS(Libro_Diario[[Cantidad ]],Libro_Diario[[Tipo ]],Gastos[[#Headers],[Gastos]],Libro_Diario[[Categoria ]],Gastos[[#This Row],[Gastos]],Libro_Diario[Fecha],"&gt;="&amp;'Libro Mayor'!AO$9,Libro_Diario[Fecha],"&lt;="&amp;EOMONTH('Libro Mayor'!AO$9,0))</f>
        <v>0</v>
      </c>
      <c r="AP26" s="24">
        <f>SUMIFS(Libro_Diario[[Cantidad ]],Libro_Diario[[Tipo ]],Gastos[[#Headers],[Gastos]],Libro_Diario[[Categoria ]],Gastos[[#This Row],[Gastos]],Libro_Diario[Fecha],"&gt;="&amp;'Libro Mayor'!AP$9,Libro_Diario[Fecha],"&lt;="&amp;EOMONTH('Libro Mayor'!AP$9,0))</f>
        <v>0</v>
      </c>
      <c r="AQ26" s="24">
        <f>SUMIFS(Libro_Diario[[Cantidad ]],Libro_Diario[[Tipo ]],Gastos[[#Headers],[Gastos]],Libro_Diario[[Categoria ]],Gastos[[#This Row],[Gastos]],Libro_Diario[Fecha],"&gt;="&amp;'Libro Mayor'!AQ$9,Libro_Diario[Fecha],"&lt;="&amp;EOMONTH('Libro Mayor'!AQ$9,0))</f>
        <v>0</v>
      </c>
      <c r="AR26" s="24">
        <f>SUMIFS(Libro_Diario[Detalles],Libro_Diario[[Categoria ]],Gastos[[#Headers],[Gastos]],Libro_Diario[[Cantidad ]],Gastos[[#This Row],[Gastos]],Libro_Diario[[Tipo ]],"&gt;="&amp;'Libro Mayor'!AR$9,Libro_Diario[[Tipo ]],"&lt;="&amp;EOMONTH('Libro Mayor'!AR$9,0))</f>
        <v>0</v>
      </c>
      <c r="AS26" s="25">
        <f t="shared" si="25"/>
        <v>0</v>
      </c>
      <c r="AU26" s="24">
        <f>SUMIFS(Libro_Diario[[Cantidad ]],Libro_Diario[[Tipo ]],Gastos[[#Headers],[Gastos]],Libro_Diario[[Categoria ]],Gastos[[#This Row],[Gastos]],Libro_Diario[Fecha],"&gt;="&amp;'Libro Mayor'!AU$9,Libro_Diario[Fecha],"&lt;="&amp;EOMONTH('Libro Mayor'!AU$9,0))</f>
        <v>0</v>
      </c>
      <c r="AV26" s="24">
        <f>SUMIFS(Libro_Diario[[Cantidad ]],Libro_Diario[[Tipo ]],Gastos[[#Headers],[Gastos]],Libro_Diario[[Categoria ]],Gastos[[#This Row],[Gastos]],Libro_Diario[Fecha],"&gt;="&amp;'Libro Mayor'!AV$9,Libro_Diario[Fecha],"&lt;="&amp;EOMONTH('Libro Mayor'!AV$9,0))</f>
        <v>0</v>
      </c>
      <c r="AW26" s="24">
        <f>SUMIFS(Libro_Diario[[Cantidad ]],Libro_Diario[[Tipo ]],Gastos[[#Headers],[Gastos]],Libro_Diario[[Categoria ]],Gastos[[#This Row],[Gastos]],Libro_Diario[Fecha],"&gt;="&amp;'Libro Mayor'!AW$9,Libro_Diario[Fecha],"&lt;="&amp;EOMONTH('Libro Mayor'!AW$9,0))</f>
        <v>0</v>
      </c>
      <c r="AX26" s="24">
        <f>SUMIFS(Libro_Diario[[Cantidad ]],Libro_Diario[[Tipo ]],Gastos[[#Headers],[Gastos]],Libro_Diario[[Categoria ]],Gastos[[#This Row],[Gastos]],Libro_Diario[Fecha],"&gt;="&amp;'Libro Mayor'!AX$9,Libro_Diario[Fecha],"&lt;="&amp;EOMONTH('Libro Mayor'!AX$9,0))</f>
        <v>0</v>
      </c>
      <c r="AY26" s="24">
        <f>SUMIFS(Libro_Diario[[Cantidad ]],Libro_Diario[[Tipo ]],Gastos[[#Headers],[Gastos]],Libro_Diario[[Categoria ]],Gastos[[#This Row],[Gastos]],Libro_Diario[Fecha],"&gt;="&amp;'Libro Mayor'!AY$9,Libro_Diario[Fecha],"&lt;="&amp;EOMONTH('Libro Mayor'!AY$9,0))</f>
        <v>0</v>
      </c>
      <c r="AZ26" s="24">
        <f>SUMIFS(Libro_Diario[[Cantidad ]],Libro_Diario[[Tipo ]],Gastos[[#Headers],[Gastos]],Libro_Diario[[Categoria ]],Gastos[[#This Row],[Gastos]],Libro_Diario[Fecha],"&gt;="&amp;'Libro Mayor'!AZ$9,Libro_Diario[Fecha],"&lt;="&amp;EOMONTH('Libro Mayor'!AZ$9,0))</f>
        <v>0</v>
      </c>
      <c r="BA26" s="24">
        <f>SUMIFS(Libro_Diario[[Cantidad ]],Libro_Diario[[Tipo ]],Gastos[[#Headers],[Gastos]],Libro_Diario[[Categoria ]],Gastos[[#This Row],[Gastos]],Libro_Diario[Fecha],"&gt;="&amp;'Libro Mayor'!BA$9,Libro_Diario[Fecha],"&lt;="&amp;EOMONTH('Libro Mayor'!BA$9,0))</f>
        <v>0</v>
      </c>
      <c r="BB26" s="24">
        <f>SUMIFS(Libro_Diario[[Cantidad ]],Libro_Diario[[Tipo ]],Gastos[[#Headers],[Gastos]],Libro_Diario[[Categoria ]],Gastos[[#This Row],[Gastos]],Libro_Diario[Fecha],"&gt;="&amp;'Libro Mayor'!BB$9,Libro_Diario[Fecha],"&lt;="&amp;EOMONTH('Libro Mayor'!BB$9,0))</f>
        <v>0</v>
      </c>
      <c r="BC26" s="24">
        <f>SUMIFS(Libro_Diario[[Cantidad ]],Libro_Diario[[Tipo ]],Gastos[[#Headers],[Gastos]],Libro_Diario[[Categoria ]],Gastos[[#This Row],[Gastos]],Libro_Diario[Fecha],"&gt;="&amp;'Libro Mayor'!BC$9,Libro_Diario[Fecha],"&lt;="&amp;EOMONTH('Libro Mayor'!BC$9,0))</f>
        <v>0</v>
      </c>
      <c r="BD26" s="24">
        <f>SUMIFS(Libro_Diario[[Cantidad ]],Libro_Diario[[Tipo ]],Gastos[[#Headers],[Gastos]],Libro_Diario[[Categoria ]],Gastos[[#This Row],[Gastos]],Libro_Diario[Fecha],"&gt;="&amp;'Libro Mayor'!BD$9,Libro_Diario[Fecha],"&lt;="&amp;EOMONTH('Libro Mayor'!BD$9,0))</f>
        <v>0</v>
      </c>
      <c r="BE26" s="24">
        <f>SUMIFS(Libro_Diario[[Cantidad ]],Libro_Diario[[Tipo ]],Gastos[[#Headers],[Gastos]],Libro_Diario[[Categoria ]],Gastos[[#This Row],[Gastos]],Libro_Diario[Fecha],"&gt;="&amp;'Libro Mayor'!BE$9,Libro_Diario[Fecha],"&lt;="&amp;EOMONTH('Libro Mayor'!BE$9,0))</f>
        <v>0</v>
      </c>
      <c r="BF26" s="24">
        <f>SUMIFS(Libro_Diario[Detalles],Libro_Diario[[Categoria ]],Gastos[[#Headers],[Gastos]],Libro_Diario[[Cantidad ]],Gastos[[#This Row],[Gastos]],Libro_Diario[[Tipo ]],"&gt;="&amp;'Libro Mayor'!BF$9,Libro_Diario[[Tipo ]],"&lt;="&amp;EOMONTH('Libro Mayor'!BF$9,0))</f>
        <v>0</v>
      </c>
      <c r="BG26" s="25">
        <f t="shared" si="26"/>
        <v>0</v>
      </c>
      <c r="BI26" s="24">
        <f>SUMIFS(Libro_Diario[[Cantidad ]],Libro_Diario[[Tipo ]],Gastos[[#Headers],[Gastos]],Libro_Diario[[Categoria ]],Gastos[[#This Row],[Gastos]],Libro_Diario[Fecha],"&gt;="&amp;'Libro Mayor'!BI$9,Libro_Diario[Fecha],"&lt;="&amp;EOMONTH('Libro Mayor'!BI$9,0))</f>
        <v>0</v>
      </c>
      <c r="BJ26" s="24">
        <f>SUMIFS(Libro_Diario[[Cantidad ]],Libro_Diario[[Tipo ]],Gastos[[#Headers],[Gastos]],Libro_Diario[[Categoria ]],Gastos[[#This Row],[Gastos]],Libro_Diario[Fecha],"&gt;="&amp;'Libro Mayor'!BJ$9,Libro_Diario[Fecha],"&lt;="&amp;EOMONTH('Libro Mayor'!BJ$9,0))</f>
        <v>0</v>
      </c>
      <c r="BK26" s="24">
        <f>SUMIFS(Libro_Diario[[Cantidad ]],Libro_Diario[[Tipo ]],Gastos[[#Headers],[Gastos]],Libro_Diario[[Categoria ]],Gastos[[#This Row],[Gastos]],Libro_Diario[Fecha],"&gt;="&amp;'Libro Mayor'!BK$9,Libro_Diario[Fecha],"&lt;="&amp;EOMONTH('Libro Mayor'!BK$9,0))</f>
        <v>0</v>
      </c>
      <c r="BL26" s="24">
        <f>SUMIFS(Libro_Diario[[Cantidad ]],Libro_Diario[[Tipo ]],Gastos[[#Headers],[Gastos]],Libro_Diario[[Categoria ]],Gastos[[#This Row],[Gastos]],Libro_Diario[Fecha],"&gt;="&amp;'Libro Mayor'!BL$9,Libro_Diario[Fecha],"&lt;="&amp;EOMONTH('Libro Mayor'!BL$9,0))</f>
        <v>0</v>
      </c>
      <c r="BM26" s="24">
        <f>SUMIFS(Libro_Diario[[Cantidad ]],Libro_Diario[[Tipo ]],Gastos[[#Headers],[Gastos]],Libro_Diario[[Categoria ]],Gastos[[#This Row],[Gastos]],Libro_Diario[Fecha],"&gt;="&amp;'Libro Mayor'!BM$9,Libro_Diario[Fecha],"&lt;="&amp;EOMONTH('Libro Mayor'!BM$9,0))</f>
        <v>0</v>
      </c>
      <c r="BN26" s="24">
        <f>SUMIFS(Libro_Diario[[Cantidad ]],Libro_Diario[[Tipo ]],Gastos[[#Headers],[Gastos]],Libro_Diario[[Categoria ]],Gastos[[#This Row],[Gastos]],Libro_Diario[Fecha],"&gt;="&amp;'Libro Mayor'!BN$9,Libro_Diario[Fecha],"&lt;="&amp;EOMONTH('Libro Mayor'!BN$9,0))</f>
        <v>0</v>
      </c>
      <c r="BO26" s="24">
        <f>SUMIFS(Libro_Diario[[Cantidad ]],Libro_Diario[[Tipo ]],Gastos[[#Headers],[Gastos]],Libro_Diario[[Categoria ]],Gastos[[#This Row],[Gastos]],Libro_Diario[Fecha],"&gt;="&amp;'Libro Mayor'!BO$9,Libro_Diario[Fecha],"&lt;="&amp;EOMONTH('Libro Mayor'!BO$9,0))</f>
        <v>0</v>
      </c>
      <c r="BP26" s="24">
        <f>SUMIFS(Libro_Diario[[Cantidad ]],Libro_Diario[[Tipo ]],Gastos[[#Headers],[Gastos]],Libro_Diario[[Categoria ]],Gastos[[#This Row],[Gastos]],Libro_Diario[Fecha],"&gt;="&amp;'Libro Mayor'!BP$9,Libro_Diario[Fecha],"&lt;="&amp;EOMONTH('Libro Mayor'!BP$9,0))</f>
        <v>0</v>
      </c>
      <c r="BQ26" s="24">
        <f>SUMIFS(Libro_Diario[[Cantidad ]],Libro_Diario[[Tipo ]],Gastos[[#Headers],[Gastos]],Libro_Diario[[Categoria ]],Gastos[[#This Row],[Gastos]],Libro_Diario[Fecha],"&gt;="&amp;'Libro Mayor'!BQ$9,Libro_Diario[Fecha],"&lt;="&amp;EOMONTH('Libro Mayor'!BQ$9,0))</f>
        <v>0</v>
      </c>
      <c r="BR26" s="24">
        <f>SUMIFS(Libro_Diario[[Cantidad ]],Libro_Diario[[Tipo ]],Gastos[[#Headers],[Gastos]],Libro_Diario[[Categoria ]],Gastos[[#This Row],[Gastos]],Libro_Diario[Fecha],"&gt;="&amp;'Libro Mayor'!BR$9,Libro_Diario[Fecha],"&lt;="&amp;EOMONTH('Libro Mayor'!BR$9,0))</f>
        <v>0</v>
      </c>
      <c r="BS26" s="24">
        <f>SUMIFS(Libro_Diario[[Cantidad ]],Libro_Diario[[Tipo ]],Gastos[[#Headers],[Gastos]],Libro_Diario[[Categoria ]],Gastos[[#This Row],[Gastos]],Libro_Diario[Fecha],"&gt;="&amp;'Libro Mayor'!BS$9,Libro_Diario[Fecha],"&lt;="&amp;EOMONTH('Libro Mayor'!BS$9,0))</f>
        <v>0</v>
      </c>
      <c r="BT26" s="24">
        <f>SUMIFS(Libro_Diario[Detalles],Libro_Diario[[Categoria ]],Gastos[[#Headers],[Gastos]],Libro_Diario[[Cantidad ]],Gastos[[#This Row],[Gastos]],Libro_Diario[[Tipo ]],"&gt;="&amp;'Libro Mayor'!BT$9,Libro_Diario[[Tipo ]],"&lt;="&amp;EOMONTH('Libro Mayor'!BT$9,0))</f>
        <v>0</v>
      </c>
      <c r="BU26" s="25">
        <f t="shared" si="27"/>
        <v>0</v>
      </c>
      <c r="BW26" s="24">
        <f>SUMIFS(Libro_Diario[[Cantidad ]],Libro_Diario[[Tipo ]],Gastos[[#Headers],[Gastos]],Libro_Diario[[Categoria ]],Gastos[[#This Row],[Gastos]],Libro_Diario[Fecha],"&gt;="&amp;'Libro Mayor'!BW$9,Libro_Diario[Fecha],"&lt;="&amp;EOMONTH('Libro Mayor'!BW$9,0))</f>
        <v>0</v>
      </c>
      <c r="BX26" s="24">
        <f>SUMIFS(Libro_Diario[[Cantidad ]],Libro_Diario[[Tipo ]],Gastos[[#Headers],[Gastos]],Libro_Diario[[Categoria ]],Gastos[[#This Row],[Gastos]],Libro_Diario[Fecha],"&gt;="&amp;'Libro Mayor'!BX$9,Libro_Diario[Fecha],"&lt;="&amp;EOMONTH('Libro Mayor'!BX$9,0))</f>
        <v>0</v>
      </c>
      <c r="BY26" s="24">
        <f>SUMIFS(Libro_Diario[[Cantidad ]],Libro_Diario[[Tipo ]],Gastos[[#Headers],[Gastos]],Libro_Diario[[Categoria ]],Gastos[[#This Row],[Gastos]],Libro_Diario[Fecha],"&gt;="&amp;'Libro Mayor'!BY$9,Libro_Diario[Fecha],"&lt;="&amp;EOMONTH('Libro Mayor'!BY$9,0))</f>
        <v>0</v>
      </c>
      <c r="BZ26" s="24">
        <f>SUMIFS(Libro_Diario[[Cantidad ]],Libro_Diario[[Tipo ]],Gastos[[#Headers],[Gastos]],Libro_Diario[[Categoria ]],Gastos[[#This Row],[Gastos]],Libro_Diario[Fecha],"&gt;="&amp;'Libro Mayor'!BZ$9,Libro_Diario[Fecha],"&lt;="&amp;EOMONTH('Libro Mayor'!BZ$9,0))</f>
        <v>0</v>
      </c>
      <c r="CA26" s="24">
        <f>SUMIFS(Libro_Diario[[Cantidad ]],Libro_Diario[[Tipo ]],Gastos[[#Headers],[Gastos]],Libro_Diario[[Categoria ]],Gastos[[#This Row],[Gastos]],Libro_Diario[Fecha],"&gt;="&amp;'Libro Mayor'!CA$9,Libro_Diario[Fecha],"&lt;="&amp;EOMONTH('Libro Mayor'!CA$9,0))</f>
        <v>0</v>
      </c>
      <c r="CB26" s="24">
        <f>SUMIFS(Libro_Diario[[Cantidad ]],Libro_Diario[[Tipo ]],Gastos[[#Headers],[Gastos]],Libro_Diario[[Categoria ]],Gastos[[#This Row],[Gastos]],Libro_Diario[Fecha],"&gt;="&amp;'Libro Mayor'!CB$9,Libro_Diario[Fecha],"&lt;="&amp;EOMONTH('Libro Mayor'!CB$9,0))</f>
        <v>0</v>
      </c>
      <c r="CC26" s="24">
        <f>SUMIFS(Libro_Diario[[Cantidad ]],Libro_Diario[[Tipo ]],Gastos[[#Headers],[Gastos]],Libro_Diario[[Categoria ]],Gastos[[#This Row],[Gastos]],Libro_Diario[Fecha],"&gt;="&amp;'Libro Mayor'!CC$9,Libro_Diario[Fecha],"&lt;="&amp;EOMONTH('Libro Mayor'!CC$9,0))</f>
        <v>0</v>
      </c>
      <c r="CD26" s="24">
        <f>SUMIFS(Libro_Diario[[Cantidad ]],Libro_Diario[[Tipo ]],Gastos[[#Headers],[Gastos]],Libro_Diario[[Categoria ]],Gastos[[#This Row],[Gastos]],Libro_Diario[Fecha],"&gt;="&amp;'Libro Mayor'!CD$9,Libro_Diario[Fecha],"&lt;="&amp;EOMONTH('Libro Mayor'!CD$9,0))</f>
        <v>0</v>
      </c>
      <c r="CE26" s="24">
        <f>SUMIFS(Libro_Diario[[Cantidad ]],Libro_Diario[[Tipo ]],Gastos[[#Headers],[Gastos]],Libro_Diario[[Categoria ]],Gastos[[#This Row],[Gastos]],Libro_Diario[Fecha],"&gt;="&amp;'Libro Mayor'!CE$9,Libro_Diario[Fecha],"&lt;="&amp;EOMONTH('Libro Mayor'!CE$9,0))</f>
        <v>0</v>
      </c>
      <c r="CF26" s="24">
        <f>SUMIFS(Libro_Diario[[Cantidad ]],Libro_Diario[[Tipo ]],Gastos[[#Headers],[Gastos]],Libro_Diario[[Categoria ]],Gastos[[#This Row],[Gastos]],Libro_Diario[Fecha],"&gt;="&amp;'Libro Mayor'!CF$9,Libro_Diario[Fecha],"&lt;="&amp;EOMONTH('Libro Mayor'!CF$9,0))</f>
        <v>0</v>
      </c>
      <c r="CG26" s="24">
        <f>SUMIFS(Libro_Diario[[Cantidad ]],Libro_Diario[[Tipo ]],Gastos[[#Headers],[Gastos]],Libro_Diario[[Categoria ]],Gastos[[#This Row],[Gastos]],Libro_Diario[Fecha],"&gt;="&amp;'Libro Mayor'!CG$9,Libro_Diario[Fecha],"&lt;="&amp;EOMONTH('Libro Mayor'!CG$9,0))</f>
        <v>0</v>
      </c>
      <c r="CH26" s="24">
        <f>SUMIFS(Libro_Diario[Detalles],Libro_Diario[[Categoria ]],Gastos[[#Headers],[Gastos]],Libro_Diario[[Cantidad ]],Gastos[[#This Row],[Gastos]],Libro_Diario[[Tipo ]],"&gt;="&amp;'Libro Mayor'!CH$9,Libro_Diario[[Tipo ]],"&lt;="&amp;EOMONTH('Libro Mayor'!CH$9,0))</f>
        <v>0</v>
      </c>
      <c r="CI26" s="25">
        <f t="shared" si="28"/>
        <v>0</v>
      </c>
      <c r="CK26" s="24">
        <f>SUMIFS(Libro_Diario[[Cantidad ]],Libro_Diario[[Tipo ]],Gastos[[#Headers],[Gastos]],Libro_Diario[[Categoria ]],Gastos[[#This Row],[Gastos]],Libro_Diario[Fecha],"&gt;="&amp;'Libro Mayor'!CK$9,Libro_Diario[Fecha],"&lt;="&amp;EOMONTH('Libro Mayor'!CK$9,0))</f>
        <v>0</v>
      </c>
      <c r="CL26" s="24">
        <f>SUMIFS(Libro_Diario[[Cantidad ]],Libro_Diario[[Tipo ]],Gastos[[#Headers],[Gastos]],Libro_Diario[[Categoria ]],Gastos[[#This Row],[Gastos]],Libro_Diario[Fecha],"&gt;="&amp;'Libro Mayor'!CL$9,Libro_Diario[Fecha],"&lt;="&amp;EOMONTH('Libro Mayor'!CL$9,0))</f>
        <v>0</v>
      </c>
      <c r="CM26" s="24">
        <f>SUMIFS(Libro_Diario[[Cantidad ]],Libro_Diario[[Tipo ]],Gastos[[#Headers],[Gastos]],Libro_Diario[[Categoria ]],Gastos[[#This Row],[Gastos]],Libro_Diario[Fecha],"&gt;="&amp;'Libro Mayor'!CM$9,Libro_Diario[Fecha],"&lt;="&amp;EOMONTH('Libro Mayor'!CM$9,0))</f>
        <v>0</v>
      </c>
      <c r="CN26" s="24">
        <f>SUMIFS(Libro_Diario[[Cantidad ]],Libro_Diario[[Tipo ]],Gastos[[#Headers],[Gastos]],Libro_Diario[[Categoria ]],Gastos[[#This Row],[Gastos]],Libro_Diario[Fecha],"&gt;="&amp;'Libro Mayor'!CN$9,Libro_Diario[Fecha],"&lt;="&amp;EOMONTH('Libro Mayor'!CN$9,0))</f>
        <v>0</v>
      </c>
      <c r="CO26" s="24">
        <f>SUMIFS(Libro_Diario[[Cantidad ]],Libro_Diario[[Tipo ]],Gastos[[#Headers],[Gastos]],Libro_Diario[[Categoria ]],Gastos[[#This Row],[Gastos]],Libro_Diario[Fecha],"&gt;="&amp;'Libro Mayor'!CO$9,Libro_Diario[Fecha],"&lt;="&amp;EOMONTH('Libro Mayor'!CO$9,0))</f>
        <v>0</v>
      </c>
      <c r="CP26" s="24">
        <f>SUMIFS(Libro_Diario[[Cantidad ]],Libro_Diario[[Tipo ]],Gastos[[#Headers],[Gastos]],Libro_Diario[[Categoria ]],Gastos[[#This Row],[Gastos]],Libro_Diario[Fecha],"&gt;="&amp;'Libro Mayor'!CP$9,Libro_Diario[Fecha],"&lt;="&amp;EOMONTH('Libro Mayor'!CP$9,0))</f>
        <v>0</v>
      </c>
      <c r="CQ26" s="24">
        <f>SUMIFS(Libro_Diario[[Cantidad ]],Libro_Diario[[Tipo ]],Gastos[[#Headers],[Gastos]],Libro_Diario[[Categoria ]],Gastos[[#This Row],[Gastos]],Libro_Diario[Fecha],"&gt;="&amp;'Libro Mayor'!CQ$9,Libro_Diario[Fecha],"&lt;="&amp;EOMONTH('Libro Mayor'!CQ$9,0))</f>
        <v>0</v>
      </c>
      <c r="CR26" s="24">
        <f>SUMIFS(Libro_Diario[[Cantidad ]],Libro_Diario[[Tipo ]],Gastos[[#Headers],[Gastos]],Libro_Diario[[Categoria ]],Gastos[[#This Row],[Gastos]],Libro_Diario[Fecha],"&gt;="&amp;'Libro Mayor'!CR$9,Libro_Diario[Fecha],"&lt;="&amp;EOMONTH('Libro Mayor'!CR$9,0))</f>
        <v>0</v>
      </c>
      <c r="CS26" s="24">
        <f>SUMIFS(Libro_Diario[[Cantidad ]],Libro_Diario[[Tipo ]],Gastos[[#Headers],[Gastos]],Libro_Diario[[Categoria ]],Gastos[[#This Row],[Gastos]],Libro_Diario[Fecha],"&gt;="&amp;'Libro Mayor'!CS$9,Libro_Diario[Fecha],"&lt;="&amp;EOMONTH('Libro Mayor'!CS$9,0))</f>
        <v>0</v>
      </c>
      <c r="CT26" s="24">
        <f>SUMIFS(Libro_Diario[[Cantidad ]],Libro_Diario[[Tipo ]],Gastos[[#Headers],[Gastos]],Libro_Diario[[Categoria ]],Gastos[[#This Row],[Gastos]],Libro_Diario[Fecha],"&gt;="&amp;'Libro Mayor'!CT$9,Libro_Diario[Fecha],"&lt;="&amp;EOMONTH('Libro Mayor'!CT$9,0))</f>
        <v>0</v>
      </c>
      <c r="CU26" s="24">
        <f>SUMIFS(Libro_Diario[[Cantidad ]],Libro_Diario[[Tipo ]],Gastos[[#Headers],[Gastos]],Libro_Diario[[Categoria ]],Gastos[[#This Row],[Gastos]],Libro_Diario[Fecha],"&gt;="&amp;'Libro Mayor'!CU$9,Libro_Diario[Fecha],"&lt;="&amp;EOMONTH('Libro Mayor'!CU$9,0))</f>
        <v>0</v>
      </c>
      <c r="CV26" s="24">
        <f>SUMIFS(Libro_Diario[Detalles],Libro_Diario[[Categoria ]],Gastos[[#Headers],[Gastos]],Libro_Diario[[Cantidad ]],Gastos[[#This Row],[Gastos]],Libro_Diario[[Tipo ]],"&gt;="&amp;'Libro Mayor'!CV$9,Libro_Diario[[Tipo ]],"&lt;="&amp;EOMONTH('Libro Mayor'!CV$9,0))</f>
        <v>0</v>
      </c>
      <c r="CW26" s="25">
        <f t="shared" si="29"/>
        <v>0</v>
      </c>
      <c r="CY26" s="24">
        <f>SUMIFS(Libro_Diario[[Cantidad ]],Libro_Diario[[Tipo ]],Gastos[[#Headers],[Gastos]],Libro_Diario[[Categoria ]],Gastos[[#This Row],[Gastos]],Libro_Diario[Fecha],"&gt;="&amp;'Libro Mayor'!CY$9,Libro_Diario[Fecha],"&lt;="&amp;EOMONTH('Libro Mayor'!CY$9,0))</f>
        <v>0</v>
      </c>
      <c r="CZ26" s="24">
        <f>SUMIFS(Libro_Diario[[Cantidad ]],Libro_Diario[[Tipo ]],Gastos[[#Headers],[Gastos]],Libro_Diario[[Categoria ]],Gastos[[#This Row],[Gastos]],Libro_Diario[Fecha],"&gt;="&amp;'Libro Mayor'!CZ$9,Libro_Diario[Fecha],"&lt;="&amp;EOMONTH('Libro Mayor'!CZ$9,0))</f>
        <v>0</v>
      </c>
      <c r="DA26" s="24">
        <f>SUMIFS(Libro_Diario[[Cantidad ]],Libro_Diario[[Tipo ]],Gastos[[#Headers],[Gastos]],Libro_Diario[[Categoria ]],Gastos[[#This Row],[Gastos]],Libro_Diario[Fecha],"&gt;="&amp;'Libro Mayor'!DA$9,Libro_Diario[Fecha],"&lt;="&amp;EOMONTH('Libro Mayor'!DA$9,0))</f>
        <v>0</v>
      </c>
      <c r="DB26" s="24">
        <f>SUMIFS(Libro_Diario[[Cantidad ]],Libro_Diario[[Tipo ]],Gastos[[#Headers],[Gastos]],Libro_Diario[[Categoria ]],Gastos[[#This Row],[Gastos]],Libro_Diario[Fecha],"&gt;="&amp;'Libro Mayor'!DB$9,Libro_Diario[Fecha],"&lt;="&amp;EOMONTH('Libro Mayor'!DB$9,0))</f>
        <v>0</v>
      </c>
      <c r="DC26" s="24">
        <f>SUMIFS(Libro_Diario[[Cantidad ]],Libro_Diario[[Tipo ]],Gastos[[#Headers],[Gastos]],Libro_Diario[[Categoria ]],Gastos[[#This Row],[Gastos]],Libro_Diario[Fecha],"&gt;="&amp;'Libro Mayor'!DC$9,Libro_Diario[Fecha],"&lt;="&amp;EOMONTH('Libro Mayor'!DC$9,0))</f>
        <v>0</v>
      </c>
      <c r="DD26" s="24">
        <f>SUMIFS(Libro_Diario[[Cantidad ]],Libro_Diario[[Tipo ]],Gastos[[#Headers],[Gastos]],Libro_Diario[[Categoria ]],Gastos[[#This Row],[Gastos]],Libro_Diario[Fecha],"&gt;="&amp;'Libro Mayor'!DD$9,Libro_Diario[Fecha],"&lt;="&amp;EOMONTH('Libro Mayor'!DD$9,0))</f>
        <v>0</v>
      </c>
      <c r="DE26" s="24">
        <f>SUMIFS(Libro_Diario[[Cantidad ]],Libro_Diario[[Tipo ]],Gastos[[#Headers],[Gastos]],Libro_Diario[[Categoria ]],Gastos[[#This Row],[Gastos]],Libro_Diario[Fecha],"&gt;="&amp;'Libro Mayor'!DE$9,Libro_Diario[Fecha],"&lt;="&amp;EOMONTH('Libro Mayor'!DE$9,0))</f>
        <v>0</v>
      </c>
      <c r="DF26" s="24">
        <f>SUMIFS(Libro_Diario[[Cantidad ]],Libro_Diario[[Tipo ]],Gastos[[#Headers],[Gastos]],Libro_Diario[[Categoria ]],Gastos[[#This Row],[Gastos]],Libro_Diario[Fecha],"&gt;="&amp;'Libro Mayor'!DF$9,Libro_Diario[Fecha],"&lt;="&amp;EOMONTH('Libro Mayor'!DF$9,0))</f>
        <v>0</v>
      </c>
      <c r="DG26" s="24">
        <f>SUMIFS(Libro_Diario[[Cantidad ]],Libro_Diario[[Tipo ]],Gastos[[#Headers],[Gastos]],Libro_Diario[[Categoria ]],Gastos[[#This Row],[Gastos]],Libro_Diario[Fecha],"&gt;="&amp;'Libro Mayor'!DG$9,Libro_Diario[Fecha],"&lt;="&amp;EOMONTH('Libro Mayor'!DG$9,0))</f>
        <v>0</v>
      </c>
      <c r="DH26" s="24">
        <f>SUMIFS(Libro_Diario[[Cantidad ]],Libro_Diario[[Tipo ]],Gastos[[#Headers],[Gastos]],Libro_Diario[[Categoria ]],Gastos[[#This Row],[Gastos]],Libro_Diario[Fecha],"&gt;="&amp;'Libro Mayor'!DH$9,Libro_Diario[Fecha],"&lt;="&amp;EOMONTH('Libro Mayor'!DH$9,0))</f>
        <v>0</v>
      </c>
      <c r="DI26" s="24">
        <f>SUMIFS(Libro_Diario[[Cantidad ]],Libro_Diario[[Tipo ]],Gastos[[#Headers],[Gastos]],Libro_Diario[[Categoria ]],Gastos[[#This Row],[Gastos]],Libro_Diario[Fecha],"&gt;="&amp;'Libro Mayor'!DI$9,Libro_Diario[Fecha],"&lt;="&amp;EOMONTH('Libro Mayor'!DI$9,0))</f>
        <v>0</v>
      </c>
      <c r="DJ26" s="24">
        <f>SUMIFS(Libro_Diario[Detalles],Libro_Diario[[Categoria ]],Gastos[[#Headers],[Gastos]],Libro_Diario[[Cantidad ]],Gastos[[#This Row],[Gastos]],Libro_Diario[[Tipo ]],"&gt;="&amp;'Libro Mayor'!DJ$9,Libro_Diario[[Tipo ]],"&lt;="&amp;EOMONTH('Libro Mayor'!DJ$9,0))</f>
        <v>0</v>
      </c>
      <c r="DK26" s="25">
        <f t="shared" si="30"/>
        <v>0</v>
      </c>
      <c r="DM26" s="24">
        <f>SUMIFS(Libro_Diario[[Cantidad ]],Libro_Diario[[Tipo ]],Gastos[[#Headers],[Gastos]],Libro_Diario[[Categoria ]],Gastos[[#This Row],[Gastos]],Libro_Diario[Fecha],"&gt;="&amp;'Libro Mayor'!DM$9,Libro_Diario[Fecha],"&lt;="&amp;EOMONTH('Libro Mayor'!DM$9,0))</f>
        <v>0</v>
      </c>
      <c r="DN26" s="24">
        <f>SUMIFS(Libro_Diario[[Cantidad ]],Libro_Diario[[Tipo ]],Gastos[[#Headers],[Gastos]],Libro_Diario[[Categoria ]],Gastos[[#This Row],[Gastos]],Libro_Diario[Fecha],"&gt;="&amp;'Libro Mayor'!DN$9,Libro_Diario[Fecha],"&lt;="&amp;EOMONTH('Libro Mayor'!DN$9,0))</f>
        <v>0</v>
      </c>
      <c r="DO26" s="24">
        <f>SUMIFS(Libro_Diario[[Cantidad ]],Libro_Diario[[Tipo ]],Gastos[[#Headers],[Gastos]],Libro_Diario[[Categoria ]],Gastos[[#This Row],[Gastos]],Libro_Diario[Fecha],"&gt;="&amp;'Libro Mayor'!DO$9,Libro_Diario[Fecha],"&lt;="&amp;EOMONTH('Libro Mayor'!DO$9,0))</f>
        <v>0</v>
      </c>
      <c r="DP26" s="24">
        <f>SUMIFS(Libro_Diario[[Cantidad ]],Libro_Diario[[Tipo ]],Gastos[[#Headers],[Gastos]],Libro_Diario[[Categoria ]],Gastos[[#This Row],[Gastos]],Libro_Diario[Fecha],"&gt;="&amp;'Libro Mayor'!DP$9,Libro_Diario[Fecha],"&lt;="&amp;EOMONTH('Libro Mayor'!DP$9,0))</f>
        <v>0</v>
      </c>
      <c r="DQ26" s="24">
        <f>SUMIFS(Libro_Diario[[Cantidad ]],Libro_Diario[[Tipo ]],Gastos[[#Headers],[Gastos]],Libro_Diario[[Categoria ]],Gastos[[#This Row],[Gastos]],Libro_Diario[Fecha],"&gt;="&amp;'Libro Mayor'!DQ$9,Libro_Diario[Fecha],"&lt;="&amp;EOMONTH('Libro Mayor'!DQ$9,0))</f>
        <v>0</v>
      </c>
      <c r="DR26" s="24">
        <f>SUMIFS(Libro_Diario[[Cantidad ]],Libro_Diario[[Tipo ]],Gastos[[#Headers],[Gastos]],Libro_Diario[[Categoria ]],Gastos[[#This Row],[Gastos]],Libro_Diario[Fecha],"&gt;="&amp;'Libro Mayor'!DR$9,Libro_Diario[Fecha],"&lt;="&amp;EOMONTH('Libro Mayor'!DR$9,0))</f>
        <v>0</v>
      </c>
      <c r="DS26" s="24">
        <f>SUMIFS(Libro_Diario[[Cantidad ]],Libro_Diario[[Tipo ]],Gastos[[#Headers],[Gastos]],Libro_Diario[[Categoria ]],Gastos[[#This Row],[Gastos]],Libro_Diario[Fecha],"&gt;="&amp;'Libro Mayor'!DS$9,Libro_Diario[Fecha],"&lt;="&amp;EOMONTH('Libro Mayor'!DS$9,0))</f>
        <v>0</v>
      </c>
      <c r="DT26" s="24">
        <f>SUMIFS(Libro_Diario[[Cantidad ]],Libro_Diario[[Tipo ]],Gastos[[#Headers],[Gastos]],Libro_Diario[[Categoria ]],Gastos[[#This Row],[Gastos]],Libro_Diario[Fecha],"&gt;="&amp;'Libro Mayor'!DT$9,Libro_Diario[Fecha],"&lt;="&amp;EOMONTH('Libro Mayor'!DT$9,0))</f>
        <v>0</v>
      </c>
      <c r="DU26" s="24">
        <f>SUMIFS(Libro_Diario[[Cantidad ]],Libro_Diario[[Tipo ]],Gastos[[#Headers],[Gastos]],Libro_Diario[[Categoria ]],Gastos[[#This Row],[Gastos]],Libro_Diario[Fecha],"&gt;="&amp;'Libro Mayor'!DU$9,Libro_Diario[Fecha],"&lt;="&amp;EOMONTH('Libro Mayor'!DU$9,0))</f>
        <v>0</v>
      </c>
      <c r="DV26" s="24">
        <f>SUMIFS(Libro_Diario[[Cantidad ]],Libro_Diario[[Tipo ]],Gastos[[#Headers],[Gastos]],Libro_Diario[[Categoria ]],Gastos[[#This Row],[Gastos]],Libro_Diario[Fecha],"&gt;="&amp;'Libro Mayor'!DV$9,Libro_Diario[Fecha],"&lt;="&amp;EOMONTH('Libro Mayor'!DV$9,0))</f>
        <v>0</v>
      </c>
      <c r="DW26" s="24">
        <f>SUMIFS(Libro_Diario[[Cantidad ]],Libro_Diario[[Tipo ]],Gastos[[#Headers],[Gastos]],Libro_Diario[[Categoria ]],Gastos[[#This Row],[Gastos]],Libro_Diario[Fecha],"&gt;="&amp;'Libro Mayor'!DW$9,Libro_Diario[Fecha],"&lt;="&amp;EOMONTH('Libro Mayor'!DW$9,0))</f>
        <v>0</v>
      </c>
      <c r="DX26" s="24">
        <f>SUMIFS(Libro_Diario[Detalles],Libro_Diario[[Categoria ]],Gastos[[#Headers],[Gastos]],Libro_Diario[[Cantidad ]],Gastos[[#This Row],[Gastos]],Libro_Diario[[Tipo ]],"&gt;="&amp;'Libro Mayor'!DX$9,Libro_Diario[[Tipo ]],"&lt;="&amp;EOMONTH('Libro Mayor'!DX$9,0))</f>
        <v>0</v>
      </c>
      <c r="DY26" s="25">
        <f t="shared" si="31"/>
        <v>0</v>
      </c>
      <c r="EA26" s="24">
        <f>SUMIFS(Libro_Diario[[Cantidad ]],Libro_Diario[[Tipo ]],Gastos[[#Headers],[Gastos]],Libro_Diario[[Categoria ]],Gastos[[#This Row],[Gastos]],Libro_Diario[Fecha],"&gt;="&amp;'Libro Mayor'!EA$9,Libro_Diario[Fecha],"&lt;="&amp;EOMONTH('Libro Mayor'!EA$9,0))</f>
        <v>0</v>
      </c>
      <c r="EB26" s="24">
        <f>SUMIFS(Libro_Diario[[Cantidad ]],Libro_Diario[[Tipo ]],Gastos[[#Headers],[Gastos]],Libro_Diario[[Categoria ]],Gastos[[#This Row],[Gastos]],Libro_Diario[Fecha],"&gt;="&amp;'Libro Mayor'!EB$9,Libro_Diario[Fecha],"&lt;="&amp;EOMONTH('Libro Mayor'!EB$9,0))</f>
        <v>0</v>
      </c>
      <c r="EC26" s="24">
        <f>SUMIFS(Libro_Diario[[Cantidad ]],Libro_Diario[[Tipo ]],Gastos[[#Headers],[Gastos]],Libro_Diario[[Categoria ]],Gastos[[#This Row],[Gastos]],Libro_Diario[Fecha],"&gt;="&amp;'Libro Mayor'!EC$9,Libro_Diario[Fecha],"&lt;="&amp;EOMONTH('Libro Mayor'!EC$9,0))</f>
        <v>0</v>
      </c>
      <c r="ED26" s="24">
        <f>SUMIFS(Libro_Diario[[Cantidad ]],Libro_Diario[[Tipo ]],Gastos[[#Headers],[Gastos]],Libro_Diario[[Categoria ]],Gastos[[#This Row],[Gastos]],Libro_Diario[Fecha],"&gt;="&amp;'Libro Mayor'!ED$9,Libro_Diario[Fecha],"&lt;="&amp;EOMONTH('Libro Mayor'!ED$9,0))</f>
        <v>0</v>
      </c>
      <c r="EE26" s="24">
        <f>SUMIFS(Libro_Diario[[Cantidad ]],Libro_Diario[[Tipo ]],Gastos[[#Headers],[Gastos]],Libro_Diario[[Categoria ]],Gastos[[#This Row],[Gastos]],Libro_Diario[Fecha],"&gt;="&amp;'Libro Mayor'!EE$9,Libro_Diario[Fecha],"&lt;="&amp;EOMONTH('Libro Mayor'!EE$9,0))</f>
        <v>0</v>
      </c>
      <c r="EF26" s="24">
        <f>SUMIFS(Libro_Diario[[Cantidad ]],Libro_Diario[[Tipo ]],Gastos[[#Headers],[Gastos]],Libro_Diario[[Categoria ]],Gastos[[#This Row],[Gastos]],Libro_Diario[Fecha],"&gt;="&amp;'Libro Mayor'!EF$9,Libro_Diario[Fecha],"&lt;="&amp;EOMONTH('Libro Mayor'!EF$9,0))</f>
        <v>0</v>
      </c>
      <c r="EG26" s="24">
        <f>SUMIFS(Libro_Diario[[Cantidad ]],Libro_Diario[[Tipo ]],Gastos[[#Headers],[Gastos]],Libro_Diario[[Categoria ]],Gastos[[#This Row],[Gastos]],Libro_Diario[Fecha],"&gt;="&amp;'Libro Mayor'!EG$9,Libro_Diario[Fecha],"&lt;="&amp;EOMONTH('Libro Mayor'!EG$9,0))</f>
        <v>0</v>
      </c>
      <c r="EH26" s="24">
        <f>SUMIFS(Libro_Diario[[Cantidad ]],Libro_Diario[[Tipo ]],Gastos[[#Headers],[Gastos]],Libro_Diario[[Categoria ]],Gastos[[#This Row],[Gastos]],Libro_Diario[Fecha],"&gt;="&amp;'Libro Mayor'!EH$9,Libro_Diario[Fecha],"&lt;="&amp;EOMONTH('Libro Mayor'!EH$9,0))</f>
        <v>0</v>
      </c>
      <c r="EI26" s="24">
        <f>SUMIFS(Libro_Diario[[Cantidad ]],Libro_Diario[[Tipo ]],Gastos[[#Headers],[Gastos]],Libro_Diario[[Categoria ]],Gastos[[#This Row],[Gastos]],Libro_Diario[Fecha],"&gt;="&amp;'Libro Mayor'!EI$9,Libro_Diario[Fecha],"&lt;="&amp;EOMONTH('Libro Mayor'!EI$9,0))</f>
        <v>0</v>
      </c>
      <c r="EJ26" s="24">
        <f>SUMIFS(Libro_Diario[[Cantidad ]],Libro_Diario[[Tipo ]],Gastos[[#Headers],[Gastos]],Libro_Diario[[Categoria ]],Gastos[[#This Row],[Gastos]],Libro_Diario[Fecha],"&gt;="&amp;'Libro Mayor'!EJ$9,Libro_Diario[Fecha],"&lt;="&amp;EOMONTH('Libro Mayor'!EJ$9,0))</f>
        <v>0</v>
      </c>
      <c r="EK26" s="24">
        <f>SUMIFS(Libro_Diario[[Cantidad ]],Libro_Diario[[Tipo ]],Gastos[[#Headers],[Gastos]],Libro_Diario[[Categoria ]],Gastos[[#This Row],[Gastos]],Libro_Diario[Fecha],"&gt;="&amp;'Libro Mayor'!EK$9,Libro_Diario[Fecha],"&lt;="&amp;EOMONTH('Libro Mayor'!EK$9,0))</f>
        <v>0</v>
      </c>
      <c r="EL26" s="24">
        <f>SUMIFS(Libro_Diario[Detalles],Libro_Diario[[Categoria ]],Gastos[[#Headers],[Gastos]],Libro_Diario[[Cantidad ]],Gastos[[#This Row],[Gastos]],Libro_Diario[[Tipo ]],"&gt;="&amp;'Libro Mayor'!EL$9,Libro_Diario[[Tipo ]],"&lt;="&amp;EOMONTH('Libro Mayor'!EL$9,0))</f>
        <v>0</v>
      </c>
      <c r="EM26" s="25">
        <f t="shared" si="32"/>
        <v>0</v>
      </c>
      <c r="EO26" s="24">
        <f>SUMIFS(Libro_Diario[[Cantidad ]],Libro_Diario[[Tipo ]],Gastos[[#Headers],[Gastos]],Libro_Diario[[Categoria ]],Gastos[[#This Row],[Gastos]],Libro_Diario[Fecha],"&gt;="&amp;'Libro Mayor'!EO$9,Libro_Diario[Fecha],"&lt;="&amp;EOMONTH('Libro Mayor'!EO$9,0))</f>
        <v>0</v>
      </c>
      <c r="EP26" s="24">
        <f>SUMIFS(Libro_Diario[[Cantidad ]],Libro_Diario[[Tipo ]],Gastos[[#Headers],[Gastos]],Libro_Diario[[Categoria ]],Gastos[[#This Row],[Gastos]],Libro_Diario[Fecha],"&gt;="&amp;'Libro Mayor'!EP$9,Libro_Diario[Fecha],"&lt;="&amp;EOMONTH('Libro Mayor'!EP$9,0))</f>
        <v>0</v>
      </c>
      <c r="EQ26" s="24">
        <f>SUMIFS(Libro_Diario[[Cantidad ]],Libro_Diario[[Tipo ]],Gastos[[#Headers],[Gastos]],Libro_Diario[[Categoria ]],Gastos[[#This Row],[Gastos]],Libro_Diario[Fecha],"&gt;="&amp;'Libro Mayor'!EQ$9,Libro_Diario[Fecha],"&lt;="&amp;EOMONTH('Libro Mayor'!EQ$9,0))</f>
        <v>0</v>
      </c>
      <c r="ER26" s="24">
        <f>SUMIFS(Libro_Diario[[Cantidad ]],Libro_Diario[[Tipo ]],Gastos[[#Headers],[Gastos]],Libro_Diario[[Categoria ]],Gastos[[#This Row],[Gastos]],Libro_Diario[Fecha],"&gt;="&amp;'Libro Mayor'!ER$9,Libro_Diario[Fecha],"&lt;="&amp;EOMONTH('Libro Mayor'!ER$9,0))</f>
        <v>0</v>
      </c>
      <c r="ES26" s="24">
        <f>SUMIFS(Libro_Diario[[Cantidad ]],Libro_Diario[[Tipo ]],Gastos[[#Headers],[Gastos]],Libro_Diario[[Categoria ]],Gastos[[#This Row],[Gastos]],Libro_Diario[Fecha],"&gt;="&amp;'Libro Mayor'!ES$9,Libro_Diario[Fecha],"&lt;="&amp;EOMONTH('Libro Mayor'!ES$9,0))</f>
        <v>0</v>
      </c>
      <c r="ET26" s="24">
        <f>SUMIFS(Libro_Diario[[Cantidad ]],Libro_Diario[[Tipo ]],Gastos[[#Headers],[Gastos]],Libro_Diario[[Categoria ]],Gastos[[#This Row],[Gastos]],Libro_Diario[Fecha],"&gt;="&amp;'Libro Mayor'!ET$9,Libro_Diario[Fecha],"&lt;="&amp;EOMONTH('Libro Mayor'!ET$9,0))</f>
        <v>0</v>
      </c>
      <c r="EU26" s="24">
        <f>SUMIFS(Libro_Diario[[Cantidad ]],Libro_Diario[[Tipo ]],Gastos[[#Headers],[Gastos]],Libro_Diario[[Categoria ]],Gastos[[#This Row],[Gastos]],Libro_Diario[Fecha],"&gt;="&amp;'Libro Mayor'!EU$9,Libro_Diario[Fecha],"&lt;="&amp;EOMONTH('Libro Mayor'!EU$9,0))</f>
        <v>0</v>
      </c>
      <c r="EV26" s="24">
        <f>SUMIFS(Libro_Diario[[Cantidad ]],Libro_Diario[[Tipo ]],Gastos[[#Headers],[Gastos]],Libro_Diario[[Categoria ]],Gastos[[#This Row],[Gastos]],Libro_Diario[Fecha],"&gt;="&amp;'Libro Mayor'!EV$9,Libro_Diario[Fecha],"&lt;="&amp;EOMONTH('Libro Mayor'!EV$9,0))</f>
        <v>0</v>
      </c>
      <c r="EW26" s="24">
        <f>SUMIFS(Libro_Diario[[Cantidad ]],Libro_Diario[[Tipo ]],Gastos[[#Headers],[Gastos]],Libro_Diario[[Categoria ]],Gastos[[#This Row],[Gastos]],Libro_Diario[Fecha],"&gt;="&amp;'Libro Mayor'!EW$9,Libro_Diario[Fecha],"&lt;="&amp;EOMONTH('Libro Mayor'!EW$9,0))</f>
        <v>0</v>
      </c>
      <c r="EX26" s="24">
        <f>SUMIFS(Libro_Diario[[Cantidad ]],Libro_Diario[[Tipo ]],Gastos[[#Headers],[Gastos]],Libro_Diario[[Categoria ]],Gastos[[#This Row],[Gastos]],Libro_Diario[Fecha],"&gt;="&amp;'Libro Mayor'!EX$9,Libro_Diario[Fecha],"&lt;="&amp;EOMONTH('Libro Mayor'!EX$9,0))</f>
        <v>0</v>
      </c>
      <c r="EY26" s="24">
        <f>SUMIFS(Libro_Diario[[Cantidad ]],Libro_Diario[[Tipo ]],Gastos[[#Headers],[Gastos]],Libro_Diario[[Categoria ]],Gastos[[#This Row],[Gastos]],Libro_Diario[Fecha],"&gt;="&amp;'Libro Mayor'!EY$9,Libro_Diario[Fecha],"&lt;="&amp;EOMONTH('Libro Mayor'!EY$9,0))</f>
        <v>0</v>
      </c>
      <c r="EZ26" s="24">
        <f>SUMIFS(Libro_Diario[[Cantidad ]],Libro_Diario[[Tipo ]],Gastos[[#Headers],[Gastos]],Libro_Diario[[Categoria ]],Gastos[[#This Row],[Gastos]],Libro_Diario[Fecha],"&gt;="&amp;'Libro Mayor'!EZ$9,Libro_Diario[Fecha],"&lt;="&amp;EOMONTH('Libro Mayor'!EZ$9,0))</f>
        <v>0</v>
      </c>
      <c r="FA26" s="25">
        <f t="shared" si="22"/>
        <v>0</v>
      </c>
    </row>
    <row r="27" spans="3:157" x14ac:dyDescent="0.3">
      <c r="C27" s="17" t="s">
        <v>14</v>
      </c>
      <c r="D27" s="23"/>
      <c r="E27" s="24">
        <f>SUMIFS(Libro_Diario[[Cantidad ]],Libro_Diario[[Tipo ]],Gastos[[#Headers],[Gastos]],Libro_Diario[[Categoria ]],Gastos[[#This Row],[Gastos]],Libro_Diario[Fecha],"&gt;="&amp;'Libro Mayor'!E$9,Libro_Diario[Fecha],"&lt;="&amp;EOMONTH('Libro Mayor'!E$9,0))</f>
        <v>0</v>
      </c>
      <c r="F27" s="24">
        <f>SUMIFS(Libro_Diario[[Cantidad ]],Libro_Diario[[Tipo ]],Gastos[[#Headers],[Gastos]],Libro_Diario[[Categoria ]],Gastos[[#This Row],[Gastos]],Libro_Diario[Fecha],"&gt;="&amp;'Libro Mayor'!F$9,Libro_Diario[Fecha],"&lt;="&amp;EOMONTH('Libro Mayor'!F$9,0))</f>
        <v>0</v>
      </c>
      <c r="G27" s="24">
        <f>SUMIFS(Libro_Diario[[Cantidad ]],Libro_Diario[[Tipo ]],Gastos[[#Headers],[Gastos]],Libro_Diario[[Categoria ]],Gastos[[#This Row],[Gastos]],Libro_Diario[Fecha],"&gt;="&amp;'Libro Mayor'!G$9,Libro_Diario[Fecha],"&lt;="&amp;EOMONTH('Libro Mayor'!G$9,0))</f>
        <v>0</v>
      </c>
      <c r="H27" s="24">
        <f>SUMIFS(Libro_Diario[[Cantidad ]],Libro_Diario[[Tipo ]],Gastos[[#Headers],[Gastos]],Libro_Diario[[Categoria ]],Gastos[[#This Row],[Gastos]],Libro_Diario[Fecha],"&gt;="&amp;'Libro Mayor'!H$9,Libro_Diario[Fecha],"&lt;="&amp;EOMONTH('Libro Mayor'!H$9,0))</f>
        <v>0</v>
      </c>
      <c r="I27" s="24">
        <f>SUMIFS(Libro_Diario[[Cantidad ]],Libro_Diario[[Tipo ]],Gastos[[#Headers],[Gastos]],Libro_Diario[[Categoria ]],Gastos[[#This Row],[Gastos]],Libro_Diario[Fecha],"&gt;="&amp;'Libro Mayor'!I$9,Libro_Diario[Fecha],"&lt;="&amp;EOMONTH('Libro Mayor'!I$9,0))</f>
        <v>0</v>
      </c>
      <c r="J27" s="24">
        <f>SUMIFS(Libro_Diario[[Cantidad ]],Libro_Diario[[Tipo ]],Gastos[[#Headers],[Gastos]],Libro_Diario[[Categoria ]],Gastos[[#This Row],[Gastos]],Libro_Diario[Fecha],"&gt;="&amp;'Libro Mayor'!J$9,Libro_Diario[Fecha],"&lt;="&amp;EOMONTH('Libro Mayor'!J$9,0))</f>
        <v>0</v>
      </c>
      <c r="K27" s="24">
        <f>SUMIFS(Libro_Diario[[Cantidad ]],Libro_Diario[[Tipo ]],Gastos[[#Headers],[Gastos]],Libro_Diario[[Categoria ]],Gastos[[#This Row],[Gastos]],Libro_Diario[Fecha],"&gt;="&amp;'Libro Mayor'!K$9,Libro_Diario[Fecha],"&lt;="&amp;EOMONTH('Libro Mayor'!K$9,0))</f>
        <v>0</v>
      </c>
      <c r="L27" s="24">
        <f>SUMIFS(Libro_Diario[[Cantidad ]],Libro_Diario[[Tipo ]],Gastos[[#Headers],[Gastos]],Libro_Diario[[Categoria ]],Gastos[[#This Row],[Gastos]],Libro_Diario[Fecha],"&gt;="&amp;'Libro Mayor'!L$9,Libro_Diario[Fecha],"&lt;="&amp;EOMONTH('Libro Mayor'!L$9,0))</f>
        <v>0</v>
      </c>
      <c r="M27" s="24">
        <f>SUMIFS(Libro_Diario[[Cantidad ]],Libro_Diario[[Tipo ]],Gastos[[#Headers],[Gastos]],Libro_Diario[[Categoria ]],Gastos[[#This Row],[Gastos]],Libro_Diario[Fecha],"&gt;="&amp;'Libro Mayor'!M$9,Libro_Diario[Fecha],"&lt;="&amp;EOMONTH('Libro Mayor'!M$9,0))</f>
        <v>0</v>
      </c>
      <c r="N27" s="24">
        <f>SUMIFS(Libro_Diario[[Cantidad ]],Libro_Diario[[Tipo ]],Gastos[[#Headers],[Gastos]],Libro_Diario[[Categoria ]],Gastos[[#This Row],[Gastos]],Libro_Diario[Fecha],"&gt;="&amp;'Libro Mayor'!N$9,Libro_Diario[Fecha],"&lt;="&amp;EOMONTH('Libro Mayor'!N$9,0))</f>
        <v>0</v>
      </c>
      <c r="O27" s="24">
        <f>SUMIFS(Libro_Diario[[Cantidad ]],Libro_Diario[[Tipo ]],Gastos[[#Headers],[Gastos]],Libro_Diario[[Categoria ]],Gastos[[#This Row],[Gastos]],Libro_Diario[Fecha],"&gt;="&amp;'Libro Mayor'!O$9,Libro_Diario[Fecha],"&lt;="&amp;EOMONTH('Libro Mayor'!O$9,0))</f>
        <v>0</v>
      </c>
      <c r="P27" s="24">
        <f>SUMIFS(Libro_Diario[[Cantidad ]],Libro_Diario[[Tipo ]],Gastos[[#Headers],[Gastos]],Libro_Diario[[Categoria ]],Gastos[[#This Row],[Gastos]],Libro_Diario[Fecha],"&gt;="&amp;'Libro Mayor'!P$9,Libro_Diario[Fecha],"&lt;="&amp;EOMONTH('Libro Mayor'!P$9,0))</f>
        <v>0</v>
      </c>
      <c r="Q27" s="25">
        <f t="shared" si="23"/>
        <v>0</v>
      </c>
      <c r="S27" s="24">
        <f>SUMIFS(Libro_Diario[[Cantidad ]],Libro_Diario[[Tipo ]],Gastos[[#Headers],[Gastos]],Libro_Diario[[Categoria ]],Gastos[[#This Row],[Gastos]],Libro_Diario[Fecha],"&gt;="&amp;'Libro Mayor'!S$9,Libro_Diario[Fecha],"&lt;="&amp;EOMONTH('Libro Mayor'!S$9,0))</f>
        <v>0</v>
      </c>
      <c r="T27" s="24">
        <f>SUMIFS(Libro_Diario[[Cantidad ]],Libro_Diario[[Tipo ]],Gastos[[#Headers],[Gastos]],Libro_Diario[[Categoria ]],Gastos[[#This Row],[Gastos]],Libro_Diario[Fecha],"&gt;="&amp;'Libro Mayor'!T$9,Libro_Diario[Fecha],"&lt;="&amp;EOMONTH('Libro Mayor'!T$9,0))</f>
        <v>0</v>
      </c>
      <c r="U27" s="24">
        <f>SUMIFS(Libro_Diario[[Cantidad ]],Libro_Diario[[Tipo ]],Gastos[[#Headers],[Gastos]],Libro_Diario[[Categoria ]],Gastos[[#This Row],[Gastos]],Libro_Diario[Fecha],"&gt;="&amp;'Libro Mayor'!U$9,Libro_Diario[Fecha],"&lt;="&amp;EOMONTH('Libro Mayor'!U$9,0))</f>
        <v>0</v>
      </c>
      <c r="V27" s="24">
        <f>SUMIFS(Libro_Diario[[Cantidad ]],Libro_Diario[[Tipo ]],Gastos[[#Headers],[Gastos]],Libro_Diario[[Categoria ]],Gastos[[#This Row],[Gastos]],Libro_Diario[Fecha],"&gt;="&amp;'Libro Mayor'!V$9,Libro_Diario[Fecha],"&lt;="&amp;EOMONTH('Libro Mayor'!V$9,0))</f>
        <v>0</v>
      </c>
      <c r="W27" s="24">
        <f>SUMIFS(Libro_Diario[[Cantidad ]],Libro_Diario[[Tipo ]],Gastos[[#Headers],[Gastos]],Libro_Diario[[Categoria ]],Gastos[[#This Row],[Gastos]],Libro_Diario[Fecha],"&gt;="&amp;'Libro Mayor'!W$9,Libro_Diario[Fecha],"&lt;="&amp;EOMONTH('Libro Mayor'!W$9,0))</f>
        <v>0</v>
      </c>
      <c r="X27" s="24">
        <f>SUMIFS(Libro_Diario[[Cantidad ]],Libro_Diario[[Tipo ]],Gastos[[#Headers],[Gastos]],Libro_Diario[[Categoria ]],Gastos[[#This Row],[Gastos]],Libro_Diario[Fecha],"&gt;="&amp;'Libro Mayor'!X$9,Libro_Diario[Fecha],"&lt;="&amp;EOMONTH('Libro Mayor'!X$9,0))</f>
        <v>0</v>
      </c>
      <c r="Y27" s="24">
        <f>SUMIFS(Libro_Diario[[Cantidad ]],Libro_Diario[[Tipo ]],Gastos[[#Headers],[Gastos]],Libro_Diario[[Categoria ]],Gastos[[#This Row],[Gastos]],Libro_Diario[Fecha],"&gt;="&amp;'Libro Mayor'!Y$9,Libro_Diario[Fecha],"&lt;="&amp;EOMONTH('Libro Mayor'!Y$9,0))</f>
        <v>0</v>
      </c>
      <c r="Z27" s="24">
        <f>SUMIFS(Libro_Diario[[Cantidad ]],Libro_Diario[[Tipo ]],Gastos[[#Headers],[Gastos]],Libro_Diario[[Categoria ]],Gastos[[#This Row],[Gastos]],Libro_Diario[Fecha],"&gt;="&amp;'Libro Mayor'!Z$9,Libro_Diario[Fecha],"&lt;="&amp;EOMONTH('Libro Mayor'!Z$9,0))</f>
        <v>0</v>
      </c>
      <c r="AA27" s="24">
        <f>SUMIFS(Libro_Diario[[Cantidad ]],Libro_Diario[[Tipo ]],Gastos[[#Headers],[Gastos]],Libro_Diario[[Categoria ]],Gastos[[#This Row],[Gastos]],Libro_Diario[Fecha],"&gt;="&amp;'Libro Mayor'!AA$9,Libro_Diario[Fecha],"&lt;="&amp;EOMONTH('Libro Mayor'!AA$9,0))</f>
        <v>0</v>
      </c>
      <c r="AB27" s="24">
        <f>SUMIFS(Libro_Diario[[Cantidad ]],Libro_Diario[[Tipo ]],Gastos[[#Headers],[Gastos]],Libro_Diario[[Categoria ]],Gastos[[#This Row],[Gastos]],Libro_Diario[Fecha],"&gt;="&amp;'Libro Mayor'!AB$9,Libro_Diario[Fecha],"&lt;="&amp;EOMONTH('Libro Mayor'!AB$9,0))</f>
        <v>0</v>
      </c>
      <c r="AC27" s="24">
        <f>SUMIFS(Libro_Diario[[Cantidad ]],Libro_Diario[[Tipo ]],Gastos[[#Headers],[Gastos]],Libro_Diario[[Categoria ]],Gastos[[#This Row],[Gastos]],Libro_Diario[Fecha],"&gt;="&amp;'Libro Mayor'!AC$9,Libro_Diario[Fecha],"&lt;="&amp;EOMONTH('Libro Mayor'!AC$9,0))</f>
        <v>0</v>
      </c>
      <c r="AD27" s="24">
        <f>SUMIFS(Libro_Diario[Detalles],Libro_Diario[[Categoria ]],Gastos[[#Headers],[Gastos]],Libro_Diario[[Cantidad ]],Gastos[[#This Row],[Gastos]],Libro_Diario[[Tipo ]],"&gt;="&amp;'Libro Mayor'!AD$9,Libro_Diario[[Tipo ]],"&lt;="&amp;EOMONTH('Libro Mayor'!AD$9,0))</f>
        <v>0</v>
      </c>
      <c r="AE27" s="25">
        <f t="shared" si="24"/>
        <v>0</v>
      </c>
      <c r="AG27" s="24">
        <f>SUMIFS(Libro_Diario[[Cantidad ]],Libro_Diario[[Tipo ]],Gastos[[#Headers],[Gastos]],Libro_Diario[[Categoria ]],Gastos[[#This Row],[Gastos]],Libro_Diario[Fecha],"&gt;="&amp;'Libro Mayor'!AG$9,Libro_Diario[Fecha],"&lt;="&amp;EOMONTH('Libro Mayor'!AG$9,0))</f>
        <v>0</v>
      </c>
      <c r="AH27" s="24">
        <f>SUMIFS(Libro_Diario[[Cantidad ]],Libro_Diario[[Tipo ]],Gastos[[#Headers],[Gastos]],Libro_Diario[[Categoria ]],Gastos[[#This Row],[Gastos]],Libro_Diario[Fecha],"&gt;="&amp;'Libro Mayor'!AH$9,Libro_Diario[Fecha],"&lt;="&amp;EOMONTH('Libro Mayor'!AH$9,0))</f>
        <v>0</v>
      </c>
      <c r="AI27" s="24">
        <f>SUMIFS(Libro_Diario[[Cantidad ]],Libro_Diario[[Tipo ]],Gastos[[#Headers],[Gastos]],Libro_Diario[[Categoria ]],Gastos[[#This Row],[Gastos]],Libro_Diario[Fecha],"&gt;="&amp;'Libro Mayor'!AI$9,Libro_Diario[Fecha],"&lt;="&amp;EOMONTH('Libro Mayor'!AI$9,0))</f>
        <v>0</v>
      </c>
      <c r="AJ27" s="24">
        <f>SUMIFS(Libro_Diario[[Cantidad ]],Libro_Diario[[Tipo ]],Gastos[[#Headers],[Gastos]],Libro_Diario[[Categoria ]],Gastos[[#This Row],[Gastos]],Libro_Diario[Fecha],"&gt;="&amp;'Libro Mayor'!AJ$9,Libro_Diario[Fecha],"&lt;="&amp;EOMONTH('Libro Mayor'!AJ$9,0))</f>
        <v>0</v>
      </c>
      <c r="AK27" s="24">
        <f>SUMIFS(Libro_Diario[[Cantidad ]],Libro_Diario[[Tipo ]],Gastos[[#Headers],[Gastos]],Libro_Diario[[Categoria ]],Gastos[[#This Row],[Gastos]],Libro_Diario[Fecha],"&gt;="&amp;'Libro Mayor'!AK$9,Libro_Diario[Fecha],"&lt;="&amp;EOMONTH('Libro Mayor'!AK$9,0))</f>
        <v>0</v>
      </c>
      <c r="AL27" s="24">
        <f>SUMIFS(Libro_Diario[[Cantidad ]],Libro_Diario[[Tipo ]],Gastos[[#Headers],[Gastos]],Libro_Diario[[Categoria ]],Gastos[[#This Row],[Gastos]],Libro_Diario[Fecha],"&gt;="&amp;'Libro Mayor'!AL$9,Libro_Diario[Fecha],"&lt;="&amp;EOMONTH('Libro Mayor'!AL$9,0))</f>
        <v>0</v>
      </c>
      <c r="AM27" s="24">
        <f>SUMIFS(Libro_Diario[[Cantidad ]],Libro_Diario[[Tipo ]],Gastos[[#Headers],[Gastos]],Libro_Diario[[Categoria ]],Gastos[[#This Row],[Gastos]],Libro_Diario[Fecha],"&gt;="&amp;'Libro Mayor'!AM$9,Libro_Diario[Fecha],"&lt;="&amp;EOMONTH('Libro Mayor'!AM$9,0))</f>
        <v>0</v>
      </c>
      <c r="AN27" s="24">
        <f>SUMIFS(Libro_Diario[[Cantidad ]],Libro_Diario[[Tipo ]],Gastos[[#Headers],[Gastos]],Libro_Diario[[Categoria ]],Gastos[[#This Row],[Gastos]],Libro_Diario[Fecha],"&gt;="&amp;'Libro Mayor'!AN$9,Libro_Diario[Fecha],"&lt;="&amp;EOMONTH('Libro Mayor'!AN$9,0))</f>
        <v>0</v>
      </c>
      <c r="AO27" s="24">
        <f>SUMIFS(Libro_Diario[[Cantidad ]],Libro_Diario[[Tipo ]],Gastos[[#Headers],[Gastos]],Libro_Diario[[Categoria ]],Gastos[[#This Row],[Gastos]],Libro_Diario[Fecha],"&gt;="&amp;'Libro Mayor'!AO$9,Libro_Diario[Fecha],"&lt;="&amp;EOMONTH('Libro Mayor'!AO$9,0))</f>
        <v>0</v>
      </c>
      <c r="AP27" s="24">
        <f>SUMIFS(Libro_Diario[[Cantidad ]],Libro_Diario[[Tipo ]],Gastos[[#Headers],[Gastos]],Libro_Diario[[Categoria ]],Gastos[[#This Row],[Gastos]],Libro_Diario[Fecha],"&gt;="&amp;'Libro Mayor'!AP$9,Libro_Diario[Fecha],"&lt;="&amp;EOMONTH('Libro Mayor'!AP$9,0))</f>
        <v>0</v>
      </c>
      <c r="AQ27" s="24">
        <f>SUMIFS(Libro_Diario[[Cantidad ]],Libro_Diario[[Tipo ]],Gastos[[#Headers],[Gastos]],Libro_Diario[[Categoria ]],Gastos[[#This Row],[Gastos]],Libro_Diario[Fecha],"&gt;="&amp;'Libro Mayor'!AQ$9,Libro_Diario[Fecha],"&lt;="&amp;EOMONTH('Libro Mayor'!AQ$9,0))</f>
        <v>0</v>
      </c>
      <c r="AR27" s="24">
        <f>SUMIFS(Libro_Diario[Detalles],Libro_Diario[[Categoria ]],Gastos[[#Headers],[Gastos]],Libro_Diario[[Cantidad ]],Gastos[[#This Row],[Gastos]],Libro_Diario[[Tipo ]],"&gt;="&amp;'Libro Mayor'!AR$9,Libro_Diario[[Tipo ]],"&lt;="&amp;EOMONTH('Libro Mayor'!AR$9,0))</f>
        <v>0</v>
      </c>
      <c r="AS27" s="25">
        <f t="shared" si="25"/>
        <v>0</v>
      </c>
      <c r="AU27" s="24">
        <f>SUMIFS(Libro_Diario[[Cantidad ]],Libro_Diario[[Tipo ]],Gastos[[#Headers],[Gastos]],Libro_Diario[[Categoria ]],Gastos[[#This Row],[Gastos]],Libro_Diario[Fecha],"&gt;="&amp;'Libro Mayor'!AU$9,Libro_Diario[Fecha],"&lt;="&amp;EOMONTH('Libro Mayor'!AU$9,0))</f>
        <v>0</v>
      </c>
      <c r="AV27" s="24">
        <f>SUMIFS(Libro_Diario[[Cantidad ]],Libro_Diario[[Tipo ]],Gastos[[#Headers],[Gastos]],Libro_Diario[[Categoria ]],Gastos[[#This Row],[Gastos]],Libro_Diario[Fecha],"&gt;="&amp;'Libro Mayor'!AV$9,Libro_Diario[Fecha],"&lt;="&amp;EOMONTH('Libro Mayor'!AV$9,0))</f>
        <v>0</v>
      </c>
      <c r="AW27" s="24">
        <f>SUMIFS(Libro_Diario[[Cantidad ]],Libro_Diario[[Tipo ]],Gastos[[#Headers],[Gastos]],Libro_Diario[[Categoria ]],Gastos[[#This Row],[Gastos]],Libro_Diario[Fecha],"&gt;="&amp;'Libro Mayor'!AW$9,Libro_Diario[Fecha],"&lt;="&amp;EOMONTH('Libro Mayor'!AW$9,0))</f>
        <v>0</v>
      </c>
      <c r="AX27" s="24">
        <f>SUMIFS(Libro_Diario[[Cantidad ]],Libro_Diario[[Tipo ]],Gastos[[#Headers],[Gastos]],Libro_Diario[[Categoria ]],Gastos[[#This Row],[Gastos]],Libro_Diario[Fecha],"&gt;="&amp;'Libro Mayor'!AX$9,Libro_Diario[Fecha],"&lt;="&amp;EOMONTH('Libro Mayor'!AX$9,0))</f>
        <v>0</v>
      </c>
      <c r="AY27" s="24">
        <f>SUMIFS(Libro_Diario[[Cantidad ]],Libro_Diario[[Tipo ]],Gastos[[#Headers],[Gastos]],Libro_Diario[[Categoria ]],Gastos[[#This Row],[Gastos]],Libro_Diario[Fecha],"&gt;="&amp;'Libro Mayor'!AY$9,Libro_Diario[Fecha],"&lt;="&amp;EOMONTH('Libro Mayor'!AY$9,0))</f>
        <v>0</v>
      </c>
      <c r="AZ27" s="24">
        <f>SUMIFS(Libro_Diario[[Cantidad ]],Libro_Diario[[Tipo ]],Gastos[[#Headers],[Gastos]],Libro_Diario[[Categoria ]],Gastos[[#This Row],[Gastos]],Libro_Diario[Fecha],"&gt;="&amp;'Libro Mayor'!AZ$9,Libro_Diario[Fecha],"&lt;="&amp;EOMONTH('Libro Mayor'!AZ$9,0))</f>
        <v>0</v>
      </c>
      <c r="BA27" s="24">
        <f>SUMIFS(Libro_Diario[[Cantidad ]],Libro_Diario[[Tipo ]],Gastos[[#Headers],[Gastos]],Libro_Diario[[Categoria ]],Gastos[[#This Row],[Gastos]],Libro_Diario[Fecha],"&gt;="&amp;'Libro Mayor'!BA$9,Libro_Diario[Fecha],"&lt;="&amp;EOMONTH('Libro Mayor'!BA$9,0))</f>
        <v>0</v>
      </c>
      <c r="BB27" s="24">
        <f>SUMIFS(Libro_Diario[[Cantidad ]],Libro_Diario[[Tipo ]],Gastos[[#Headers],[Gastos]],Libro_Diario[[Categoria ]],Gastos[[#This Row],[Gastos]],Libro_Diario[Fecha],"&gt;="&amp;'Libro Mayor'!BB$9,Libro_Diario[Fecha],"&lt;="&amp;EOMONTH('Libro Mayor'!BB$9,0))</f>
        <v>0</v>
      </c>
      <c r="BC27" s="24">
        <f>SUMIFS(Libro_Diario[[Cantidad ]],Libro_Diario[[Tipo ]],Gastos[[#Headers],[Gastos]],Libro_Diario[[Categoria ]],Gastos[[#This Row],[Gastos]],Libro_Diario[Fecha],"&gt;="&amp;'Libro Mayor'!BC$9,Libro_Diario[Fecha],"&lt;="&amp;EOMONTH('Libro Mayor'!BC$9,0))</f>
        <v>0</v>
      </c>
      <c r="BD27" s="24">
        <f>SUMIFS(Libro_Diario[[Cantidad ]],Libro_Diario[[Tipo ]],Gastos[[#Headers],[Gastos]],Libro_Diario[[Categoria ]],Gastos[[#This Row],[Gastos]],Libro_Diario[Fecha],"&gt;="&amp;'Libro Mayor'!BD$9,Libro_Diario[Fecha],"&lt;="&amp;EOMONTH('Libro Mayor'!BD$9,0))</f>
        <v>0</v>
      </c>
      <c r="BE27" s="24">
        <f>SUMIFS(Libro_Diario[[Cantidad ]],Libro_Diario[[Tipo ]],Gastos[[#Headers],[Gastos]],Libro_Diario[[Categoria ]],Gastos[[#This Row],[Gastos]],Libro_Diario[Fecha],"&gt;="&amp;'Libro Mayor'!BE$9,Libro_Diario[Fecha],"&lt;="&amp;EOMONTH('Libro Mayor'!BE$9,0))</f>
        <v>0</v>
      </c>
      <c r="BF27" s="24">
        <f>SUMIFS(Libro_Diario[Detalles],Libro_Diario[[Categoria ]],Gastos[[#Headers],[Gastos]],Libro_Diario[[Cantidad ]],Gastos[[#This Row],[Gastos]],Libro_Diario[[Tipo ]],"&gt;="&amp;'Libro Mayor'!BF$9,Libro_Diario[[Tipo ]],"&lt;="&amp;EOMONTH('Libro Mayor'!BF$9,0))</f>
        <v>0</v>
      </c>
      <c r="BG27" s="25">
        <f t="shared" si="26"/>
        <v>0</v>
      </c>
      <c r="BI27" s="24">
        <f>SUMIFS(Libro_Diario[[Cantidad ]],Libro_Diario[[Tipo ]],Gastos[[#Headers],[Gastos]],Libro_Diario[[Categoria ]],Gastos[[#This Row],[Gastos]],Libro_Diario[Fecha],"&gt;="&amp;'Libro Mayor'!BI$9,Libro_Diario[Fecha],"&lt;="&amp;EOMONTH('Libro Mayor'!BI$9,0))</f>
        <v>0</v>
      </c>
      <c r="BJ27" s="24">
        <f>SUMIFS(Libro_Diario[[Cantidad ]],Libro_Diario[[Tipo ]],Gastos[[#Headers],[Gastos]],Libro_Diario[[Categoria ]],Gastos[[#This Row],[Gastos]],Libro_Diario[Fecha],"&gt;="&amp;'Libro Mayor'!BJ$9,Libro_Diario[Fecha],"&lt;="&amp;EOMONTH('Libro Mayor'!BJ$9,0))</f>
        <v>0</v>
      </c>
      <c r="BK27" s="24">
        <f>SUMIFS(Libro_Diario[[Cantidad ]],Libro_Diario[[Tipo ]],Gastos[[#Headers],[Gastos]],Libro_Diario[[Categoria ]],Gastos[[#This Row],[Gastos]],Libro_Diario[Fecha],"&gt;="&amp;'Libro Mayor'!BK$9,Libro_Diario[Fecha],"&lt;="&amp;EOMONTH('Libro Mayor'!BK$9,0))</f>
        <v>0</v>
      </c>
      <c r="BL27" s="24">
        <f>SUMIFS(Libro_Diario[[Cantidad ]],Libro_Diario[[Tipo ]],Gastos[[#Headers],[Gastos]],Libro_Diario[[Categoria ]],Gastos[[#This Row],[Gastos]],Libro_Diario[Fecha],"&gt;="&amp;'Libro Mayor'!BL$9,Libro_Diario[Fecha],"&lt;="&amp;EOMONTH('Libro Mayor'!BL$9,0))</f>
        <v>0</v>
      </c>
      <c r="BM27" s="24">
        <f>SUMIFS(Libro_Diario[[Cantidad ]],Libro_Diario[[Tipo ]],Gastos[[#Headers],[Gastos]],Libro_Diario[[Categoria ]],Gastos[[#This Row],[Gastos]],Libro_Diario[Fecha],"&gt;="&amp;'Libro Mayor'!BM$9,Libro_Diario[Fecha],"&lt;="&amp;EOMONTH('Libro Mayor'!BM$9,0))</f>
        <v>0</v>
      </c>
      <c r="BN27" s="24">
        <f>SUMIFS(Libro_Diario[[Cantidad ]],Libro_Diario[[Tipo ]],Gastos[[#Headers],[Gastos]],Libro_Diario[[Categoria ]],Gastos[[#This Row],[Gastos]],Libro_Diario[Fecha],"&gt;="&amp;'Libro Mayor'!BN$9,Libro_Diario[Fecha],"&lt;="&amp;EOMONTH('Libro Mayor'!BN$9,0))</f>
        <v>0</v>
      </c>
      <c r="BO27" s="24">
        <f>SUMIFS(Libro_Diario[[Cantidad ]],Libro_Diario[[Tipo ]],Gastos[[#Headers],[Gastos]],Libro_Diario[[Categoria ]],Gastos[[#This Row],[Gastos]],Libro_Diario[Fecha],"&gt;="&amp;'Libro Mayor'!BO$9,Libro_Diario[Fecha],"&lt;="&amp;EOMONTH('Libro Mayor'!BO$9,0))</f>
        <v>0</v>
      </c>
      <c r="BP27" s="24">
        <f>SUMIFS(Libro_Diario[[Cantidad ]],Libro_Diario[[Tipo ]],Gastos[[#Headers],[Gastos]],Libro_Diario[[Categoria ]],Gastos[[#This Row],[Gastos]],Libro_Diario[Fecha],"&gt;="&amp;'Libro Mayor'!BP$9,Libro_Diario[Fecha],"&lt;="&amp;EOMONTH('Libro Mayor'!BP$9,0))</f>
        <v>0</v>
      </c>
      <c r="BQ27" s="24">
        <f>SUMIFS(Libro_Diario[[Cantidad ]],Libro_Diario[[Tipo ]],Gastos[[#Headers],[Gastos]],Libro_Diario[[Categoria ]],Gastos[[#This Row],[Gastos]],Libro_Diario[Fecha],"&gt;="&amp;'Libro Mayor'!BQ$9,Libro_Diario[Fecha],"&lt;="&amp;EOMONTH('Libro Mayor'!BQ$9,0))</f>
        <v>0</v>
      </c>
      <c r="BR27" s="24">
        <f>SUMIFS(Libro_Diario[[Cantidad ]],Libro_Diario[[Tipo ]],Gastos[[#Headers],[Gastos]],Libro_Diario[[Categoria ]],Gastos[[#This Row],[Gastos]],Libro_Diario[Fecha],"&gt;="&amp;'Libro Mayor'!BR$9,Libro_Diario[Fecha],"&lt;="&amp;EOMONTH('Libro Mayor'!BR$9,0))</f>
        <v>0</v>
      </c>
      <c r="BS27" s="24">
        <f>SUMIFS(Libro_Diario[[Cantidad ]],Libro_Diario[[Tipo ]],Gastos[[#Headers],[Gastos]],Libro_Diario[[Categoria ]],Gastos[[#This Row],[Gastos]],Libro_Diario[Fecha],"&gt;="&amp;'Libro Mayor'!BS$9,Libro_Diario[Fecha],"&lt;="&amp;EOMONTH('Libro Mayor'!BS$9,0))</f>
        <v>0</v>
      </c>
      <c r="BT27" s="24">
        <f>SUMIFS(Libro_Diario[Detalles],Libro_Diario[[Categoria ]],Gastos[[#Headers],[Gastos]],Libro_Diario[[Cantidad ]],Gastos[[#This Row],[Gastos]],Libro_Diario[[Tipo ]],"&gt;="&amp;'Libro Mayor'!BT$9,Libro_Diario[[Tipo ]],"&lt;="&amp;EOMONTH('Libro Mayor'!BT$9,0))</f>
        <v>0</v>
      </c>
      <c r="BU27" s="25">
        <f t="shared" si="27"/>
        <v>0</v>
      </c>
      <c r="BW27" s="24">
        <f>SUMIFS(Libro_Diario[[Cantidad ]],Libro_Diario[[Tipo ]],Gastos[[#Headers],[Gastos]],Libro_Diario[[Categoria ]],Gastos[[#This Row],[Gastos]],Libro_Diario[Fecha],"&gt;="&amp;'Libro Mayor'!BW$9,Libro_Diario[Fecha],"&lt;="&amp;EOMONTH('Libro Mayor'!BW$9,0))</f>
        <v>0</v>
      </c>
      <c r="BX27" s="24">
        <f>SUMIFS(Libro_Diario[[Cantidad ]],Libro_Diario[[Tipo ]],Gastos[[#Headers],[Gastos]],Libro_Diario[[Categoria ]],Gastos[[#This Row],[Gastos]],Libro_Diario[Fecha],"&gt;="&amp;'Libro Mayor'!BX$9,Libro_Diario[Fecha],"&lt;="&amp;EOMONTH('Libro Mayor'!BX$9,0))</f>
        <v>0</v>
      </c>
      <c r="BY27" s="24">
        <f>SUMIFS(Libro_Diario[[Cantidad ]],Libro_Diario[[Tipo ]],Gastos[[#Headers],[Gastos]],Libro_Diario[[Categoria ]],Gastos[[#This Row],[Gastos]],Libro_Diario[Fecha],"&gt;="&amp;'Libro Mayor'!BY$9,Libro_Diario[Fecha],"&lt;="&amp;EOMONTH('Libro Mayor'!BY$9,0))</f>
        <v>0</v>
      </c>
      <c r="BZ27" s="24">
        <f>SUMIFS(Libro_Diario[[Cantidad ]],Libro_Diario[[Tipo ]],Gastos[[#Headers],[Gastos]],Libro_Diario[[Categoria ]],Gastos[[#This Row],[Gastos]],Libro_Diario[Fecha],"&gt;="&amp;'Libro Mayor'!BZ$9,Libro_Diario[Fecha],"&lt;="&amp;EOMONTH('Libro Mayor'!BZ$9,0))</f>
        <v>0</v>
      </c>
      <c r="CA27" s="24">
        <f>SUMIFS(Libro_Diario[[Cantidad ]],Libro_Diario[[Tipo ]],Gastos[[#Headers],[Gastos]],Libro_Diario[[Categoria ]],Gastos[[#This Row],[Gastos]],Libro_Diario[Fecha],"&gt;="&amp;'Libro Mayor'!CA$9,Libro_Diario[Fecha],"&lt;="&amp;EOMONTH('Libro Mayor'!CA$9,0))</f>
        <v>0</v>
      </c>
      <c r="CB27" s="24">
        <f>SUMIFS(Libro_Diario[[Cantidad ]],Libro_Diario[[Tipo ]],Gastos[[#Headers],[Gastos]],Libro_Diario[[Categoria ]],Gastos[[#This Row],[Gastos]],Libro_Diario[Fecha],"&gt;="&amp;'Libro Mayor'!CB$9,Libro_Diario[Fecha],"&lt;="&amp;EOMONTH('Libro Mayor'!CB$9,0))</f>
        <v>0</v>
      </c>
      <c r="CC27" s="24">
        <f>SUMIFS(Libro_Diario[[Cantidad ]],Libro_Diario[[Tipo ]],Gastos[[#Headers],[Gastos]],Libro_Diario[[Categoria ]],Gastos[[#This Row],[Gastos]],Libro_Diario[Fecha],"&gt;="&amp;'Libro Mayor'!CC$9,Libro_Diario[Fecha],"&lt;="&amp;EOMONTH('Libro Mayor'!CC$9,0))</f>
        <v>0</v>
      </c>
      <c r="CD27" s="24">
        <f>SUMIFS(Libro_Diario[[Cantidad ]],Libro_Diario[[Tipo ]],Gastos[[#Headers],[Gastos]],Libro_Diario[[Categoria ]],Gastos[[#This Row],[Gastos]],Libro_Diario[Fecha],"&gt;="&amp;'Libro Mayor'!CD$9,Libro_Diario[Fecha],"&lt;="&amp;EOMONTH('Libro Mayor'!CD$9,0))</f>
        <v>0</v>
      </c>
      <c r="CE27" s="24">
        <f>SUMIFS(Libro_Diario[[Cantidad ]],Libro_Diario[[Tipo ]],Gastos[[#Headers],[Gastos]],Libro_Diario[[Categoria ]],Gastos[[#This Row],[Gastos]],Libro_Diario[Fecha],"&gt;="&amp;'Libro Mayor'!CE$9,Libro_Diario[Fecha],"&lt;="&amp;EOMONTH('Libro Mayor'!CE$9,0))</f>
        <v>0</v>
      </c>
      <c r="CF27" s="24">
        <f>SUMIFS(Libro_Diario[[Cantidad ]],Libro_Diario[[Tipo ]],Gastos[[#Headers],[Gastos]],Libro_Diario[[Categoria ]],Gastos[[#This Row],[Gastos]],Libro_Diario[Fecha],"&gt;="&amp;'Libro Mayor'!CF$9,Libro_Diario[Fecha],"&lt;="&amp;EOMONTH('Libro Mayor'!CF$9,0))</f>
        <v>0</v>
      </c>
      <c r="CG27" s="24">
        <f>SUMIFS(Libro_Diario[[Cantidad ]],Libro_Diario[[Tipo ]],Gastos[[#Headers],[Gastos]],Libro_Diario[[Categoria ]],Gastos[[#This Row],[Gastos]],Libro_Diario[Fecha],"&gt;="&amp;'Libro Mayor'!CG$9,Libro_Diario[Fecha],"&lt;="&amp;EOMONTH('Libro Mayor'!CG$9,0))</f>
        <v>0</v>
      </c>
      <c r="CH27" s="24">
        <f>SUMIFS(Libro_Diario[Detalles],Libro_Diario[[Categoria ]],Gastos[[#Headers],[Gastos]],Libro_Diario[[Cantidad ]],Gastos[[#This Row],[Gastos]],Libro_Diario[[Tipo ]],"&gt;="&amp;'Libro Mayor'!CH$9,Libro_Diario[[Tipo ]],"&lt;="&amp;EOMONTH('Libro Mayor'!CH$9,0))</f>
        <v>0</v>
      </c>
      <c r="CI27" s="25">
        <f t="shared" si="28"/>
        <v>0</v>
      </c>
      <c r="CK27" s="24">
        <f>SUMIFS(Libro_Diario[[Cantidad ]],Libro_Diario[[Tipo ]],Gastos[[#Headers],[Gastos]],Libro_Diario[[Categoria ]],Gastos[[#This Row],[Gastos]],Libro_Diario[Fecha],"&gt;="&amp;'Libro Mayor'!CK$9,Libro_Diario[Fecha],"&lt;="&amp;EOMONTH('Libro Mayor'!CK$9,0))</f>
        <v>0</v>
      </c>
      <c r="CL27" s="24">
        <f>SUMIFS(Libro_Diario[[Cantidad ]],Libro_Diario[[Tipo ]],Gastos[[#Headers],[Gastos]],Libro_Diario[[Categoria ]],Gastos[[#This Row],[Gastos]],Libro_Diario[Fecha],"&gt;="&amp;'Libro Mayor'!CL$9,Libro_Diario[Fecha],"&lt;="&amp;EOMONTH('Libro Mayor'!CL$9,0))</f>
        <v>0</v>
      </c>
      <c r="CM27" s="24">
        <f>SUMIFS(Libro_Diario[[Cantidad ]],Libro_Diario[[Tipo ]],Gastos[[#Headers],[Gastos]],Libro_Diario[[Categoria ]],Gastos[[#This Row],[Gastos]],Libro_Diario[Fecha],"&gt;="&amp;'Libro Mayor'!CM$9,Libro_Diario[Fecha],"&lt;="&amp;EOMONTH('Libro Mayor'!CM$9,0))</f>
        <v>0</v>
      </c>
      <c r="CN27" s="24">
        <f>SUMIFS(Libro_Diario[[Cantidad ]],Libro_Diario[[Tipo ]],Gastos[[#Headers],[Gastos]],Libro_Diario[[Categoria ]],Gastos[[#This Row],[Gastos]],Libro_Diario[Fecha],"&gt;="&amp;'Libro Mayor'!CN$9,Libro_Diario[Fecha],"&lt;="&amp;EOMONTH('Libro Mayor'!CN$9,0))</f>
        <v>0</v>
      </c>
      <c r="CO27" s="24">
        <f>SUMIFS(Libro_Diario[[Cantidad ]],Libro_Diario[[Tipo ]],Gastos[[#Headers],[Gastos]],Libro_Diario[[Categoria ]],Gastos[[#This Row],[Gastos]],Libro_Diario[Fecha],"&gt;="&amp;'Libro Mayor'!CO$9,Libro_Diario[Fecha],"&lt;="&amp;EOMONTH('Libro Mayor'!CO$9,0))</f>
        <v>0</v>
      </c>
      <c r="CP27" s="24">
        <f>SUMIFS(Libro_Diario[[Cantidad ]],Libro_Diario[[Tipo ]],Gastos[[#Headers],[Gastos]],Libro_Diario[[Categoria ]],Gastos[[#This Row],[Gastos]],Libro_Diario[Fecha],"&gt;="&amp;'Libro Mayor'!CP$9,Libro_Diario[Fecha],"&lt;="&amp;EOMONTH('Libro Mayor'!CP$9,0))</f>
        <v>0</v>
      </c>
      <c r="CQ27" s="24">
        <f>SUMIFS(Libro_Diario[[Cantidad ]],Libro_Diario[[Tipo ]],Gastos[[#Headers],[Gastos]],Libro_Diario[[Categoria ]],Gastos[[#This Row],[Gastos]],Libro_Diario[Fecha],"&gt;="&amp;'Libro Mayor'!CQ$9,Libro_Diario[Fecha],"&lt;="&amp;EOMONTH('Libro Mayor'!CQ$9,0))</f>
        <v>0</v>
      </c>
      <c r="CR27" s="24">
        <f>SUMIFS(Libro_Diario[[Cantidad ]],Libro_Diario[[Tipo ]],Gastos[[#Headers],[Gastos]],Libro_Diario[[Categoria ]],Gastos[[#This Row],[Gastos]],Libro_Diario[Fecha],"&gt;="&amp;'Libro Mayor'!CR$9,Libro_Diario[Fecha],"&lt;="&amp;EOMONTH('Libro Mayor'!CR$9,0))</f>
        <v>0</v>
      </c>
      <c r="CS27" s="24">
        <f>SUMIFS(Libro_Diario[[Cantidad ]],Libro_Diario[[Tipo ]],Gastos[[#Headers],[Gastos]],Libro_Diario[[Categoria ]],Gastos[[#This Row],[Gastos]],Libro_Diario[Fecha],"&gt;="&amp;'Libro Mayor'!CS$9,Libro_Diario[Fecha],"&lt;="&amp;EOMONTH('Libro Mayor'!CS$9,0))</f>
        <v>0</v>
      </c>
      <c r="CT27" s="24">
        <f>SUMIFS(Libro_Diario[[Cantidad ]],Libro_Diario[[Tipo ]],Gastos[[#Headers],[Gastos]],Libro_Diario[[Categoria ]],Gastos[[#This Row],[Gastos]],Libro_Diario[Fecha],"&gt;="&amp;'Libro Mayor'!CT$9,Libro_Diario[Fecha],"&lt;="&amp;EOMONTH('Libro Mayor'!CT$9,0))</f>
        <v>0</v>
      </c>
      <c r="CU27" s="24">
        <f>SUMIFS(Libro_Diario[[Cantidad ]],Libro_Diario[[Tipo ]],Gastos[[#Headers],[Gastos]],Libro_Diario[[Categoria ]],Gastos[[#This Row],[Gastos]],Libro_Diario[Fecha],"&gt;="&amp;'Libro Mayor'!CU$9,Libro_Diario[Fecha],"&lt;="&amp;EOMONTH('Libro Mayor'!CU$9,0))</f>
        <v>0</v>
      </c>
      <c r="CV27" s="24">
        <f>SUMIFS(Libro_Diario[Detalles],Libro_Diario[[Categoria ]],Gastos[[#Headers],[Gastos]],Libro_Diario[[Cantidad ]],Gastos[[#This Row],[Gastos]],Libro_Diario[[Tipo ]],"&gt;="&amp;'Libro Mayor'!CV$9,Libro_Diario[[Tipo ]],"&lt;="&amp;EOMONTH('Libro Mayor'!CV$9,0))</f>
        <v>0</v>
      </c>
      <c r="CW27" s="25">
        <f t="shared" si="29"/>
        <v>0</v>
      </c>
      <c r="CY27" s="24">
        <f>SUMIFS(Libro_Diario[[Cantidad ]],Libro_Diario[[Tipo ]],Gastos[[#Headers],[Gastos]],Libro_Diario[[Categoria ]],Gastos[[#This Row],[Gastos]],Libro_Diario[Fecha],"&gt;="&amp;'Libro Mayor'!CY$9,Libro_Diario[Fecha],"&lt;="&amp;EOMONTH('Libro Mayor'!CY$9,0))</f>
        <v>0</v>
      </c>
      <c r="CZ27" s="24">
        <f>SUMIFS(Libro_Diario[[Cantidad ]],Libro_Diario[[Tipo ]],Gastos[[#Headers],[Gastos]],Libro_Diario[[Categoria ]],Gastos[[#This Row],[Gastos]],Libro_Diario[Fecha],"&gt;="&amp;'Libro Mayor'!CZ$9,Libro_Diario[Fecha],"&lt;="&amp;EOMONTH('Libro Mayor'!CZ$9,0))</f>
        <v>0</v>
      </c>
      <c r="DA27" s="24">
        <f>SUMIFS(Libro_Diario[[Cantidad ]],Libro_Diario[[Tipo ]],Gastos[[#Headers],[Gastos]],Libro_Diario[[Categoria ]],Gastos[[#This Row],[Gastos]],Libro_Diario[Fecha],"&gt;="&amp;'Libro Mayor'!DA$9,Libro_Diario[Fecha],"&lt;="&amp;EOMONTH('Libro Mayor'!DA$9,0))</f>
        <v>0</v>
      </c>
      <c r="DB27" s="24">
        <f>SUMIFS(Libro_Diario[[Cantidad ]],Libro_Diario[[Tipo ]],Gastos[[#Headers],[Gastos]],Libro_Diario[[Categoria ]],Gastos[[#This Row],[Gastos]],Libro_Diario[Fecha],"&gt;="&amp;'Libro Mayor'!DB$9,Libro_Diario[Fecha],"&lt;="&amp;EOMONTH('Libro Mayor'!DB$9,0))</f>
        <v>0</v>
      </c>
      <c r="DC27" s="24">
        <f>SUMIFS(Libro_Diario[[Cantidad ]],Libro_Diario[[Tipo ]],Gastos[[#Headers],[Gastos]],Libro_Diario[[Categoria ]],Gastos[[#This Row],[Gastos]],Libro_Diario[Fecha],"&gt;="&amp;'Libro Mayor'!DC$9,Libro_Diario[Fecha],"&lt;="&amp;EOMONTH('Libro Mayor'!DC$9,0))</f>
        <v>0</v>
      </c>
      <c r="DD27" s="24">
        <f>SUMIFS(Libro_Diario[[Cantidad ]],Libro_Diario[[Tipo ]],Gastos[[#Headers],[Gastos]],Libro_Diario[[Categoria ]],Gastos[[#This Row],[Gastos]],Libro_Diario[Fecha],"&gt;="&amp;'Libro Mayor'!DD$9,Libro_Diario[Fecha],"&lt;="&amp;EOMONTH('Libro Mayor'!DD$9,0))</f>
        <v>0</v>
      </c>
      <c r="DE27" s="24">
        <f>SUMIFS(Libro_Diario[[Cantidad ]],Libro_Diario[[Tipo ]],Gastos[[#Headers],[Gastos]],Libro_Diario[[Categoria ]],Gastos[[#This Row],[Gastos]],Libro_Diario[Fecha],"&gt;="&amp;'Libro Mayor'!DE$9,Libro_Diario[Fecha],"&lt;="&amp;EOMONTH('Libro Mayor'!DE$9,0))</f>
        <v>0</v>
      </c>
      <c r="DF27" s="24">
        <f>SUMIFS(Libro_Diario[[Cantidad ]],Libro_Diario[[Tipo ]],Gastos[[#Headers],[Gastos]],Libro_Diario[[Categoria ]],Gastos[[#This Row],[Gastos]],Libro_Diario[Fecha],"&gt;="&amp;'Libro Mayor'!DF$9,Libro_Diario[Fecha],"&lt;="&amp;EOMONTH('Libro Mayor'!DF$9,0))</f>
        <v>0</v>
      </c>
      <c r="DG27" s="24">
        <f>SUMIFS(Libro_Diario[[Cantidad ]],Libro_Diario[[Tipo ]],Gastos[[#Headers],[Gastos]],Libro_Diario[[Categoria ]],Gastos[[#This Row],[Gastos]],Libro_Diario[Fecha],"&gt;="&amp;'Libro Mayor'!DG$9,Libro_Diario[Fecha],"&lt;="&amp;EOMONTH('Libro Mayor'!DG$9,0))</f>
        <v>0</v>
      </c>
      <c r="DH27" s="24">
        <f>SUMIFS(Libro_Diario[[Cantidad ]],Libro_Diario[[Tipo ]],Gastos[[#Headers],[Gastos]],Libro_Diario[[Categoria ]],Gastos[[#This Row],[Gastos]],Libro_Diario[Fecha],"&gt;="&amp;'Libro Mayor'!DH$9,Libro_Diario[Fecha],"&lt;="&amp;EOMONTH('Libro Mayor'!DH$9,0))</f>
        <v>0</v>
      </c>
      <c r="DI27" s="24">
        <f>SUMIFS(Libro_Diario[[Cantidad ]],Libro_Diario[[Tipo ]],Gastos[[#Headers],[Gastos]],Libro_Diario[[Categoria ]],Gastos[[#This Row],[Gastos]],Libro_Diario[Fecha],"&gt;="&amp;'Libro Mayor'!DI$9,Libro_Diario[Fecha],"&lt;="&amp;EOMONTH('Libro Mayor'!DI$9,0))</f>
        <v>0</v>
      </c>
      <c r="DJ27" s="24">
        <f>SUMIFS(Libro_Diario[Detalles],Libro_Diario[[Categoria ]],Gastos[[#Headers],[Gastos]],Libro_Diario[[Cantidad ]],Gastos[[#This Row],[Gastos]],Libro_Diario[[Tipo ]],"&gt;="&amp;'Libro Mayor'!DJ$9,Libro_Diario[[Tipo ]],"&lt;="&amp;EOMONTH('Libro Mayor'!DJ$9,0))</f>
        <v>0</v>
      </c>
      <c r="DK27" s="25">
        <f t="shared" si="30"/>
        <v>0</v>
      </c>
      <c r="DM27" s="24">
        <f>SUMIFS(Libro_Diario[[Cantidad ]],Libro_Diario[[Tipo ]],Gastos[[#Headers],[Gastos]],Libro_Diario[[Categoria ]],Gastos[[#This Row],[Gastos]],Libro_Diario[Fecha],"&gt;="&amp;'Libro Mayor'!DM$9,Libro_Diario[Fecha],"&lt;="&amp;EOMONTH('Libro Mayor'!DM$9,0))</f>
        <v>0</v>
      </c>
      <c r="DN27" s="24">
        <f>SUMIFS(Libro_Diario[[Cantidad ]],Libro_Diario[[Tipo ]],Gastos[[#Headers],[Gastos]],Libro_Diario[[Categoria ]],Gastos[[#This Row],[Gastos]],Libro_Diario[Fecha],"&gt;="&amp;'Libro Mayor'!DN$9,Libro_Diario[Fecha],"&lt;="&amp;EOMONTH('Libro Mayor'!DN$9,0))</f>
        <v>0</v>
      </c>
      <c r="DO27" s="24">
        <f>SUMIFS(Libro_Diario[[Cantidad ]],Libro_Diario[[Tipo ]],Gastos[[#Headers],[Gastos]],Libro_Diario[[Categoria ]],Gastos[[#This Row],[Gastos]],Libro_Diario[Fecha],"&gt;="&amp;'Libro Mayor'!DO$9,Libro_Diario[Fecha],"&lt;="&amp;EOMONTH('Libro Mayor'!DO$9,0))</f>
        <v>0</v>
      </c>
      <c r="DP27" s="24">
        <f>SUMIFS(Libro_Diario[[Cantidad ]],Libro_Diario[[Tipo ]],Gastos[[#Headers],[Gastos]],Libro_Diario[[Categoria ]],Gastos[[#This Row],[Gastos]],Libro_Diario[Fecha],"&gt;="&amp;'Libro Mayor'!DP$9,Libro_Diario[Fecha],"&lt;="&amp;EOMONTH('Libro Mayor'!DP$9,0))</f>
        <v>0</v>
      </c>
      <c r="DQ27" s="24">
        <f>SUMIFS(Libro_Diario[[Cantidad ]],Libro_Diario[[Tipo ]],Gastos[[#Headers],[Gastos]],Libro_Diario[[Categoria ]],Gastos[[#This Row],[Gastos]],Libro_Diario[Fecha],"&gt;="&amp;'Libro Mayor'!DQ$9,Libro_Diario[Fecha],"&lt;="&amp;EOMONTH('Libro Mayor'!DQ$9,0))</f>
        <v>0</v>
      </c>
      <c r="DR27" s="24">
        <f>SUMIFS(Libro_Diario[[Cantidad ]],Libro_Diario[[Tipo ]],Gastos[[#Headers],[Gastos]],Libro_Diario[[Categoria ]],Gastos[[#This Row],[Gastos]],Libro_Diario[Fecha],"&gt;="&amp;'Libro Mayor'!DR$9,Libro_Diario[Fecha],"&lt;="&amp;EOMONTH('Libro Mayor'!DR$9,0))</f>
        <v>0</v>
      </c>
      <c r="DS27" s="24">
        <f>SUMIFS(Libro_Diario[[Cantidad ]],Libro_Diario[[Tipo ]],Gastos[[#Headers],[Gastos]],Libro_Diario[[Categoria ]],Gastos[[#This Row],[Gastos]],Libro_Diario[Fecha],"&gt;="&amp;'Libro Mayor'!DS$9,Libro_Diario[Fecha],"&lt;="&amp;EOMONTH('Libro Mayor'!DS$9,0))</f>
        <v>0</v>
      </c>
      <c r="DT27" s="24">
        <f>SUMIFS(Libro_Diario[[Cantidad ]],Libro_Diario[[Tipo ]],Gastos[[#Headers],[Gastos]],Libro_Diario[[Categoria ]],Gastos[[#This Row],[Gastos]],Libro_Diario[Fecha],"&gt;="&amp;'Libro Mayor'!DT$9,Libro_Diario[Fecha],"&lt;="&amp;EOMONTH('Libro Mayor'!DT$9,0))</f>
        <v>0</v>
      </c>
      <c r="DU27" s="24">
        <f>SUMIFS(Libro_Diario[[Cantidad ]],Libro_Diario[[Tipo ]],Gastos[[#Headers],[Gastos]],Libro_Diario[[Categoria ]],Gastos[[#This Row],[Gastos]],Libro_Diario[Fecha],"&gt;="&amp;'Libro Mayor'!DU$9,Libro_Diario[Fecha],"&lt;="&amp;EOMONTH('Libro Mayor'!DU$9,0))</f>
        <v>0</v>
      </c>
      <c r="DV27" s="24">
        <f>SUMIFS(Libro_Diario[[Cantidad ]],Libro_Diario[[Tipo ]],Gastos[[#Headers],[Gastos]],Libro_Diario[[Categoria ]],Gastos[[#This Row],[Gastos]],Libro_Diario[Fecha],"&gt;="&amp;'Libro Mayor'!DV$9,Libro_Diario[Fecha],"&lt;="&amp;EOMONTH('Libro Mayor'!DV$9,0))</f>
        <v>0</v>
      </c>
      <c r="DW27" s="24">
        <f>SUMIFS(Libro_Diario[[Cantidad ]],Libro_Diario[[Tipo ]],Gastos[[#Headers],[Gastos]],Libro_Diario[[Categoria ]],Gastos[[#This Row],[Gastos]],Libro_Diario[Fecha],"&gt;="&amp;'Libro Mayor'!DW$9,Libro_Diario[Fecha],"&lt;="&amp;EOMONTH('Libro Mayor'!DW$9,0))</f>
        <v>0</v>
      </c>
      <c r="DX27" s="24">
        <f>SUMIFS(Libro_Diario[Detalles],Libro_Diario[[Categoria ]],Gastos[[#Headers],[Gastos]],Libro_Diario[[Cantidad ]],Gastos[[#This Row],[Gastos]],Libro_Diario[[Tipo ]],"&gt;="&amp;'Libro Mayor'!DX$9,Libro_Diario[[Tipo ]],"&lt;="&amp;EOMONTH('Libro Mayor'!DX$9,0))</f>
        <v>0</v>
      </c>
      <c r="DY27" s="25">
        <f t="shared" si="31"/>
        <v>0</v>
      </c>
      <c r="EA27" s="24">
        <f>SUMIFS(Libro_Diario[[Cantidad ]],Libro_Diario[[Tipo ]],Gastos[[#Headers],[Gastos]],Libro_Diario[[Categoria ]],Gastos[[#This Row],[Gastos]],Libro_Diario[Fecha],"&gt;="&amp;'Libro Mayor'!EA$9,Libro_Diario[Fecha],"&lt;="&amp;EOMONTH('Libro Mayor'!EA$9,0))</f>
        <v>0</v>
      </c>
      <c r="EB27" s="24">
        <f>SUMIFS(Libro_Diario[[Cantidad ]],Libro_Diario[[Tipo ]],Gastos[[#Headers],[Gastos]],Libro_Diario[[Categoria ]],Gastos[[#This Row],[Gastos]],Libro_Diario[Fecha],"&gt;="&amp;'Libro Mayor'!EB$9,Libro_Diario[Fecha],"&lt;="&amp;EOMONTH('Libro Mayor'!EB$9,0))</f>
        <v>0</v>
      </c>
      <c r="EC27" s="24">
        <f>SUMIFS(Libro_Diario[[Cantidad ]],Libro_Diario[[Tipo ]],Gastos[[#Headers],[Gastos]],Libro_Diario[[Categoria ]],Gastos[[#This Row],[Gastos]],Libro_Diario[Fecha],"&gt;="&amp;'Libro Mayor'!EC$9,Libro_Diario[Fecha],"&lt;="&amp;EOMONTH('Libro Mayor'!EC$9,0))</f>
        <v>0</v>
      </c>
      <c r="ED27" s="24">
        <f>SUMIFS(Libro_Diario[[Cantidad ]],Libro_Diario[[Tipo ]],Gastos[[#Headers],[Gastos]],Libro_Diario[[Categoria ]],Gastos[[#This Row],[Gastos]],Libro_Diario[Fecha],"&gt;="&amp;'Libro Mayor'!ED$9,Libro_Diario[Fecha],"&lt;="&amp;EOMONTH('Libro Mayor'!ED$9,0))</f>
        <v>0</v>
      </c>
      <c r="EE27" s="24">
        <f>SUMIFS(Libro_Diario[[Cantidad ]],Libro_Diario[[Tipo ]],Gastos[[#Headers],[Gastos]],Libro_Diario[[Categoria ]],Gastos[[#This Row],[Gastos]],Libro_Diario[Fecha],"&gt;="&amp;'Libro Mayor'!EE$9,Libro_Diario[Fecha],"&lt;="&amp;EOMONTH('Libro Mayor'!EE$9,0))</f>
        <v>0</v>
      </c>
      <c r="EF27" s="24">
        <f>SUMIFS(Libro_Diario[[Cantidad ]],Libro_Diario[[Tipo ]],Gastos[[#Headers],[Gastos]],Libro_Diario[[Categoria ]],Gastos[[#This Row],[Gastos]],Libro_Diario[Fecha],"&gt;="&amp;'Libro Mayor'!EF$9,Libro_Diario[Fecha],"&lt;="&amp;EOMONTH('Libro Mayor'!EF$9,0))</f>
        <v>0</v>
      </c>
      <c r="EG27" s="24">
        <f>SUMIFS(Libro_Diario[[Cantidad ]],Libro_Diario[[Tipo ]],Gastos[[#Headers],[Gastos]],Libro_Diario[[Categoria ]],Gastos[[#This Row],[Gastos]],Libro_Diario[Fecha],"&gt;="&amp;'Libro Mayor'!EG$9,Libro_Diario[Fecha],"&lt;="&amp;EOMONTH('Libro Mayor'!EG$9,0))</f>
        <v>0</v>
      </c>
      <c r="EH27" s="24">
        <f>SUMIFS(Libro_Diario[[Cantidad ]],Libro_Diario[[Tipo ]],Gastos[[#Headers],[Gastos]],Libro_Diario[[Categoria ]],Gastos[[#This Row],[Gastos]],Libro_Diario[Fecha],"&gt;="&amp;'Libro Mayor'!EH$9,Libro_Diario[Fecha],"&lt;="&amp;EOMONTH('Libro Mayor'!EH$9,0))</f>
        <v>0</v>
      </c>
      <c r="EI27" s="24">
        <f>SUMIFS(Libro_Diario[[Cantidad ]],Libro_Diario[[Tipo ]],Gastos[[#Headers],[Gastos]],Libro_Diario[[Categoria ]],Gastos[[#This Row],[Gastos]],Libro_Diario[Fecha],"&gt;="&amp;'Libro Mayor'!EI$9,Libro_Diario[Fecha],"&lt;="&amp;EOMONTH('Libro Mayor'!EI$9,0))</f>
        <v>0</v>
      </c>
      <c r="EJ27" s="24">
        <f>SUMIFS(Libro_Diario[[Cantidad ]],Libro_Diario[[Tipo ]],Gastos[[#Headers],[Gastos]],Libro_Diario[[Categoria ]],Gastos[[#This Row],[Gastos]],Libro_Diario[Fecha],"&gt;="&amp;'Libro Mayor'!EJ$9,Libro_Diario[Fecha],"&lt;="&amp;EOMONTH('Libro Mayor'!EJ$9,0))</f>
        <v>0</v>
      </c>
      <c r="EK27" s="24">
        <f>SUMIFS(Libro_Diario[[Cantidad ]],Libro_Diario[[Tipo ]],Gastos[[#Headers],[Gastos]],Libro_Diario[[Categoria ]],Gastos[[#This Row],[Gastos]],Libro_Diario[Fecha],"&gt;="&amp;'Libro Mayor'!EK$9,Libro_Diario[Fecha],"&lt;="&amp;EOMONTH('Libro Mayor'!EK$9,0))</f>
        <v>0</v>
      </c>
      <c r="EL27" s="24">
        <f>SUMIFS(Libro_Diario[Detalles],Libro_Diario[[Categoria ]],Gastos[[#Headers],[Gastos]],Libro_Diario[[Cantidad ]],Gastos[[#This Row],[Gastos]],Libro_Diario[[Tipo ]],"&gt;="&amp;'Libro Mayor'!EL$9,Libro_Diario[[Tipo ]],"&lt;="&amp;EOMONTH('Libro Mayor'!EL$9,0))</f>
        <v>0</v>
      </c>
      <c r="EM27" s="25">
        <f t="shared" si="32"/>
        <v>0</v>
      </c>
      <c r="EO27" s="24">
        <f>SUMIFS(Libro_Diario[[Cantidad ]],Libro_Diario[[Tipo ]],Gastos[[#Headers],[Gastos]],Libro_Diario[[Categoria ]],Gastos[[#This Row],[Gastos]],Libro_Diario[Fecha],"&gt;="&amp;'Libro Mayor'!EO$9,Libro_Diario[Fecha],"&lt;="&amp;EOMONTH('Libro Mayor'!EO$9,0))</f>
        <v>0</v>
      </c>
      <c r="EP27" s="24">
        <f>SUMIFS(Libro_Diario[[Cantidad ]],Libro_Diario[[Tipo ]],Gastos[[#Headers],[Gastos]],Libro_Diario[[Categoria ]],Gastos[[#This Row],[Gastos]],Libro_Diario[Fecha],"&gt;="&amp;'Libro Mayor'!EP$9,Libro_Diario[Fecha],"&lt;="&amp;EOMONTH('Libro Mayor'!EP$9,0))</f>
        <v>0</v>
      </c>
      <c r="EQ27" s="24">
        <f>SUMIFS(Libro_Diario[[Cantidad ]],Libro_Diario[[Tipo ]],Gastos[[#Headers],[Gastos]],Libro_Diario[[Categoria ]],Gastos[[#This Row],[Gastos]],Libro_Diario[Fecha],"&gt;="&amp;'Libro Mayor'!EQ$9,Libro_Diario[Fecha],"&lt;="&amp;EOMONTH('Libro Mayor'!EQ$9,0))</f>
        <v>0</v>
      </c>
      <c r="ER27" s="24">
        <f>SUMIFS(Libro_Diario[[Cantidad ]],Libro_Diario[[Tipo ]],Gastos[[#Headers],[Gastos]],Libro_Diario[[Categoria ]],Gastos[[#This Row],[Gastos]],Libro_Diario[Fecha],"&gt;="&amp;'Libro Mayor'!ER$9,Libro_Diario[Fecha],"&lt;="&amp;EOMONTH('Libro Mayor'!ER$9,0))</f>
        <v>0</v>
      </c>
      <c r="ES27" s="24">
        <f>SUMIFS(Libro_Diario[[Cantidad ]],Libro_Diario[[Tipo ]],Gastos[[#Headers],[Gastos]],Libro_Diario[[Categoria ]],Gastos[[#This Row],[Gastos]],Libro_Diario[Fecha],"&gt;="&amp;'Libro Mayor'!ES$9,Libro_Diario[Fecha],"&lt;="&amp;EOMONTH('Libro Mayor'!ES$9,0))</f>
        <v>0</v>
      </c>
      <c r="ET27" s="24">
        <f>SUMIFS(Libro_Diario[[Cantidad ]],Libro_Diario[[Tipo ]],Gastos[[#Headers],[Gastos]],Libro_Diario[[Categoria ]],Gastos[[#This Row],[Gastos]],Libro_Diario[Fecha],"&gt;="&amp;'Libro Mayor'!ET$9,Libro_Diario[Fecha],"&lt;="&amp;EOMONTH('Libro Mayor'!ET$9,0))</f>
        <v>0</v>
      </c>
      <c r="EU27" s="24">
        <f>SUMIFS(Libro_Diario[[Cantidad ]],Libro_Diario[[Tipo ]],Gastos[[#Headers],[Gastos]],Libro_Diario[[Categoria ]],Gastos[[#This Row],[Gastos]],Libro_Diario[Fecha],"&gt;="&amp;'Libro Mayor'!EU$9,Libro_Diario[Fecha],"&lt;="&amp;EOMONTH('Libro Mayor'!EU$9,0))</f>
        <v>0</v>
      </c>
      <c r="EV27" s="24">
        <f>SUMIFS(Libro_Diario[[Cantidad ]],Libro_Diario[[Tipo ]],Gastos[[#Headers],[Gastos]],Libro_Diario[[Categoria ]],Gastos[[#This Row],[Gastos]],Libro_Diario[Fecha],"&gt;="&amp;'Libro Mayor'!EV$9,Libro_Diario[Fecha],"&lt;="&amp;EOMONTH('Libro Mayor'!EV$9,0))</f>
        <v>0</v>
      </c>
      <c r="EW27" s="24">
        <f>SUMIFS(Libro_Diario[[Cantidad ]],Libro_Diario[[Tipo ]],Gastos[[#Headers],[Gastos]],Libro_Diario[[Categoria ]],Gastos[[#This Row],[Gastos]],Libro_Diario[Fecha],"&gt;="&amp;'Libro Mayor'!EW$9,Libro_Diario[Fecha],"&lt;="&amp;EOMONTH('Libro Mayor'!EW$9,0))</f>
        <v>0</v>
      </c>
      <c r="EX27" s="24">
        <f>SUMIFS(Libro_Diario[[Cantidad ]],Libro_Diario[[Tipo ]],Gastos[[#Headers],[Gastos]],Libro_Diario[[Categoria ]],Gastos[[#This Row],[Gastos]],Libro_Diario[Fecha],"&gt;="&amp;'Libro Mayor'!EX$9,Libro_Diario[Fecha],"&lt;="&amp;EOMONTH('Libro Mayor'!EX$9,0))</f>
        <v>0</v>
      </c>
      <c r="EY27" s="24">
        <f>SUMIFS(Libro_Diario[[Cantidad ]],Libro_Diario[[Tipo ]],Gastos[[#Headers],[Gastos]],Libro_Diario[[Categoria ]],Gastos[[#This Row],[Gastos]],Libro_Diario[Fecha],"&gt;="&amp;'Libro Mayor'!EY$9,Libro_Diario[Fecha],"&lt;="&amp;EOMONTH('Libro Mayor'!EY$9,0))</f>
        <v>0</v>
      </c>
      <c r="EZ27" s="24">
        <f>SUMIFS(Libro_Diario[[Cantidad ]],Libro_Diario[[Tipo ]],Gastos[[#Headers],[Gastos]],Libro_Diario[[Categoria ]],Gastos[[#This Row],[Gastos]],Libro_Diario[Fecha],"&gt;="&amp;'Libro Mayor'!EZ$9,Libro_Diario[Fecha],"&lt;="&amp;EOMONTH('Libro Mayor'!EZ$9,0))</f>
        <v>0</v>
      </c>
      <c r="FA27" s="25">
        <f t="shared" si="22"/>
        <v>0</v>
      </c>
    </row>
    <row r="28" spans="3:157" x14ac:dyDescent="0.3">
      <c r="C28" s="17" t="s">
        <v>46</v>
      </c>
      <c r="D28" s="23"/>
      <c r="E28" s="24">
        <f>SUMIFS(Libro_Diario[[Cantidad ]],Libro_Diario[[Tipo ]],Gastos[[#Headers],[Gastos]],Libro_Diario[[Categoria ]],Gastos[[#This Row],[Gastos]],Libro_Diario[Fecha],"&gt;="&amp;'Libro Mayor'!E$9,Libro_Diario[Fecha],"&lt;="&amp;EOMONTH('Libro Mayor'!E$9,0))</f>
        <v>0</v>
      </c>
      <c r="F28" s="24">
        <f>SUMIFS(Libro_Diario[[Cantidad ]],Libro_Diario[[Tipo ]],Gastos[[#Headers],[Gastos]],Libro_Diario[[Categoria ]],Gastos[[#This Row],[Gastos]],Libro_Diario[Fecha],"&gt;="&amp;'Libro Mayor'!F$9,Libro_Diario[Fecha],"&lt;="&amp;EOMONTH('Libro Mayor'!F$9,0))</f>
        <v>0</v>
      </c>
      <c r="G28" s="24">
        <f>SUMIFS(Libro_Diario[[Cantidad ]],Libro_Diario[[Tipo ]],Gastos[[#Headers],[Gastos]],Libro_Diario[[Categoria ]],Gastos[[#This Row],[Gastos]],Libro_Diario[Fecha],"&gt;="&amp;'Libro Mayor'!G$9,Libro_Diario[Fecha],"&lt;="&amp;EOMONTH('Libro Mayor'!G$9,0))</f>
        <v>0</v>
      </c>
      <c r="H28" s="24">
        <f>SUMIFS(Libro_Diario[[Cantidad ]],Libro_Diario[[Tipo ]],Gastos[[#Headers],[Gastos]],Libro_Diario[[Categoria ]],Gastos[[#This Row],[Gastos]],Libro_Diario[Fecha],"&gt;="&amp;'Libro Mayor'!H$9,Libro_Diario[Fecha],"&lt;="&amp;EOMONTH('Libro Mayor'!H$9,0))</f>
        <v>0</v>
      </c>
      <c r="I28" s="24">
        <f>SUMIFS(Libro_Diario[[Cantidad ]],Libro_Diario[[Tipo ]],Gastos[[#Headers],[Gastos]],Libro_Diario[[Categoria ]],Gastos[[#This Row],[Gastos]],Libro_Diario[Fecha],"&gt;="&amp;'Libro Mayor'!I$9,Libro_Diario[Fecha],"&lt;="&amp;EOMONTH('Libro Mayor'!I$9,0))</f>
        <v>0</v>
      </c>
      <c r="J28" s="24">
        <f>SUMIFS(Libro_Diario[[Cantidad ]],Libro_Diario[[Tipo ]],Gastos[[#Headers],[Gastos]],Libro_Diario[[Categoria ]],Gastos[[#This Row],[Gastos]],Libro_Diario[Fecha],"&gt;="&amp;'Libro Mayor'!J$9,Libro_Diario[Fecha],"&lt;="&amp;EOMONTH('Libro Mayor'!J$9,0))</f>
        <v>0</v>
      </c>
      <c r="K28" s="24">
        <f>SUMIFS(Libro_Diario[[Cantidad ]],Libro_Diario[[Tipo ]],Gastos[[#Headers],[Gastos]],Libro_Diario[[Categoria ]],Gastos[[#This Row],[Gastos]],Libro_Diario[Fecha],"&gt;="&amp;'Libro Mayor'!K$9,Libro_Diario[Fecha],"&lt;="&amp;EOMONTH('Libro Mayor'!K$9,0))</f>
        <v>0</v>
      </c>
      <c r="L28" s="24">
        <f>SUMIFS(Libro_Diario[[Cantidad ]],Libro_Diario[[Tipo ]],Gastos[[#Headers],[Gastos]],Libro_Diario[[Categoria ]],Gastos[[#This Row],[Gastos]],Libro_Diario[Fecha],"&gt;="&amp;'Libro Mayor'!L$9,Libro_Diario[Fecha],"&lt;="&amp;EOMONTH('Libro Mayor'!L$9,0))</f>
        <v>0</v>
      </c>
      <c r="M28" s="24">
        <f>SUMIFS(Libro_Diario[[Cantidad ]],Libro_Diario[[Tipo ]],Gastos[[#Headers],[Gastos]],Libro_Diario[[Categoria ]],Gastos[[#This Row],[Gastos]],Libro_Diario[Fecha],"&gt;="&amp;'Libro Mayor'!M$9,Libro_Diario[Fecha],"&lt;="&amp;EOMONTH('Libro Mayor'!M$9,0))</f>
        <v>0</v>
      </c>
      <c r="N28" s="24">
        <f>SUMIFS(Libro_Diario[[Cantidad ]],Libro_Diario[[Tipo ]],Gastos[[#Headers],[Gastos]],Libro_Diario[[Categoria ]],Gastos[[#This Row],[Gastos]],Libro_Diario[Fecha],"&gt;="&amp;'Libro Mayor'!N$9,Libro_Diario[Fecha],"&lt;="&amp;EOMONTH('Libro Mayor'!N$9,0))</f>
        <v>0</v>
      </c>
      <c r="O28" s="24">
        <f>SUMIFS(Libro_Diario[[Cantidad ]],Libro_Diario[[Tipo ]],Gastos[[#Headers],[Gastos]],Libro_Diario[[Categoria ]],Gastos[[#This Row],[Gastos]],Libro_Diario[Fecha],"&gt;="&amp;'Libro Mayor'!O$9,Libro_Diario[Fecha],"&lt;="&amp;EOMONTH('Libro Mayor'!O$9,0))</f>
        <v>0</v>
      </c>
      <c r="P28" s="24">
        <f>SUMIFS(Libro_Diario[[Cantidad ]],Libro_Diario[[Tipo ]],Gastos[[#Headers],[Gastos]],Libro_Diario[[Categoria ]],Gastos[[#This Row],[Gastos]],Libro_Diario[Fecha],"&gt;="&amp;'Libro Mayor'!P$9,Libro_Diario[Fecha],"&lt;="&amp;EOMONTH('Libro Mayor'!P$9,0))</f>
        <v>0</v>
      </c>
      <c r="Q28" s="25">
        <f>SUM(E28:P28)</f>
        <v>0</v>
      </c>
      <c r="S28" s="24">
        <f>SUMIFS(Libro_Diario[[Cantidad ]],Libro_Diario[[Tipo ]],Gastos[[#Headers],[Gastos]],Libro_Diario[[Categoria ]],Gastos[[#This Row],[Gastos]],Libro_Diario[Fecha],"&gt;="&amp;'Libro Mayor'!S$9,Libro_Diario[Fecha],"&lt;="&amp;EOMONTH('Libro Mayor'!S$9,0))</f>
        <v>0</v>
      </c>
      <c r="T28" s="24">
        <f>SUMIFS(Libro_Diario[[Cantidad ]],Libro_Diario[[Tipo ]],Gastos[[#Headers],[Gastos]],Libro_Diario[[Categoria ]],Gastos[[#This Row],[Gastos]],Libro_Diario[Fecha],"&gt;="&amp;'Libro Mayor'!T$9,Libro_Diario[Fecha],"&lt;="&amp;EOMONTH('Libro Mayor'!T$9,0))</f>
        <v>0</v>
      </c>
      <c r="U28" s="24">
        <f>SUMIFS(Libro_Diario[[Cantidad ]],Libro_Diario[[Tipo ]],Gastos[[#Headers],[Gastos]],Libro_Diario[[Categoria ]],Gastos[[#This Row],[Gastos]],Libro_Diario[Fecha],"&gt;="&amp;'Libro Mayor'!U$9,Libro_Diario[Fecha],"&lt;="&amp;EOMONTH('Libro Mayor'!U$9,0))</f>
        <v>0</v>
      </c>
      <c r="V28" s="24">
        <f>SUMIFS(Libro_Diario[[Cantidad ]],Libro_Diario[[Tipo ]],Gastos[[#Headers],[Gastos]],Libro_Diario[[Categoria ]],Gastos[[#This Row],[Gastos]],Libro_Diario[Fecha],"&gt;="&amp;'Libro Mayor'!V$9,Libro_Diario[Fecha],"&lt;="&amp;EOMONTH('Libro Mayor'!V$9,0))</f>
        <v>0</v>
      </c>
      <c r="W28" s="24">
        <f>SUMIFS(Libro_Diario[[Cantidad ]],Libro_Diario[[Tipo ]],Gastos[[#Headers],[Gastos]],Libro_Diario[[Categoria ]],Gastos[[#This Row],[Gastos]],Libro_Diario[Fecha],"&gt;="&amp;'Libro Mayor'!W$9,Libro_Diario[Fecha],"&lt;="&amp;EOMONTH('Libro Mayor'!W$9,0))</f>
        <v>0</v>
      </c>
      <c r="X28" s="24">
        <f>SUMIFS(Libro_Diario[[Cantidad ]],Libro_Diario[[Tipo ]],Gastos[[#Headers],[Gastos]],Libro_Diario[[Categoria ]],Gastos[[#This Row],[Gastos]],Libro_Diario[Fecha],"&gt;="&amp;'Libro Mayor'!X$9,Libro_Diario[Fecha],"&lt;="&amp;EOMONTH('Libro Mayor'!X$9,0))</f>
        <v>0</v>
      </c>
      <c r="Y28" s="24">
        <f>SUMIFS(Libro_Diario[[Cantidad ]],Libro_Diario[[Tipo ]],Gastos[[#Headers],[Gastos]],Libro_Diario[[Categoria ]],Gastos[[#This Row],[Gastos]],Libro_Diario[Fecha],"&gt;="&amp;'Libro Mayor'!Y$9,Libro_Diario[Fecha],"&lt;="&amp;EOMONTH('Libro Mayor'!Y$9,0))</f>
        <v>0</v>
      </c>
      <c r="Z28" s="24">
        <f>SUMIFS(Libro_Diario[[Cantidad ]],Libro_Diario[[Tipo ]],Gastos[[#Headers],[Gastos]],Libro_Diario[[Categoria ]],Gastos[[#This Row],[Gastos]],Libro_Diario[Fecha],"&gt;="&amp;'Libro Mayor'!Z$9,Libro_Diario[Fecha],"&lt;="&amp;EOMONTH('Libro Mayor'!Z$9,0))</f>
        <v>0</v>
      </c>
      <c r="AA28" s="24">
        <f>SUMIFS(Libro_Diario[[Cantidad ]],Libro_Diario[[Tipo ]],Gastos[[#Headers],[Gastos]],Libro_Diario[[Categoria ]],Gastos[[#This Row],[Gastos]],Libro_Diario[Fecha],"&gt;="&amp;'Libro Mayor'!AA$9,Libro_Diario[Fecha],"&lt;="&amp;EOMONTH('Libro Mayor'!AA$9,0))</f>
        <v>0</v>
      </c>
      <c r="AB28" s="24">
        <f>SUMIFS(Libro_Diario[[Cantidad ]],Libro_Diario[[Tipo ]],Gastos[[#Headers],[Gastos]],Libro_Diario[[Categoria ]],Gastos[[#This Row],[Gastos]],Libro_Diario[Fecha],"&gt;="&amp;'Libro Mayor'!AB$9,Libro_Diario[Fecha],"&lt;="&amp;EOMONTH('Libro Mayor'!AB$9,0))</f>
        <v>0</v>
      </c>
      <c r="AC28" s="24">
        <f>SUMIFS(Libro_Diario[[Cantidad ]],Libro_Diario[[Tipo ]],Gastos[[#Headers],[Gastos]],Libro_Diario[[Categoria ]],Gastos[[#This Row],[Gastos]],Libro_Diario[Fecha],"&gt;="&amp;'Libro Mayor'!AC$9,Libro_Diario[Fecha],"&lt;="&amp;EOMONTH('Libro Mayor'!AC$9,0))</f>
        <v>0</v>
      </c>
      <c r="AD28" s="24">
        <f>SUMIFS(Libro_Diario[Detalles],Libro_Diario[[Categoria ]],Gastos[[#Headers],[Gastos]],Libro_Diario[[Cantidad ]],Gastos[[#This Row],[Gastos]],Libro_Diario[[Tipo ]],"&gt;="&amp;'Libro Mayor'!AD$9,Libro_Diario[[Tipo ]],"&lt;="&amp;EOMONTH('Libro Mayor'!AD$9,0))</f>
        <v>0</v>
      </c>
      <c r="AE28" s="25">
        <f t="shared" si="24"/>
        <v>0</v>
      </c>
      <c r="AG28" s="24">
        <f>SUMIFS(Libro_Diario[[Cantidad ]],Libro_Diario[[Tipo ]],Gastos[[#Headers],[Gastos]],Libro_Diario[[Categoria ]],Gastos[[#This Row],[Gastos]],Libro_Diario[Fecha],"&gt;="&amp;'Libro Mayor'!AG$9,Libro_Diario[Fecha],"&lt;="&amp;EOMONTH('Libro Mayor'!AG$9,0))</f>
        <v>0</v>
      </c>
      <c r="AH28" s="24">
        <f>SUMIFS(Libro_Diario[[Cantidad ]],Libro_Diario[[Tipo ]],Gastos[[#Headers],[Gastos]],Libro_Diario[[Categoria ]],Gastos[[#This Row],[Gastos]],Libro_Diario[Fecha],"&gt;="&amp;'Libro Mayor'!AH$9,Libro_Diario[Fecha],"&lt;="&amp;EOMONTH('Libro Mayor'!AH$9,0))</f>
        <v>0</v>
      </c>
      <c r="AI28" s="24">
        <f>SUMIFS(Libro_Diario[[Cantidad ]],Libro_Diario[[Tipo ]],Gastos[[#Headers],[Gastos]],Libro_Diario[[Categoria ]],Gastos[[#This Row],[Gastos]],Libro_Diario[Fecha],"&gt;="&amp;'Libro Mayor'!AI$9,Libro_Diario[Fecha],"&lt;="&amp;EOMONTH('Libro Mayor'!AI$9,0))</f>
        <v>0</v>
      </c>
      <c r="AJ28" s="24">
        <f>SUMIFS(Libro_Diario[[Cantidad ]],Libro_Diario[[Tipo ]],Gastos[[#Headers],[Gastos]],Libro_Diario[[Categoria ]],Gastos[[#This Row],[Gastos]],Libro_Diario[Fecha],"&gt;="&amp;'Libro Mayor'!AJ$9,Libro_Diario[Fecha],"&lt;="&amp;EOMONTH('Libro Mayor'!AJ$9,0))</f>
        <v>0</v>
      </c>
      <c r="AK28" s="24">
        <f>SUMIFS(Libro_Diario[[Cantidad ]],Libro_Diario[[Tipo ]],Gastos[[#Headers],[Gastos]],Libro_Diario[[Categoria ]],Gastos[[#This Row],[Gastos]],Libro_Diario[Fecha],"&gt;="&amp;'Libro Mayor'!AK$9,Libro_Diario[Fecha],"&lt;="&amp;EOMONTH('Libro Mayor'!AK$9,0))</f>
        <v>0</v>
      </c>
      <c r="AL28" s="24">
        <f>SUMIFS(Libro_Diario[[Cantidad ]],Libro_Diario[[Tipo ]],Gastos[[#Headers],[Gastos]],Libro_Diario[[Categoria ]],Gastos[[#This Row],[Gastos]],Libro_Diario[Fecha],"&gt;="&amp;'Libro Mayor'!AL$9,Libro_Diario[Fecha],"&lt;="&amp;EOMONTH('Libro Mayor'!AL$9,0))</f>
        <v>0</v>
      </c>
      <c r="AM28" s="24">
        <f>SUMIFS(Libro_Diario[[Cantidad ]],Libro_Diario[[Tipo ]],Gastos[[#Headers],[Gastos]],Libro_Diario[[Categoria ]],Gastos[[#This Row],[Gastos]],Libro_Diario[Fecha],"&gt;="&amp;'Libro Mayor'!AM$9,Libro_Diario[Fecha],"&lt;="&amp;EOMONTH('Libro Mayor'!AM$9,0))</f>
        <v>0</v>
      </c>
      <c r="AN28" s="24">
        <f>SUMIFS(Libro_Diario[[Cantidad ]],Libro_Diario[[Tipo ]],Gastos[[#Headers],[Gastos]],Libro_Diario[[Categoria ]],Gastos[[#This Row],[Gastos]],Libro_Diario[Fecha],"&gt;="&amp;'Libro Mayor'!AN$9,Libro_Diario[Fecha],"&lt;="&amp;EOMONTH('Libro Mayor'!AN$9,0))</f>
        <v>0</v>
      </c>
      <c r="AO28" s="24">
        <f>SUMIFS(Libro_Diario[[Cantidad ]],Libro_Diario[[Tipo ]],Gastos[[#Headers],[Gastos]],Libro_Diario[[Categoria ]],Gastos[[#This Row],[Gastos]],Libro_Diario[Fecha],"&gt;="&amp;'Libro Mayor'!AO$9,Libro_Diario[Fecha],"&lt;="&amp;EOMONTH('Libro Mayor'!AO$9,0))</f>
        <v>0</v>
      </c>
      <c r="AP28" s="24">
        <f>SUMIFS(Libro_Diario[[Cantidad ]],Libro_Diario[[Tipo ]],Gastos[[#Headers],[Gastos]],Libro_Diario[[Categoria ]],Gastos[[#This Row],[Gastos]],Libro_Diario[Fecha],"&gt;="&amp;'Libro Mayor'!AP$9,Libro_Diario[Fecha],"&lt;="&amp;EOMONTH('Libro Mayor'!AP$9,0))</f>
        <v>0</v>
      </c>
      <c r="AQ28" s="24">
        <f>SUMIFS(Libro_Diario[[Cantidad ]],Libro_Diario[[Tipo ]],Gastos[[#Headers],[Gastos]],Libro_Diario[[Categoria ]],Gastos[[#This Row],[Gastos]],Libro_Diario[Fecha],"&gt;="&amp;'Libro Mayor'!AQ$9,Libro_Diario[Fecha],"&lt;="&amp;EOMONTH('Libro Mayor'!AQ$9,0))</f>
        <v>0</v>
      </c>
      <c r="AR28" s="24">
        <f>SUMIFS(Libro_Diario[Detalles],Libro_Diario[[Categoria ]],Gastos[[#Headers],[Gastos]],Libro_Diario[[Cantidad ]],Gastos[[#This Row],[Gastos]],Libro_Diario[[Tipo ]],"&gt;="&amp;'Libro Mayor'!AR$9,Libro_Diario[[Tipo ]],"&lt;="&amp;EOMONTH('Libro Mayor'!AR$9,0))</f>
        <v>0</v>
      </c>
      <c r="AS28" s="25">
        <f t="shared" si="25"/>
        <v>0</v>
      </c>
      <c r="AU28" s="24">
        <f>SUMIFS(Libro_Diario[[Cantidad ]],Libro_Diario[[Tipo ]],Gastos[[#Headers],[Gastos]],Libro_Diario[[Categoria ]],Gastos[[#This Row],[Gastos]],Libro_Diario[Fecha],"&gt;="&amp;'Libro Mayor'!AU$9,Libro_Diario[Fecha],"&lt;="&amp;EOMONTH('Libro Mayor'!AU$9,0))</f>
        <v>0</v>
      </c>
      <c r="AV28" s="24">
        <f>SUMIFS(Libro_Diario[[Cantidad ]],Libro_Diario[[Tipo ]],Gastos[[#Headers],[Gastos]],Libro_Diario[[Categoria ]],Gastos[[#This Row],[Gastos]],Libro_Diario[Fecha],"&gt;="&amp;'Libro Mayor'!AV$9,Libro_Diario[Fecha],"&lt;="&amp;EOMONTH('Libro Mayor'!AV$9,0))</f>
        <v>0</v>
      </c>
      <c r="AW28" s="24">
        <f>SUMIFS(Libro_Diario[[Cantidad ]],Libro_Diario[[Tipo ]],Gastos[[#Headers],[Gastos]],Libro_Diario[[Categoria ]],Gastos[[#This Row],[Gastos]],Libro_Diario[Fecha],"&gt;="&amp;'Libro Mayor'!AW$9,Libro_Diario[Fecha],"&lt;="&amp;EOMONTH('Libro Mayor'!AW$9,0))</f>
        <v>0</v>
      </c>
      <c r="AX28" s="24">
        <f>SUMIFS(Libro_Diario[[Cantidad ]],Libro_Diario[[Tipo ]],Gastos[[#Headers],[Gastos]],Libro_Diario[[Categoria ]],Gastos[[#This Row],[Gastos]],Libro_Diario[Fecha],"&gt;="&amp;'Libro Mayor'!AX$9,Libro_Diario[Fecha],"&lt;="&amp;EOMONTH('Libro Mayor'!AX$9,0))</f>
        <v>0</v>
      </c>
      <c r="AY28" s="24">
        <f>SUMIFS(Libro_Diario[[Cantidad ]],Libro_Diario[[Tipo ]],Gastos[[#Headers],[Gastos]],Libro_Diario[[Categoria ]],Gastos[[#This Row],[Gastos]],Libro_Diario[Fecha],"&gt;="&amp;'Libro Mayor'!AY$9,Libro_Diario[Fecha],"&lt;="&amp;EOMONTH('Libro Mayor'!AY$9,0))</f>
        <v>0</v>
      </c>
      <c r="AZ28" s="24">
        <f>SUMIFS(Libro_Diario[[Cantidad ]],Libro_Diario[[Tipo ]],Gastos[[#Headers],[Gastos]],Libro_Diario[[Categoria ]],Gastos[[#This Row],[Gastos]],Libro_Diario[Fecha],"&gt;="&amp;'Libro Mayor'!AZ$9,Libro_Diario[Fecha],"&lt;="&amp;EOMONTH('Libro Mayor'!AZ$9,0))</f>
        <v>0</v>
      </c>
      <c r="BA28" s="24">
        <f>SUMIFS(Libro_Diario[[Cantidad ]],Libro_Diario[[Tipo ]],Gastos[[#Headers],[Gastos]],Libro_Diario[[Categoria ]],Gastos[[#This Row],[Gastos]],Libro_Diario[Fecha],"&gt;="&amp;'Libro Mayor'!BA$9,Libro_Diario[Fecha],"&lt;="&amp;EOMONTH('Libro Mayor'!BA$9,0))</f>
        <v>0</v>
      </c>
      <c r="BB28" s="24">
        <f>SUMIFS(Libro_Diario[[Cantidad ]],Libro_Diario[[Tipo ]],Gastos[[#Headers],[Gastos]],Libro_Diario[[Categoria ]],Gastos[[#This Row],[Gastos]],Libro_Diario[Fecha],"&gt;="&amp;'Libro Mayor'!BB$9,Libro_Diario[Fecha],"&lt;="&amp;EOMONTH('Libro Mayor'!BB$9,0))</f>
        <v>0</v>
      </c>
      <c r="BC28" s="24">
        <f>SUMIFS(Libro_Diario[[Cantidad ]],Libro_Diario[[Tipo ]],Gastos[[#Headers],[Gastos]],Libro_Diario[[Categoria ]],Gastos[[#This Row],[Gastos]],Libro_Diario[Fecha],"&gt;="&amp;'Libro Mayor'!BC$9,Libro_Diario[Fecha],"&lt;="&amp;EOMONTH('Libro Mayor'!BC$9,0))</f>
        <v>0</v>
      </c>
      <c r="BD28" s="24">
        <f>SUMIFS(Libro_Diario[[Cantidad ]],Libro_Diario[[Tipo ]],Gastos[[#Headers],[Gastos]],Libro_Diario[[Categoria ]],Gastos[[#This Row],[Gastos]],Libro_Diario[Fecha],"&gt;="&amp;'Libro Mayor'!BD$9,Libro_Diario[Fecha],"&lt;="&amp;EOMONTH('Libro Mayor'!BD$9,0))</f>
        <v>0</v>
      </c>
      <c r="BE28" s="24">
        <f>SUMIFS(Libro_Diario[[Cantidad ]],Libro_Diario[[Tipo ]],Gastos[[#Headers],[Gastos]],Libro_Diario[[Categoria ]],Gastos[[#This Row],[Gastos]],Libro_Diario[Fecha],"&gt;="&amp;'Libro Mayor'!BE$9,Libro_Diario[Fecha],"&lt;="&amp;EOMONTH('Libro Mayor'!BE$9,0))</f>
        <v>0</v>
      </c>
      <c r="BF28" s="24">
        <f>SUMIFS(Libro_Diario[Detalles],Libro_Diario[[Categoria ]],Gastos[[#Headers],[Gastos]],Libro_Diario[[Cantidad ]],Gastos[[#This Row],[Gastos]],Libro_Diario[[Tipo ]],"&gt;="&amp;'Libro Mayor'!BF$9,Libro_Diario[[Tipo ]],"&lt;="&amp;EOMONTH('Libro Mayor'!BF$9,0))</f>
        <v>0</v>
      </c>
      <c r="BG28" s="25">
        <f t="shared" si="26"/>
        <v>0</v>
      </c>
      <c r="BI28" s="24">
        <f>SUMIFS(Libro_Diario[[Cantidad ]],Libro_Diario[[Tipo ]],Gastos[[#Headers],[Gastos]],Libro_Diario[[Categoria ]],Gastos[[#This Row],[Gastos]],Libro_Diario[Fecha],"&gt;="&amp;'Libro Mayor'!BI$9,Libro_Diario[Fecha],"&lt;="&amp;EOMONTH('Libro Mayor'!BI$9,0))</f>
        <v>0</v>
      </c>
      <c r="BJ28" s="24">
        <f>SUMIFS(Libro_Diario[[Cantidad ]],Libro_Diario[[Tipo ]],Gastos[[#Headers],[Gastos]],Libro_Diario[[Categoria ]],Gastos[[#This Row],[Gastos]],Libro_Diario[Fecha],"&gt;="&amp;'Libro Mayor'!BJ$9,Libro_Diario[Fecha],"&lt;="&amp;EOMONTH('Libro Mayor'!BJ$9,0))</f>
        <v>0</v>
      </c>
      <c r="BK28" s="24">
        <f>SUMIFS(Libro_Diario[[Cantidad ]],Libro_Diario[[Tipo ]],Gastos[[#Headers],[Gastos]],Libro_Diario[[Categoria ]],Gastos[[#This Row],[Gastos]],Libro_Diario[Fecha],"&gt;="&amp;'Libro Mayor'!BK$9,Libro_Diario[Fecha],"&lt;="&amp;EOMONTH('Libro Mayor'!BK$9,0))</f>
        <v>0</v>
      </c>
      <c r="BL28" s="24">
        <f>SUMIFS(Libro_Diario[[Cantidad ]],Libro_Diario[[Tipo ]],Gastos[[#Headers],[Gastos]],Libro_Diario[[Categoria ]],Gastos[[#This Row],[Gastos]],Libro_Diario[Fecha],"&gt;="&amp;'Libro Mayor'!BL$9,Libro_Diario[Fecha],"&lt;="&amp;EOMONTH('Libro Mayor'!BL$9,0))</f>
        <v>0</v>
      </c>
      <c r="BM28" s="24">
        <f>SUMIFS(Libro_Diario[[Cantidad ]],Libro_Diario[[Tipo ]],Gastos[[#Headers],[Gastos]],Libro_Diario[[Categoria ]],Gastos[[#This Row],[Gastos]],Libro_Diario[Fecha],"&gt;="&amp;'Libro Mayor'!BM$9,Libro_Diario[Fecha],"&lt;="&amp;EOMONTH('Libro Mayor'!BM$9,0))</f>
        <v>0</v>
      </c>
      <c r="BN28" s="24">
        <f>SUMIFS(Libro_Diario[[Cantidad ]],Libro_Diario[[Tipo ]],Gastos[[#Headers],[Gastos]],Libro_Diario[[Categoria ]],Gastos[[#This Row],[Gastos]],Libro_Diario[Fecha],"&gt;="&amp;'Libro Mayor'!BN$9,Libro_Diario[Fecha],"&lt;="&amp;EOMONTH('Libro Mayor'!BN$9,0))</f>
        <v>0</v>
      </c>
      <c r="BO28" s="24">
        <f>SUMIFS(Libro_Diario[[Cantidad ]],Libro_Diario[[Tipo ]],Gastos[[#Headers],[Gastos]],Libro_Diario[[Categoria ]],Gastos[[#This Row],[Gastos]],Libro_Diario[Fecha],"&gt;="&amp;'Libro Mayor'!BO$9,Libro_Diario[Fecha],"&lt;="&amp;EOMONTH('Libro Mayor'!BO$9,0))</f>
        <v>0</v>
      </c>
      <c r="BP28" s="24">
        <f>SUMIFS(Libro_Diario[[Cantidad ]],Libro_Diario[[Tipo ]],Gastos[[#Headers],[Gastos]],Libro_Diario[[Categoria ]],Gastos[[#This Row],[Gastos]],Libro_Diario[Fecha],"&gt;="&amp;'Libro Mayor'!BP$9,Libro_Diario[Fecha],"&lt;="&amp;EOMONTH('Libro Mayor'!BP$9,0))</f>
        <v>0</v>
      </c>
      <c r="BQ28" s="24">
        <f>SUMIFS(Libro_Diario[[Cantidad ]],Libro_Diario[[Tipo ]],Gastos[[#Headers],[Gastos]],Libro_Diario[[Categoria ]],Gastos[[#This Row],[Gastos]],Libro_Diario[Fecha],"&gt;="&amp;'Libro Mayor'!BQ$9,Libro_Diario[Fecha],"&lt;="&amp;EOMONTH('Libro Mayor'!BQ$9,0))</f>
        <v>0</v>
      </c>
      <c r="BR28" s="24">
        <f>SUMIFS(Libro_Diario[[Cantidad ]],Libro_Diario[[Tipo ]],Gastos[[#Headers],[Gastos]],Libro_Diario[[Categoria ]],Gastos[[#This Row],[Gastos]],Libro_Diario[Fecha],"&gt;="&amp;'Libro Mayor'!BR$9,Libro_Diario[Fecha],"&lt;="&amp;EOMONTH('Libro Mayor'!BR$9,0))</f>
        <v>0</v>
      </c>
      <c r="BS28" s="24">
        <f>SUMIFS(Libro_Diario[[Cantidad ]],Libro_Diario[[Tipo ]],Gastos[[#Headers],[Gastos]],Libro_Diario[[Categoria ]],Gastos[[#This Row],[Gastos]],Libro_Diario[Fecha],"&gt;="&amp;'Libro Mayor'!BS$9,Libro_Diario[Fecha],"&lt;="&amp;EOMONTH('Libro Mayor'!BS$9,0))</f>
        <v>0</v>
      </c>
      <c r="BT28" s="24">
        <f>SUMIFS(Libro_Diario[Detalles],Libro_Diario[[Categoria ]],Gastos[[#Headers],[Gastos]],Libro_Diario[[Cantidad ]],Gastos[[#This Row],[Gastos]],Libro_Diario[[Tipo ]],"&gt;="&amp;'Libro Mayor'!BT$9,Libro_Diario[[Tipo ]],"&lt;="&amp;EOMONTH('Libro Mayor'!BT$9,0))</f>
        <v>0</v>
      </c>
      <c r="BU28" s="25">
        <f t="shared" si="27"/>
        <v>0</v>
      </c>
      <c r="BW28" s="24">
        <f>SUMIFS(Libro_Diario[[Cantidad ]],Libro_Diario[[Tipo ]],Gastos[[#Headers],[Gastos]],Libro_Diario[[Categoria ]],Gastos[[#This Row],[Gastos]],Libro_Diario[Fecha],"&gt;="&amp;'Libro Mayor'!BW$9,Libro_Diario[Fecha],"&lt;="&amp;EOMONTH('Libro Mayor'!BW$9,0))</f>
        <v>0</v>
      </c>
      <c r="BX28" s="24">
        <f>SUMIFS(Libro_Diario[[Cantidad ]],Libro_Diario[[Tipo ]],Gastos[[#Headers],[Gastos]],Libro_Diario[[Categoria ]],Gastos[[#This Row],[Gastos]],Libro_Diario[Fecha],"&gt;="&amp;'Libro Mayor'!BX$9,Libro_Diario[Fecha],"&lt;="&amp;EOMONTH('Libro Mayor'!BX$9,0))</f>
        <v>0</v>
      </c>
      <c r="BY28" s="24">
        <f>SUMIFS(Libro_Diario[[Cantidad ]],Libro_Diario[[Tipo ]],Gastos[[#Headers],[Gastos]],Libro_Diario[[Categoria ]],Gastos[[#This Row],[Gastos]],Libro_Diario[Fecha],"&gt;="&amp;'Libro Mayor'!BY$9,Libro_Diario[Fecha],"&lt;="&amp;EOMONTH('Libro Mayor'!BY$9,0))</f>
        <v>0</v>
      </c>
      <c r="BZ28" s="24">
        <f>SUMIFS(Libro_Diario[[Cantidad ]],Libro_Diario[[Tipo ]],Gastos[[#Headers],[Gastos]],Libro_Diario[[Categoria ]],Gastos[[#This Row],[Gastos]],Libro_Diario[Fecha],"&gt;="&amp;'Libro Mayor'!BZ$9,Libro_Diario[Fecha],"&lt;="&amp;EOMONTH('Libro Mayor'!BZ$9,0))</f>
        <v>0</v>
      </c>
      <c r="CA28" s="24">
        <f>SUMIFS(Libro_Diario[[Cantidad ]],Libro_Diario[[Tipo ]],Gastos[[#Headers],[Gastos]],Libro_Diario[[Categoria ]],Gastos[[#This Row],[Gastos]],Libro_Diario[Fecha],"&gt;="&amp;'Libro Mayor'!CA$9,Libro_Diario[Fecha],"&lt;="&amp;EOMONTH('Libro Mayor'!CA$9,0))</f>
        <v>0</v>
      </c>
      <c r="CB28" s="24">
        <f>SUMIFS(Libro_Diario[[Cantidad ]],Libro_Diario[[Tipo ]],Gastos[[#Headers],[Gastos]],Libro_Diario[[Categoria ]],Gastos[[#This Row],[Gastos]],Libro_Diario[Fecha],"&gt;="&amp;'Libro Mayor'!CB$9,Libro_Diario[Fecha],"&lt;="&amp;EOMONTH('Libro Mayor'!CB$9,0))</f>
        <v>0</v>
      </c>
      <c r="CC28" s="24">
        <f>SUMIFS(Libro_Diario[[Cantidad ]],Libro_Diario[[Tipo ]],Gastos[[#Headers],[Gastos]],Libro_Diario[[Categoria ]],Gastos[[#This Row],[Gastos]],Libro_Diario[Fecha],"&gt;="&amp;'Libro Mayor'!CC$9,Libro_Diario[Fecha],"&lt;="&amp;EOMONTH('Libro Mayor'!CC$9,0))</f>
        <v>0</v>
      </c>
      <c r="CD28" s="24">
        <f>SUMIFS(Libro_Diario[[Cantidad ]],Libro_Diario[[Tipo ]],Gastos[[#Headers],[Gastos]],Libro_Diario[[Categoria ]],Gastos[[#This Row],[Gastos]],Libro_Diario[Fecha],"&gt;="&amp;'Libro Mayor'!CD$9,Libro_Diario[Fecha],"&lt;="&amp;EOMONTH('Libro Mayor'!CD$9,0))</f>
        <v>0</v>
      </c>
      <c r="CE28" s="24">
        <f>SUMIFS(Libro_Diario[[Cantidad ]],Libro_Diario[[Tipo ]],Gastos[[#Headers],[Gastos]],Libro_Diario[[Categoria ]],Gastos[[#This Row],[Gastos]],Libro_Diario[Fecha],"&gt;="&amp;'Libro Mayor'!CE$9,Libro_Diario[Fecha],"&lt;="&amp;EOMONTH('Libro Mayor'!CE$9,0))</f>
        <v>0</v>
      </c>
      <c r="CF28" s="24">
        <f>SUMIFS(Libro_Diario[[Cantidad ]],Libro_Diario[[Tipo ]],Gastos[[#Headers],[Gastos]],Libro_Diario[[Categoria ]],Gastos[[#This Row],[Gastos]],Libro_Diario[Fecha],"&gt;="&amp;'Libro Mayor'!CF$9,Libro_Diario[Fecha],"&lt;="&amp;EOMONTH('Libro Mayor'!CF$9,0))</f>
        <v>0</v>
      </c>
      <c r="CG28" s="24">
        <f>SUMIFS(Libro_Diario[[Cantidad ]],Libro_Diario[[Tipo ]],Gastos[[#Headers],[Gastos]],Libro_Diario[[Categoria ]],Gastos[[#This Row],[Gastos]],Libro_Diario[Fecha],"&gt;="&amp;'Libro Mayor'!CG$9,Libro_Diario[Fecha],"&lt;="&amp;EOMONTH('Libro Mayor'!CG$9,0))</f>
        <v>0</v>
      </c>
      <c r="CH28" s="24">
        <f>SUMIFS(Libro_Diario[Detalles],Libro_Diario[[Categoria ]],Gastos[[#Headers],[Gastos]],Libro_Diario[[Cantidad ]],Gastos[[#This Row],[Gastos]],Libro_Diario[[Tipo ]],"&gt;="&amp;'Libro Mayor'!CH$9,Libro_Diario[[Tipo ]],"&lt;="&amp;EOMONTH('Libro Mayor'!CH$9,0))</f>
        <v>0</v>
      </c>
      <c r="CI28" s="25">
        <f t="shared" si="28"/>
        <v>0</v>
      </c>
      <c r="CK28" s="24">
        <f>SUMIFS(Libro_Diario[[Cantidad ]],Libro_Diario[[Tipo ]],Gastos[[#Headers],[Gastos]],Libro_Diario[[Categoria ]],Gastos[[#This Row],[Gastos]],Libro_Diario[Fecha],"&gt;="&amp;'Libro Mayor'!CK$9,Libro_Diario[Fecha],"&lt;="&amp;EOMONTH('Libro Mayor'!CK$9,0))</f>
        <v>0</v>
      </c>
      <c r="CL28" s="24">
        <f>SUMIFS(Libro_Diario[[Cantidad ]],Libro_Diario[[Tipo ]],Gastos[[#Headers],[Gastos]],Libro_Diario[[Categoria ]],Gastos[[#This Row],[Gastos]],Libro_Diario[Fecha],"&gt;="&amp;'Libro Mayor'!CL$9,Libro_Diario[Fecha],"&lt;="&amp;EOMONTH('Libro Mayor'!CL$9,0))</f>
        <v>0</v>
      </c>
      <c r="CM28" s="24">
        <f>SUMIFS(Libro_Diario[[Cantidad ]],Libro_Diario[[Tipo ]],Gastos[[#Headers],[Gastos]],Libro_Diario[[Categoria ]],Gastos[[#This Row],[Gastos]],Libro_Diario[Fecha],"&gt;="&amp;'Libro Mayor'!CM$9,Libro_Diario[Fecha],"&lt;="&amp;EOMONTH('Libro Mayor'!CM$9,0))</f>
        <v>0</v>
      </c>
      <c r="CN28" s="24">
        <f>SUMIFS(Libro_Diario[[Cantidad ]],Libro_Diario[[Tipo ]],Gastos[[#Headers],[Gastos]],Libro_Diario[[Categoria ]],Gastos[[#This Row],[Gastos]],Libro_Diario[Fecha],"&gt;="&amp;'Libro Mayor'!CN$9,Libro_Diario[Fecha],"&lt;="&amp;EOMONTH('Libro Mayor'!CN$9,0))</f>
        <v>0</v>
      </c>
      <c r="CO28" s="24">
        <f>SUMIFS(Libro_Diario[[Cantidad ]],Libro_Diario[[Tipo ]],Gastos[[#Headers],[Gastos]],Libro_Diario[[Categoria ]],Gastos[[#This Row],[Gastos]],Libro_Diario[Fecha],"&gt;="&amp;'Libro Mayor'!CO$9,Libro_Diario[Fecha],"&lt;="&amp;EOMONTH('Libro Mayor'!CO$9,0))</f>
        <v>0</v>
      </c>
      <c r="CP28" s="24">
        <f>SUMIFS(Libro_Diario[[Cantidad ]],Libro_Diario[[Tipo ]],Gastos[[#Headers],[Gastos]],Libro_Diario[[Categoria ]],Gastos[[#This Row],[Gastos]],Libro_Diario[Fecha],"&gt;="&amp;'Libro Mayor'!CP$9,Libro_Diario[Fecha],"&lt;="&amp;EOMONTH('Libro Mayor'!CP$9,0))</f>
        <v>0</v>
      </c>
      <c r="CQ28" s="24">
        <f>SUMIFS(Libro_Diario[[Cantidad ]],Libro_Diario[[Tipo ]],Gastos[[#Headers],[Gastos]],Libro_Diario[[Categoria ]],Gastos[[#This Row],[Gastos]],Libro_Diario[Fecha],"&gt;="&amp;'Libro Mayor'!CQ$9,Libro_Diario[Fecha],"&lt;="&amp;EOMONTH('Libro Mayor'!CQ$9,0))</f>
        <v>0</v>
      </c>
      <c r="CR28" s="24">
        <f>SUMIFS(Libro_Diario[[Cantidad ]],Libro_Diario[[Tipo ]],Gastos[[#Headers],[Gastos]],Libro_Diario[[Categoria ]],Gastos[[#This Row],[Gastos]],Libro_Diario[Fecha],"&gt;="&amp;'Libro Mayor'!CR$9,Libro_Diario[Fecha],"&lt;="&amp;EOMONTH('Libro Mayor'!CR$9,0))</f>
        <v>0</v>
      </c>
      <c r="CS28" s="24">
        <f>SUMIFS(Libro_Diario[[Cantidad ]],Libro_Diario[[Tipo ]],Gastos[[#Headers],[Gastos]],Libro_Diario[[Categoria ]],Gastos[[#This Row],[Gastos]],Libro_Diario[Fecha],"&gt;="&amp;'Libro Mayor'!CS$9,Libro_Diario[Fecha],"&lt;="&amp;EOMONTH('Libro Mayor'!CS$9,0))</f>
        <v>0</v>
      </c>
      <c r="CT28" s="24">
        <f>SUMIFS(Libro_Diario[[Cantidad ]],Libro_Diario[[Tipo ]],Gastos[[#Headers],[Gastos]],Libro_Diario[[Categoria ]],Gastos[[#This Row],[Gastos]],Libro_Diario[Fecha],"&gt;="&amp;'Libro Mayor'!CT$9,Libro_Diario[Fecha],"&lt;="&amp;EOMONTH('Libro Mayor'!CT$9,0))</f>
        <v>0</v>
      </c>
      <c r="CU28" s="24">
        <f>SUMIFS(Libro_Diario[[Cantidad ]],Libro_Diario[[Tipo ]],Gastos[[#Headers],[Gastos]],Libro_Diario[[Categoria ]],Gastos[[#This Row],[Gastos]],Libro_Diario[Fecha],"&gt;="&amp;'Libro Mayor'!CU$9,Libro_Diario[Fecha],"&lt;="&amp;EOMONTH('Libro Mayor'!CU$9,0))</f>
        <v>0</v>
      </c>
      <c r="CV28" s="24">
        <f>SUMIFS(Libro_Diario[Detalles],Libro_Diario[[Categoria ]],Gastos[[#Headers],[Gastos]],Libro_Diario[[Cantidad ]],Gastos[[#This Row],[Gastos]],Libro_Diario[[Tipo ]],"&gt;="&amp;'Libro Mayor'!CV$9,Libro_Diario[[Tipo ]],"&lt;="&amp;EOMONTH('Libro Mayor'!CV$9,0))</f>
        <v>0</v>
      </c>
      <c r="CW28" s="25">
        <f t="shared" si="29"/>
        <v>0</v>
      </c>
      <c r="CY28" s="24">
        <f>SUMIFS(Libro_Diario[[Cantidad ]],Libro_Diario[[Tipo ]],Gastos[[#Headers],[Gastos]],Libro_Diario[[Categoria ]],Gastos[[#This Row],[Gastos]],Libro_Diario[Fecha],"&gt;="&amp;'Libro Mayor'!CY$9,Libro_Diario[Fecha],"&lt;="&amp;EOMONTH('Libro Mayor'!CY$9,0))</f>
        <v>0</v>
      </c>
      <c r="CZ28" s="24">
        <f>SUMIFS(Libro_Diario[[Cantidad ]],Libro_Diario[[Tipo ]],Gastos[[#Headers],[Gastos]],Libro_Diario[[Categoria ]],Gastos[[#This Row],[Gastos]],Libro_Diario[Fecha],"&gt;="&amp;'Libro Mayor'!CZ$9,Libro_Diario[Fecha],"&lt;="&amp;EOMONTH('Libro Mayor'!CZ$9,0))</f>
        <v>0</v>
      </c>
      <c r="DA28" s="24">
        <f>SUMIFS(Libro_Diario[[Cantidad ]],Libro_Diario[[Tipo ]],Gastos[[#Headers],[Gastos]],Libro_Diario[[Categoria ]],Gastos[[#This Row],[Gastos]],Libro_Diario[Fecha],"&gt;="&amp;'Libro Mayor'!DA$9,Libro_Diario[Fecha],"&lt;="&amp;EOMONTH('Libro Mayor'!DA$9,0))</f>
        <v>0</v>
      </c>
      <c r="DB28" s="24">
        <f>SUMIFS(Libro_Diario[[Cantidad ]],Libro_Diario[[Tipo ]],Gastos[[#Headers],[Gastos]],Libro_Diario[[Categoria ]],Gastos[[#This Row],[Gastos]],Libro_Diario[Fecha],"&gt;="&amp;'Libro Mayor'!DB$9,Libro_Diario[Fecha],"&lt;="&amp;EOMONTH('Libro Mayor'!DB$9,0))</f>
        <v>0</v>
      </c>
      <c r="DC28" s="24">
        <f>SUMIFS(Libro_Diario[[Cantidad ]],Libro_Diario[[Tipo ]],Gastos[[#Headers],[Gastos]],Libro_Diario[[Categoria ]],Gastos[[#This Row],[Gastos]],Libro_Diario[Fecha],"&gt;="&amp;'Libro Mayor'!DC$9,Libro_Diario[Fecha],"&lt;="&amp;EOMONTH('Libro Mayor'!DC$9,0))</f>
        <v>0</v>
      </c>
      <c r="DD28" s="24">
        <f>SUMIFS(Libro_Diario[[Cantidad ]],Libro_Diario[[Tipo ]],Gastos[[#Headers],[Gastos]],Libro_Diario[[Categoria ]],Gastos[[#This Row],[Gastos]],Libro_Diario[Fecha],"&gt;="&amp;'Libro Mayor'!DD$9,Libro_Diario[Fecha],"&lt;="&amp;EOMONTH('Libro Mayor'!DD$9,0))</f>
        <v>0</v>
      </c>
      <c r="DE28" s="24">
        <f>SUMIFS(Libro_Diario[[Cantidad ]],Libro_Diario[[Tipo ]],Gastos[[#Headers],[Gastos]],Libro_Diario[[Categoria ]],Gastos[[#This Row],[Gastos]],Libro_Diario[Fecha],"&gt;="&amp;'Libro Mayor'!DE$9,Libro_Diario[Fecha],"&lt;="&amp;EOMONTH('Libro Mayor'!DE$9,0))</f>
        <v>0</v>
      </c>
      <c r="DF28" s="24">
        <f>SUMIFS(Libro_Diario[[Cantidad ]],Libro_Diario[[Tipo ]],Gastos[[#Headers],[Gastos]],Libro_Diario[[Categoria ]],Gastos[[#This Row],[Gastos]],Libro_Diario[Fecha],"&gt;="&amp;'Libro Mayor'!DF$9,Libro_Diario[Fecha],"&lt;="&amp;EOMONTH('Libro Mayor'!DF$9,0))</f>
        <v>0</v>
      </c>
      <c r="DG28" s="24">
        <f>SUMIFS(Libro_Diario[[Cantidad ]],Libro_Diario[[Tipo ]],Gastos[[#Headers],[Gastos]],Libro_Diario[[Categoria ]],Gastos[[#This Row],[Gastos]],Libro_Diario[Fecha],"&gt;="&amp;'Libro Mayor'!DG$9,Libro_Diario[Fecha],"&lt;="&amp;EOMONTH('Libro Mayor'!DG$9,0))</f>
        <v>0</v>
      </c>
      <c r="DH28" s="24">
        <f>SUMIFS(Libro_Diario[[Cantidad ]],Libro_Diario[[Tipo ]],Gastos[[#Headers],[Gastos]],Libro_Diario[[Categoria ]],Gastos[[#This Row],[Gastos]],Libro_Diario[Fecha],"&gt;="&amp;'Libro Mayor'!DH$9,Libro_Diario[Fecha],"&lt;="&amp;EOMONTH('Libro Mayor'!DH$9,0))</f>
        <v>0</v>
      </c>
      <c r="DI28" s="24">
        <f>SUMIFS(Libro_Diario[[Cantidad ]],Libro_Diario[[Tipo ]],Gastos[[#Headers],[Gastos]],Libro_Diario[[Categoria ]],Gastos[[#This Row],[Gastos]],Libro_Diario[Fecha],"&gt;="&amp;'Libro Mayor'!DI$9,Libro_Diario[Fecha],"&lt;="&amp;EOMONTH('Libro Mayor'!DI$9,0))</f>
        <v>0</v>
      </c>
      <c r="DJ28" s="24">
        <f>SUMIFS(Libro_Diario[Detalles],Libro_Diario[[Categoria ]],Gastos[[#Headers],[Gastos]],Libro_Diario[[Cantidad ]],Gastos[[#This Row],[Gastos]],Libro_Diario[[Tipo ]],"&gt;="&amp;'Libro Mayor'!DJ$9,Libro_Diario[[Tipo ]],"&lt;="&amp;EOMONTH('Libro Mayor'!DJ$9,0))</f>
        <v>0</v>
      </c>
      <c r="DK28" s="25">
        <f t="shared" si="30"/>
        <v>0</v>
      </c>
      <c r="DM28" s="24">
        <f>SUMIFS(Libro_Diario[[Cantidad ]],Libro_Diario[[Tipo ]],Gastos[[#Headers],[Gastos]],Libro_Diario[[Categoria ]],Gastos[[#This Row],[Gastos]],Libro_Diario[Fecha],"&gt;="&amp;'Libro Mayor'!DM$9,Libro_Diario[Fecha],"&lt;="&amp;EOMONTH('Libro Mayor'!DM$9,0))</f>
        <v>0</v>
      </c>
      <c r="DN28" s="24">
        <f>SUMIFS(Libro_Diario[[Cantidad ]],Libro_Diario[[Tipo ]],Gastos[[#Headers],[Gastos]],Libro_Diario[[Categoria ]],Gastos[[#This Row],[Gastos]],Libro_Diario[Fecha],"&gt;="&amp;'Libro Mayor'!DN$9,Libro_Diario[Fecha],"&lt;="&amp;EOMONTH('Libro Mayor'!DN$9,0))</f>
        <v>0</v>
      </c>
      <c r="DO28" s="24">
        <f>SUMIFS(Libro_Diario[[Cantidad ]],Libro_Diario[[Tipo ]],Gastos[[#Headers],[Gastos]],Libro_Diario[[Categoria ]],Gastos[[#This Row],[Gastos]],Libro_Diario[Fecha],"&gt;="&amp;'Libro Mayor'!DO$9,Libro_Diario[Fecha],"&lt;="&amp;EOMONTH('Libro Mayor'!DO$9,0))</f>
        <v>0</v>
      </c>
      <c r="DP28" s="24">
        <f>SUMIFS(Libro_Diario[[Cantidad ]],Libro_Diario[[Tipo ]],Gastos[[#Headers],[Gastos]],Libro_Diario[[Categoria ]],Gastos[[#This Row],[Gastos]],Libro_Diario[Fecha],"&gt;="&amp;'Libro Mayor'!DP$9,Libro_Diario[Fecha],"&lt;="&amp;EOMONTH('Libro Mayor'!DP$9,0))</f>
        <v>0</v>
      </c>
      <c r="DQ28" s="24">
        <f>SUMIFS(Libro_Diario[[Cantidad ]],Libro_Diario[[Tipo ]],Gastos[[#Headers],[Gastos]],Libro_Diario[[Categoria ]],Gastos[[#This Row],[Gastos]],Libro_Diario[Fecha],"&gt;="&amp;'Libro Mayor'!DQ$9,Libro_Diario[Fecha],"&lt;="&amp;EOMONTH('Libro Mayor'!DQ$9,0))</f>
        <v>0</v>
      </c>
      <c r="DR28" s="24">
        <f>SUMIFS(Libro_Diario[[Cantidad ]],Libro_Diario[[Tipo ]],Gastos[[#Headers],[Gastos]],Libro_Diario[[Categoria ]],Gastos[[#This Row],[Gastos]],Libro_Diario[Fecha],"&gt;="&amp;'Libro Mayor'!DR$9,Libro_Diario[Fecha],"&lt;="&amp;EOMONTH('Libro Mayor'!DR$9,0))</f>
        <v>0</v>
      </c>
      <c r="DS28" s="24">
        <f>SUMIFS(Libro_Diario[[Cantidad ]],Libro_Diario[[Tipo ]],Gastos[[#Headers],[Gastos]],Libro_Diario[[Categoria ]],Gastos[[#This Row],[Gastos]],Libro_Diario[Fecha],"&gt;="&amp;'Libro Mayor'!DS$9,Libro_Diario[Fecha],"&lt;="&amp;EOMONTH('Libro Mayor'!DS$9,0))</f>
        <v>0</v>
      </c>
      <c r="DT28" s="24">
        <f>SUMIFS(Libro_Diario[[Cantidad ]],Libro_Diario[[Tipo ]],Gastos[[#Headers],[Gastos]],Libro_Diario[[Categoria ]],Gastos[[#This Row],[Gastos]],Libro_Diario[Fecha],"&gt;="&amp;'Libro Mayor'!DT$9,Libro_Diario[Fecha],"&lt;="&amp;EOMONTH('Libro Mayor'!DT$9,0))</f>
        <v>0</v>
      </c>
      <c r="DU28" s="24">
        <f>SUMIFS(Libro_Diario[[Cantidad ]],Libro_Diario[[Tipo ]],Gastos[[#Headers],[Gastos]],Libro_Diario[[Categoria ]],Gastos[[#This Row],[Gastos]],Libro_Diario[Fecha],"&gt;="&amp;'Libro Mayor'!DU$9,Libro_Diario[Fecha],"&lt;="&amp;EOMONTH('Libro Mayor'!DU$9,0))</f>
        <v>0</v>
      </c>
      <c r="DV28" s="24">
        <f>SUMIFS(Libro_Diario[[Cantidad ]],Libro_Diario[[Tipo ]],Gastos[[#Headers],[Gastos]],Libro_Diario[[Categoria ]],Gastos[[#This Row],[Gastos]],Libro_Diario[Fecha],"&gt;="&amp;'Libro Mayor'!DV$9,Libro_Diario[Fecha],"&lt;="&amp;EOMONTH('Libro Mayor'!DV$9,0))</f>
        <v>0</v>
      </c>
      <c r="DW28" s="24">
        <f>SUMIFS(Libro_Diario[[Cantidad ]],Libro_Diario[[Tipo ]],Gastos[[#Headers],[Gastos]],Libro_Diario[[Categoria ]],Gastos[[#This Row],[Gastos]],Libro_Diario[Fecha],"&gt;="&amp;'Libro Mayor'!DW$9,Libro_Diario[Fecha],"&lt;="&amp;EOMONTH('Libro Mayor'!DW$9,0))</f>
        <v>0</v>
      </c>
      <c r="DX28" s="24">
        <f>SUMIFS(Libro_Diario[Detalles],Libro_Diario[[Categoria ]],Gastos[[#Headers],[Gastos]],Libro_Diario[[Cantidad ]],Gastos[[#This Row],[Gastos]],Libro_Diario[[Tipo ]],"&gt;="&amp;'Libro Mayor'!DX$9,Libro_Diario[[Tipo ]],"&lt;="&amp;EOMONTH('Libro Mayor'!DX$9,0))</f>
        <v>0</v>
      </c>
      <c r="DY28" s="25">
        <f t="shared" si="31"/>
        <v>0</v>
      </c>
      <c r="EA28" s="24">
        <f>SUMIFS(Libro_Diario[[Cantidad ]],Libro_Diario[[Tipo ]],Gastos[[#Headers],[Gastos]],Libro_Diario[[Categoria ]],Gastos[[#This Row],[Gastos]],Libro_Diario[Fecha],"&gt;="&amp;'Libro Mayor'!EA$9,Libro_Diario[Fecha],"&lt;="&amp;EOMONTH('Libro Mayor'!EA$9,0))</f>
        <v>0</v>
      </c>
      <c r="EB28" s="24">
        <f>SUMIFS(Libro_Diario[[Cantidad ]],Libro_Diario[[Tipo ]],Gastos[[#Headers],[Gastos]],Libro_Diario[[Categoria ]],Gastos[[#This Row],[Gastos]],Libro_Diario[Fecha],"&gt;="&amp;'Libro Mayor'!EB$9,Libro_Diario[Fecha],"&lt;="&amp;EOMONTH('Libro Mayor'!EB$9,0))</f>
        <v>0</v>
      </c>
      <c r="EC28" s="24">
        <f>SUMIFS(Libro_Diario[[Cantidad ]],Libro_Diario[[Tipo ]],Gastos[[#Headers],[Gastos]],Libro_Diario[[Categoria ]],Gastos[[#This Row],[Gastos]],Libro_Diario[Fecha],"&gt;="&amp;'Libro Mayor'!EC$9,Libro_Diario[Fecha],"&lt;="&amp;EOMONTH('Libro Mayor'!EC$9,0))</f>
        <v>0</v>
      </c>
      <c r="ED28" s="24">
        <f>SUMIFS(Libro_Diario[[Cantidad ]],Libro_Diario[[Tipo ]],Gastos[[#Headers],[Gastos]],Libro_Diario[[Categoria ]],Gastos[[#This Row],[Gastos]],Libro_Diario[Fecha],"&gt;="&amp;'Libro Mayor'!ED$9,Libro_Diario[Fecha],"&lt;="&amp;EOMONTH('Libro Mayor'!ED$9,0))</f>
        <v>0</v>
      </c>
      <c r="EE28" s="24">
        <f>SUMIFS(Libro_Diario[[Cantidad ]],Libro_Diario[[Tipo ]],Gastos[[#Headers],[Gastos]],Libro_Diario[[Categoria ]],Gastos[[#This Row],[Gastos]],Libro_Diario[Fecha],"&gt;="&amp;'Libro Mayor'!EE$9,Libro_Diario[Fecha],"&lt;="&amp;EOMONTH('Libro Mayor'!EE$9,0))</f>
        <v>0</v>
      </c>
      <c r="EF28" s="24">
        <f>SUMIFS(Libro_Diario[[Cantidad ]],Libro_Diario[[Tipo ]],Gastos[[#Headers],[Gastos]],Libro_Diario[[Categoria ]],Gastos[[#This Row],[Gastos]],Libro_Diario[Fecha],"&gt;="&amp;'Libro Mayor'!EF$9,Libro_Diario[Fecha],"&lt;="&amp;EOMONTH('Libro Mayor'!EF$9,0))</f>
        <v>0</v>
      </c>
      <c r="EG28" s="24">
        <f>SUMIFS(Libro_Diario[[Cantidad ]],Libro_Diario[[Tipo ]],Gastos[[#Headers],[Gastos]],Libro_Diario[[Categoria ]],Gastos[[#This Row],[Gastos]],Libro_Diario[Fecha],"&gt;="&amp;'Libro Mayor'!EG$9,Libro_Diario[Fecha],"&lt;="&amp;EOMONTH('Libro Mayor'!EG$9,0))</f>
        <v>0</v>
      </c>
      <c r="EH28" s="24">
        <f>SUMIFS(Libro_Diario[[Cantidad ]],Libro_Diario[[Tipo ]],Gastos[[#Headers],[Gastos]],Libro_Diario[[Categoria ]],Gastos[[#This Row],[Gastos]],Libro_Diario[Fecha],"&gt;="&amp;'Libro Mayor'!EH$9,Libro_Diario[Fecha],"&lt;="&amp;EOMONTH('Libro Mayor'!EH$9,0))</f>
        <v>0</v>
      </c>
      <c r="EI28" s="24">
        <f>SUMIFS(Libro_Diario[[Cantidad ]],Libro_Diario[[Tipo ]],Gastos[[#Headers],[Gastos]],Libro_Diario[[Categoria ]],Gastos[[#This Row],[Gastos]],Libro_Diario[Fecha],"&gt;="&amp;'Libro Mayor'!EI$9,Libro_Diario[Fecha],"&lt;="&amp;EOMONTH('Libro Mayor'!EI$9,0))</f>
        <v>0</v>
      </c>
      <c r="EJ28" s="24">
        <f>SUMIFS(Libro_Diario[[Cantidad ]],Libro_Diario[[Tipo ]],Gastos[[#Headers],[Gastos]],Libro_Diario[[Categoria ]],Gastos[[#This Row],[Gastos]],Libro_Diario[Fecha],"&gt;="&amp;'Libro Mayor'!EJ$9,Libro_Diario[Fecha],"&lt;="&amp;EOMONTH('Libro Mayor'!EJ$9,0))</f>
        <v>0</v>
      </c>
      <c r="EK28" s="24">
        <f>SUMIFS(Libro_Diario[[Cantidad ]],Libro_Diario[[Tipo ]],Gastos[[#Headers],[Gastos]],Libro_Diario[[Categoria ]],Gastos[[#This Row],[Gastos]],Libro_Diario[Fecha],"&gt;="&amp;'Libro Mayor'!EK$9,Libro_Diario[Fecha],"&lt;="&amp;EOMONTH('Libro Mayor'!EK$9,0))</f>
        <v>0</v>
      </c>
      <c r="EL28" s="24">
        <f>SUMIFS(Libro_Diario[Detalles],Libro_Diario[[Categoria ]],Gastos[[#Headers],[Gastos]],Libro_Diario[[Cantidad ]],Gastos[[#This Row],[Gastos]],Libro_Diario[[Tipo ]],"&gt;="&amp;'Libro Mayor'!EL$9,Libro_Diario[[Tipo ]],"&lt;="&amp;EOMONTH('Libro Mayor'!EL$9,0))</f>
        <v>0</v>
      </c>
      <c r="EM28" s="25">
        <f t="shared" si="32"/>
        <v>0</v>
      </c>
      <c r="EO28" s="24">
        <f>SUMIFS(Libro_Diario[[Cantidad ]],Libro_Diario[[Tipo ]],Gastos[[#Headers],[Gastos]],Libro_Diario[[Categoria ]],Gastos[[#This Row],[Gastos]],Libro_Diario[Fecha],"&gt;="&amp;'Libro Mayor'!EO$9,Libro_Diario[Fecha],"&lt;="&amp;EOMONTH('Libro Mayor'!EO$9,0))</f>
        <v>0</v>
      </c>
      <c r="EP28" s="24">
        <f>SUMIFS(Libro_Diario[[Cantidad ]],Libro_Diario[[Tipo ]],Gastos[[#Headers],[Gastos]],Libro_Diario[[Categoria ]],Gastos[[#This Row],[Gastos]],Libro_Diario[Fecha],"&gt;="&amp;'Libro Mayor'!EP$9,Libro_Diario[Fecha],"&lt;="&amp;EOMONTH('Libro Mayor'!EP$9,0))</f>
        <v>0</v>
      </c>
      <c r="EQ28" s="24">
        <f>SUMIFS(Libro_Diario[[Cantidad ]],Libro_Diario[[Tipo ]],Gastos[[#Headers],[Gastos]],Libro_Diario[[Categoria ]],Gastos[[#This Row],[Gastos]],Libro_Diario[Fecha],"&gt;="&amp;'Libro Mayor'!EQ$9,Libro_Diario[Fecha],"&lt;="&amp;EOMONTH('Libro Mayor'!EQ$9,0))</f>
        <v>0</v>
      </c>
      <c r="ER28" s="24">
        <f>SUMIFS(Libro_Diario[[Cantidad ]],Libro_Diario[[Tipo ]],Gastos[[#Headers],[Gastos]],Libro_Diario[[Categoria ]],Gastos[[#This Row],[Gastos]],Libro_Diario[Fecha],"&gt;="&amp;'Libro Mayor'!ER$9,Libro_Diario[Fecha],"&lt;="&amp;EOMONTH('Libro Mayor'!ER$9,0))</f>
        <v>0</v>
      </c>
      <c r="ES28" s="24">
        <f>SUMIFS(Libro_Diario[[Cantidad ]],Libro_Diario[[Tipo ]],Gastos[[#Headers],[Gastos]],Libro_Diario[[Categoria ]],Gastos[[#This Row],[Gastos]],Libro_Diario[Fecha],"&gt;="&amp;'Libro Mayor'!ES$9,Libro_Diario[Fecha],"&lt;="&amp;EOMONTH('Libro Mayor'!ES$9,0))</f>
        <v>0</v>
      </c>
      <c r="ET28" s="24">
        <f>SUMIFS(Libro_Diario[[Cantidad ]],Libro_Diario[[Tipo ]],Gastos[[#Headers],[Gastos]],Libro_Diario[[Categoria ]],Gastos[[#This Row],[Gastos]],Libro_Diario[Fecha],"&gt;="&amp;'Libro Mayor'!ET$9,Libro_Diario[Fecha],"&lt;="&amp;EOMONTH('Libro Mayor'!ET$9,0))</f>
        <v>0</v>
      </c>
      <c r="EU28" s="24">
        <f>SUMIFS(Libro_Diario[[Cantidad ]],Libro_Diario[[Tipo ]],Gastos[[#Headers],[Gastos]],Libro_Diario[[Categoria ]],Gastos[[#This Row],[Gastos]],Libro_Diario[Fecha],"&gt;="&amp;'Libro Mayor'!EU$9,Libro_Diario[Fecha],"&lt;="&amp;EOMONTH('Libro Mayor'!EU$9,0))</f>
        <v>0</v>
      </c>
      <c r="EV28" s="24">
        <f>SUMIFS(Libro_Diario[[Cantidad ]],Libro_Diario[[Tipo ]],Gastos[[#Headers],[Gastos]],Libro_Diario[[Categoria ]],Gastos[[#This Row],[Gastos]],Libro_Diario[Fecha],"&gt;="&amp;'Libro Mayor'!EV$9,Libro_Diario[Fecha],"&lt;="&amp;EOMONTH('Libro Mayor'!EV$9,0))</f>
        <v>0</v>
      </c>
      <c r="EW28" s="24">
        <f>SUMIFS(Libro_Diario[[Cantidad ]],Libro_Diario[[Tipo ]],Gastos[[#Headers],[Gastos]],Libro_Diario[[Categoria ]],Gastos[[#This Row],[Gastos]],Libro_Diario[Fecha],"&gt;="&amp;'Libro Mayor'!EW$9,Libro_Diario[Fecha],"&lt;="&amp;EOMONTH('Libro Mayor'!EW$9,0))</f>
        <v>0</v>
      </c>
      <c r="EX28" s="24">
        <f>SUMIFS(Libro_Diario[[Cantidad ]],Libro_Diario[[Tipo ]],Gastos[[#Headers],[Gastos]],Libro_Diario[[Categoria ]],Gastos[[#This Row],[Gastos]],Libro_Diario[Fecha],"&gt;="&amp;'Libro Mayor'!EX$9,Libro_Diario[Fecha],"&lt;="&amp;EOMONTH('Libro Mayor'!EX$9,0))</f>
        <v>0</v>
      </c>
      <c r="EY28" s="24">
        <f>SUMIFS(Libro_Diario[[Cantidad ]],Libro_Diario[[Tipo ]],Gastos[[#Headers],[Gastos]],Libro_Diario[[Categoria ]],Gastos[[#This Row],[Gastos]],Libro_Diario[Fecha],"&gt;="&amp;'Libro Mayor'!EY$9,Libro_Diario[Fecha],"&lt;="&amp;EOMONTH('Libro Mayor'!EY$9,0))</f>
        <v>0</v>
      </c>
      <c r="EZ28" s="24">
        <f>SUMIFS(Libro_Diario[[Cantidad ]],Libro_Diario[[Tipo ]],Gastos[[#Headers],[Gastos]],Libro_Diario[[Categoria ]],Gastos[[#This Row],[Gastos]],Libro_Diario[Fecha],"&gt;="&amp;'Libro Mayor'!EZ$9,Libro_Diario[Fecha],"&lt;="&amp;EOMONTH('Libro Mayor'!EZ$9,0))</f>
        <v>0</v>
      </c>
      <c r="FA28" s="25">
        <f t="shared" si="22"/>
        <v>0</v>
      </c>
    </row>
    <row r="29" spans="3:157" x14ac:dyDescent="0.3">
      <c r="C29" s="17" t="s">
        <v>47</v>
      </c>
      <c r="D29" s="23"/>
      <c r="E29" s="24">
        <f>SUMIFS(Libro_Diario[[Cantidad ]],Libro_Diario[[Tipo ]],Gastos[[#Headers],[Gastos]],Libro_Diario[[Categoria ]],Gastos[[#This Row],[Gastos]],Libro_Diario[Fecha],"&gt;="&amp;'Libro Mayor'!E$9,Libro_Diario[Fecha],"&lt;="&amp;EOMONTH('Libro Mayor'!E$9,0))</f>
        <v>0</v>
      </c>
      <c r="F29" s="24">
        <f>SUMIFS(Libro_Diario[[Cantidad ]],Libro_Diario[[Tipo ]],Gastos[[#Headers],[Gastos]],Libro_Diario[[Categoria ]],Gastos[[#This Row],[Gastos]],Libro_Diario[Fecha],"&gt;="&amp;'Libro Mayor'!F$9,Libro_Diario[Fecha],"&lt;="&amp;EOMONTH('Libro Mayor'!F$9,0))</f>
        <v>0</v>
      </c>
      <c r="G29" s="24">
        <f>SUMIFS(Libro_Diario[[Cantidad ]],Libro_Diario[[Tipo ]],Gastos[[#Headers],[Gastos]],Libro_Diario[[Categoria ]],Gastos[[#This Row],[Gastos]],Libro_Diario[Fecha],"&gt;="&amp;'Libro Mayor'!G$9,Libro_Diario[Fecha],"&lt;="&amp;EOMONTH('Libro Mayor'!G$9,0))</f>
        <v>0</v>
      </c>
      <c r="H29" s="24">
        <f>SUMIFS(Libro_Diario[[Cantidad ]],Libro_Diario[[Tipo ]],Gastos[[#Headers],[Gastos]],Libro_Diario[[Categoria ]],Gastos[[#This Row],[Gastos]],Libro_Diario[Fecha],"&gt;="&amp;'Libro Mayor'!H$9,Libro_Diario[Fecha],"&lt;="&amp;EOMONTH('Libro Mayor'!H$9,0))</f>
        <v>0</v>
      </c>
      <c r="I29" s="24">
        <f>SUMIFS(Libro_Diario[[Cantidad ]],Libro_Diario[[Tipo ]],Gastos[[#Headers],[Gastos]],Libro_Diario[[Categoria ]],Gastos[[#This Row],[Gastos]],Libro_Diario[Fecha],"&gt;="&amp;'Libro Mayor'!I$9,Libro_Diario[Fecha],"&lt;="&amp;EOMONTH('Libro Mayor'!I$9,0))</f>
        <v>0</v>
      </c>
      <c r="J29" s="24">
        <f>SUMIFS(Libro_Diario[[Cantidad ]],Libro_Diario[[Tipo ]],Gastos[[#Headers],[Gastos]],Libro_Diario[[Categoria ]],Gastos[[#This Row],[Gastos]],Libro_Diario[Fecha],"&gt;="&amp;'Libro Mayor'!J$9,Libro_Diario[Fecha],"&lt;="&amp;EOMONTH('Libro Mayor'!J$9,0))</f>
        <v>0</v>
      </c>
      <c r="K29" s="24">
        <f>SUMIFS(Libro_Diario[[Cantidad ]],Libro_Diario[[Tipo ]],Gastos[[#Headers],[Gastos]],Libro_Diario[[Categoria ]],Gastos[[#This Row],[Gastos]],Libro_Diario[Fecha],"&gt;="&amp;'Libro Mayor'!K$9,Libro_Diario[Fecha],"&lt;="&amp;EOMONTH('Libro Mayor'!K$9,0))</f>
        <v>0</v>
      </c>
      <c r="L29" s="24">
        <f>SUMIFS(Libro_Diario[[Cantidad ]],Libro_Diario[[Tipo ]],Gastos[[#Headers],[Gastos]],Libro_Diario[[Categoria ]],Gastos[[#This Row],[Gastos]],Libro_Diario[Fecha],"&gt;="&amp;'Libro Mayor'!L$9,Libro_Diario[Fecha],"&lt;="&amp;EOMONTH('Libro Mayor'!L$9,0))</f>
        <v>0</v>
      </c>
      <c r="M29" s="24">
        <f>SUMIFS(Libro_Diario[[Cantidad ]],Libro_Diario[[Tipo ]],Gastos[[#Headers],[Gastos]],Libro_Diario[[Categoria ]],Gastos[[#This Row],[Gastos]],Libro_Diario[Fecha],"&gt;="&amp;'Libro Mayor'!M$9,Libro_Diario[Fecha],"&lt;="&amp;EOMONTH('Libro Mayor'!M$9,0))</f>
        <v>0</v>
      </c>
      <c r="N29" s="24">
        <f>SUMIFS(Libro_Diario[[Cantidad ]],Libro_Diario[[Tipo ]],Gastos[[#Headers],[Gastos]],Libro_Diario[[Categoria ]],Gastos[[#This Row],[Gastos]],Libro_Diario[Fecha],"&gt;="&amp;'Libro Mayor'!N$9,Libro_Diario[Fecha],"&lt;="&amp;EOMONTH('Libro Mayor'!N$9,0))</f>
        <v>0</v>
      </c>
      <c r="O29" s="24">
        <f>SUMIFS(Libro_Diario[[Cantidad ]],Libro_Diario[[Tipo ]],Gastos[[#Headers],[Gastos]],Libro_Diario[[Categoria ]],Gastos[[#This Row],[Gastos]],Libro_Diario[Fecha],"&gt;="&amp;'Libro Mayor'!O$9,Libro_Diario[Fecha],"&lt;="&amp;EOMONTH('Libro Mayor'!O$9,0))</f>
        <v>0</v>
      </c>
      <c r="P29" s="24">
        <f>SUMIFS(Libro_Diario[[Cantidad ]],Libro_Diario[[Tipo ]],Gastos[[#Headers],[Gastos]],Libro_Diario[[Categoria ]],Gastos[[#This Row],[Gastos]],Libro_Diario[Fecha],"&gt;="&amp;'Libro Mayor'!P$9,Libro_Diario[Fecha],"&lt;="&amp;EOMONTH('Libro Mayor'!P$9,0))</f>
        <v>0</v>
      </c>
      <c r="Q29" s="25">
        <f>SUM(E29:P29)</f>
        <v>0</v>
      </c>
      <c r="S29" s="24">
        <f>SUMIFS(Libro_Diario[[Cantidad ]],Libro_Diario[[Tipo ]],Gastos[[#Headers],[Gastos]],Libro_Diario[[Categoria ]],Gastos[[#This Row],[Gastos]],Libro_Diario[Fecha],"&gt;="&amp;'Libro Mayor'!S$9,Libro_Diario[Fecha],"&lt;="&amp;EOMONTH('Libro Mayor'!S$9,0))</f>
        <v>0</v>
      </c>
      <c r="T29" s="24">
        <f>SUMIFS(Libro_Diario[[Cantidad ]],Libro_Diario[[Tipo ]],Gastos[[#Headers],[Gastos]],Libro_Diario[[Categoria ]],Gastos[[#This Row],[Gastos]],Libro_Diario[Fecha],"&gt;="&amp;'Libro Mayor'!T$9,Libro_Diario[Fecha],"&lt;="&amp;EOMONTH('Libro Mayor'!T$9,0))</f>
        <v>0</v>
      </c>
      <c r="U29" s="24">
        <f>SUMIFS(Libro_Diario[[Cantidad ]],Libro_Diario[[Tipo ]],Gastos[[#Headers],[Gastos]],Libro_Diario[[Categoria ]],Gastos[[#This Row],[Gastos]],Libro_Diario[Fecha],"&gt;="&amp;'Libro Mayor'!U$9,Libro_Diario[Fecha],"&lt;="&amp;EOMONTH('Libro Mayor'!U$9,0))</f>
        <v>0</v>
      </c>
      <c r="V29" s="24">
        <f>SUMIFS(Libro_Diario[[Cantidad ]],Libro_Diario[[Tipo ]],Gastos[[#Headers],[Gastos]],Libro_Diario[[Categoria ]],Gastos[[#This Row],[Gastos]],Libro_Diario[Fecha],"&gt;="&amp;'Libro Mayor'!V$9,Libro_Diario[Fecha],"&lt;="&amp;EOMONTH('Libro Mayor'!V$9,0))</f>
        <v>0</v>
      </c>
      <c r="W29" s="24">
        <f>SUMIFS(Libro_Diario[[Cantidad ]],Libro_Diario[[Tipo ]],Gastos[[#Headers],[Gastos]],Libro_Diario[[Categoria ]],Gastos[[#This Row],[Gastos]],Libro_Diario[Fecha],"&gt;="&amp;'Libro Mayor'!W$9,Libro_Diario[Fecha],"&lt;="&amp;EOMONTH('Libro Mayor'!W$9,0))</f>
        <v>0</v>
      </c>
      <c r="X29" s="24">
        <f>SUMIFS(Libro_Diario[[Cantidad ]],Libro_Diario[[Tipo ]],Gastos[[#Headers],[Gastos]],Libro_Diario[[Categoria ]],Gastos[[#This Row],[Gastos]],Libro_Diario[Fecha],"&gt;="&amp;'Libro Mayor'!X$9,Libro_Diario[Fecha],"&lt;="&amp;EOMONTH('Libro Mayor'!X$9,0))</f>
        <v>0</v>
      </c>
      <c r="Y29" s="24">
        <f>SUMIFS(Libro_Diario[[Cantidad ]],Libro_Diario[[Tipo ]],Gastos[[#Headers],[Gastos]],Libro_Diario[[Categoria ]],Gastos[[#This Row],[Gastos]],Libro_Diario[Fecha],"&gt;="&amp;'Libro Mayor'!Y$9,Libro_Diario[Fecha],"&lt;="&amp;EOMONTH('Libro Mayor'!Y$9,0))</f>
        <v>0</v>
      </c>
      <c r="Z29" s="24">
        <f>SUMIFS(Libro_Diario[[Cantidad ]],Libro_Diario[[Tipo ]],Gastos[[#Headers],[Gastos]],Libro_Diario[[Categoria ]],Gastos[[#This Row],[Gastos]],Libro_Diario[Fecha],"&gt;="&amp;'Libro Mayor'!Z$9,Libro_Diario[Fecha],"&lt;="&amp;EOMONTH('Libro Mayor'!Z$9,0))</f>
        <v>0</v>
      </c>
      <c r="AA29" s="24">
        <f>SUMIFS(Libro_Diario[[Cantidad ]],Libro_Diario[[Tipo ]],Gastos[[#Headers],[Gastos]],Libro_Diario[[Categoria ]],Gastos[[#This Row],[Gastos]],Libro_Diario[Fecha],"&gt;="&amp;'Libro Mayor'!AA$9,Libro_Diario[Fecha],"&lt;="&amp;EOMONTH('Libro Mayor'!AA$9,0))</f>
        <v>0</v>
      </c>
      <c r="AB29" s="24">
        <f>SUMIFS(Libro_Diario[[Cantidad ]],Libro_Diario[[Tipo ]],Gastos[[#Headers],[Gastos]],Libro_Diario[[Categoria ]],Gastos[[#This Row],[Gastos]],Libro_Diario[Fecha],"&gt;="&amp;'Libro Mayor'!AB$9,Libro_Diario[Fecha],"&lt;="&amp;EOMONTH('Libro Mayor'!AB$9,0))</f>
        <v>0</v>
      </c>
      <c r="AC29" s="24">
        <f>SUMIFS(Libro_Diario[[Cantidad ]],Libro_Diario[[Tipo ]],Gastos[[#Headers],[Gastos]],Libro_Diario[[Categoria ]],Gastos[[#This Row],[Gastos]],Libro_Diario[Fecha],"&gt;="&amp;'Libro Mayor'!AC$9,Libro_Diario[Fecha],"&lt;="&amp;EOMONTH('Libro Mayor'!AC$9,0))</f>
        <v>0</v>
      </c>
      <c r="AD29" s="24">
        <f>SUMIFS(Libro_Diario[Detalles],Libro_Diario[[Categoria ]],Gastos[[#Headers],[Gastos]],Libro_Diario[[Cantidad ]],Gastos[[#This Row],[Gastos]],Libro_Diario[[Tipo ]],"&gt;="&amp;'Libro Mayor'!AD$9,Libro_Diario[[Tipo ]],"&lt;="&amp;EOMONTH('Libro Mayor'!AD$9,0))</f>
        <v>0</v>
      </c>
      <c r="AE29" s="25">
        <f t="shared" si="24"/>
        <v>0</v>
      </c>
      <c r="AG29" s="24">
        <f>SUMIFS(Libro_Diario[[Cantidad ]],Libro_Diario[[Tipo ]],Gastos[[#Headers],[Gastos]],Libro_Diario[[Categoria ]],Gastos[[#This Row],[Gastos]],Libro_Diario[Fecha],"&gt;="&amp;'Libro Mayor'!AG$9,Libro_Diario[Fecha],"&lt;="&amp;EOMONTH('Libro Mayor'!AG$9,0))</f>
        <v>0</v>
      </c>
      <c r="AH29" s="24">
        <f>SUMIFS(Libro_Diario[[Cantidad ]],Libro_Diario[[Tipo ]],Gastos[[#Headers],[Gastos]],Libro_Diario[[Categoria ]],Gastos[[#This Row],[Gastos]],Libro_Diario[Fecha],"&gt;="&amp;'Libro Mayor'!AH$9,Libro_Diario[Fecha],"&lt;="&amp;EOMONTH('Libro Mayor'!AH$9,0))</f>
        <v>0</v>
      </c>
      <c r="AI29" s="24">
        <f>SUMIFS(Libro_Diario[[Cantidad ]],Libro_Diario[[Tipo ]],Gastos[[#Headers],[Gastos]],Libro_Diario[[Categoria ]],Gastos[[#This Row],[Gastos]],Libro_Diario[Fecha],"&gt;="&amp;'Libro Mayor'!AI$9,Libro_Diario[Fecha],"&lt;="&amp;EOMONTH('Libro Mayor'!AI$9,0))</f>
        <v>0</v>
      </c>
      <c r="AJ29" s="24">
        <f>SUMIFS(Libro_Diario[[Cantidad ]],Libro_Diario[[Tipo ]],Gastos[[#Headers],[Gastos]],Libro_Diario[[Categoria ]],Gastos[[#This Row],[Gastos]],Libro_Diario[Fecha],"&gt;="&amp;'Libro Mayor'!AJ$9,Libro_Diario[Fecha],"&lt;="&amp;EOMONTH('Libro Mayor'!AJ$9,0))</f>
        <v>0</v>
      </c>
      <c r="AK29" s="24">
        <f>SUMIFS(Libro_Diario[[Cantidad ]],Libro_Diario[[Tipo ]],Gastos[[#Headers],[Gastos]],Libro_Diario[[Categoria ]],Gastos[[#This Row],[Gastos]],Libro_Diario[Fecha],"&gt;="&amp;'Libro Mayor'!AK$9,Libro_Diario[Fecha],"&lt;="&amp;EOMONTH('Libro Mayor'!AK$9,0))</f>
        <v>0</v>
      </c>
      <c r="AL29" s="24">
        <f>SUMIFS(Libro_Diario[[Cantidad ]],Libro_Diario[[Tipo ]],Gastos[[#Headers],[Gastos]],Libro_Diario[[Categoria ]],Gastos[[#This Row],[Gastos]],Libro_Diario[Fecha],"&gt;="&amp;'Libro Mayor'!AL$9,Libro_Diario[Fecha],"&lt;="&amp;EOMONTH('Libro Mayor'!AL$9,0))</f>
        <v>0</v>
      </c>
      <c r="AM29" s="24">
        <f>SUMIFS(Libro_Diario[[Cantidad ]],Libro_Diario[[Tipo ]],Gastos[[#Headers],[Gastos]],Libro_Diario[[Categoria ]],Gastos[[#This Row],[Gastos]],Libro_Diario[Fecha],"&gt;="&amp;'Libro Mayor'!AM$9,Libro_Diario[Fecha],"&lt;="&amp;EOMONTH('Libro Mayor'!AM$9,0))</f>
        <v>0</v>
      </c>
      <c r="AN29" s="24">
        <f>SUMIFS(Libro_Diario[[Cantidad ]],Libro_Diario[[Tipo ]],Gastos[[#Headers],[Gastos]],Libro_Diario[[Categoria ]],Gastos[[#This Row],[Gastos]],Libro_Diario[Fecha],"&gt;="&amp;'Libro Mayor'!AN$9,Libro_Diario[Fecha],"&lt;="&amp;EOMONTH('Libro Mayor'!AN$9,0))</f>
        <v>0</v>
      </c>
      <c r="AO29" s="24">
        <f>SUMIFS(Libro_Diario[[Cantidad ]],Libro_Diario[[Tipo ]],Gastos[[#Headers],[Gastos]],Libro_Diario[[Categoria ]],Gastos[[#This Row],[Gastos]],Libro_Diario[Fecha],"&gt;="&amp;'Libro Mayor'!AO$9,Libro_Diario[Fecha],"&lt;="&amp;EOMONTH('Libro Mayor'!AO$9,0))</f>
        <v>0</v>
      </c>
      <c r="AP29" s="24">
        <f>SUMIFS(Libro_Diario[[Cantidad ]],Libro_Diario[[Tipo ]],Gastos[[#Headers],[Gastos]],Libro_Diario[[Categoria ]],Gastos[[#This Row],[Gastos]],Libro_Diario[Fecha],"&gt;="&amp;'Libro Mayor'!AP$9,Libro_Diario[Fecha],"&lt;="&amp;EOMONTH('Libro Mayor'!AP$9,0))</f>
        <v>0</v>
      </c>
      <c r="AQ29" s="24">
        <f>SUMIFS(Libro_Diario[[Cantidad ]],Libro_Diario[[Tipo ]],Gastos[[#Headers],[Gastos]],Libro_Diario[[Categoria ]],Gastos[[#This Row],[Gastos]],Libro_Diario[Fecha],"&gt;="&amp;'Libro Mayor'!AQ$9,Libro_Diario[Fecha],"&lt;="&amp;EOMONTH('Libro Mayor'!AQ$9,0))</f>
        <v>0</v>
      </c>
      <c r="AR29" s="24">
        <f>SUMIFS(Libro_Diario[Detalles],Libro_Diario[[Categoria ]],Gastos[[#Headers],[Gastos]],Libro_Diario[[Cantidad ]],Gastos[[#This Row],[Gastos]],Libro_Diario[[Tipo ]],"&gt;="&amp;'Libro Mayor'!AR$9,Libro_Diario[[Tipo ]],"&lt;="&amp;EOMONTH('Libro Mayor'!AR$9,0))</f>
        <v>0</v>
      </c>
      <c r="AS29" s="25">
        <f t="shared" si="25"/>
        <v>0</v>
      </c>
      <c r="AU29" s="24">
        <f>SUMIFS(Libro_Diario[[Cantidad ]],Libro_Diario[[Tipo ]],Gastos[[#Headers],[Gastos]],Libro_Diario[[Categoria ]],Gastos[[#This Row],[Gastos]],Libro_Diario[Fecha],"&gt;="&amp;'Libro Mayor'!AU$9,Libro_Diario[Fecha],"&lt;="&amp;EOMONTH('Libro Mayor'!AU$9,0))</f>
        <v>0</v>
      </c>
      <c r="AV29" s="24">
        <f>SUMIFS(Libro_Diario[[Cantidad ]],Libro_Diario[[Tipo ]],Gastos[[#Headers],[Gastos]],Libro_Diario[[Categoria ]],Gastos[[#This Row],[Gastos]],Libro_Diario[Fecha],"&gt;="&amp;'Libro Mayor'!AV$9,Libro_Diario[Fecha],"&lt;="&amp;EOMONTH('Libro Mayor'!AV$9,0))</f>
        <v>0</v>
      </c>
      <c r="AW29" s="24">
        <f>SUMIFS(Libro_Diario[[Cantidad ]],Libro_Diario[[Tipo ]],Gastos[[#Headers],[Gastos]],Libro_Diario[[Categoria ]],Gastos[[#This Row],[Gastos]],Libro_Diario[Fecha],"&gt;="&amp;'Libro Mayor'!AW$9,Libro_Diario[Fecha],"&lt;="&amp;EOMONTH('Libro Mayor'!AW$9,0))</f>
        <v>0</v>
      </c>
      <c r="AX29" s="24">
        <f>SUMIFS(Libro_Diario[[Cantidad ]],Libro_Diario[[Tipo ]],Gastos[[#Headers],[Gastos]],Libro_Diario[[Categoria ]],Gastos[[#This Row],[Gastos]],Libro_Diario[Fecha],"&gt;="&amp;'Libro Mayor'!AX$9,Libro_Diario[Fecha],"&lt;="&amp;EOMONTH('Libro Mayor'!AX$9,0))</f>
        <v>0</v>
      </c>
      <c r="AY29" s="24">
        <f>SUMIFS(Libro_Diario[[Cantidad ]],Libro_Diario[[Tipo ]],Gastos[[#Headers],[Gastos]],Libro_Diario[[Categoria ]],Gastos[[#This Row],[Gastos]],Libro_Diario[Fecha],"&gt;="&amp;'Libro Mayor'!AY$9,Libro_Diario[Fecha],"&lt;="&amp;EOMONTH('Libro Mayor'!AY$9,0))</f>
        <v>0</v>
      </c>
      <c r="AZ29" s="24">
        <f>SUMIFS(Libro_Diario[[Cantidad ]],Libro_Diario[[Tipo ]],Gastos[[#Headers],[Gastos]],Libro_Diario[[Categoria ]],Gastos[[#This Row],[Gastos]],Libro_Diario[Fecha],"&gt;="&amp;'Libro Mayor'!AZ$9,Libro_Diario[Fecha],"&lt;="&amp;EOMONTH('Libro Mayor'!AZ$9,0))</f>
        <v>0</v>
      </c>
      <c r="BA29" s="24">
        <f>SUMIFS(Libro_Diario[[Cantidad ]],Libro_Diario[[Tipo ]],Gastos[[#Headers],[Gastos]],Libro_Diario[[Categoria ]],Gastos[[#This Row],[Gastos]],Libro_Diario[Fecha],"&gt;="&amp;'Libro Mayor'!BA$9,Libro_Diario[Fecha],"&lt;="&amp;EOMONTH('Libro Mayor'!BA$9,0))</f>
        <v>0</v>
      </c>
      <c r="BB29" s="24">
        <f>SUMIFS(Libro_Diario[[Cantidad ]],Libro_Diario[[Tipo ]],Gastos[[#Headers],[Gastos]],Libro_Diario[[Categoria ]],Gastos[[#This Row],[Gastos]],Libro_Diario[Fecha],"&gt;="&amp;'Libro Mayor'!BB$9,Libro_Diario[Fecha],"&lt;="&amp;EOMONTH('Libro Mayor'!BB$9,0))</f>
        <v>0</v>
      </c>
      <c r="BC29" s="24">
        <f>SUMIFS(Libro_Diario[[Cantidad ]],Libro_Diario[[Tipo ]],Gastos[[#Headers],[Gastos]],Libro_Diario[[Categoria ]],Gastos[[#This Row],[Gastos]],Libro_Diario[Fecha],"&gt;="&amp;'Libro Mayor'!BC$9,Libro_Diario[Fecha],"&lt;="&amp;EOMONTH('Libro Mayor'!BC$9,0))</f>
        <v>0</v>
      </c>
      <c r="BD29" s="24">
        <f>SUMIFS(Libro_Diario[[Cantidad ]],Libro_Diario[[Tipo ]],Gastos[[#Headers],[Gastos]],Libro_Diario[[Categoria ]],Gastos[[#This Row],[Gastos]],Libro_Diario[Fecha],"&gt;="&amp;'Libro Mayor'!BD$9,Libro_Diario[Fecha],"&lt;="&amp;EOMONTH('Libro Mayor'!BD$9,0))</f>
        <v>0</v>
      </c>
      <c r="BE29" s="24">
        <f>SUMIFS(Libro_Diario[[Cantidad ]],Libro_Diario[[Tipo ]],Gastos[[#Headers],[Gastos]],Libro_Diario[[Categoria ]],Gastos[[#This Row],[Gastos]],Libro_Diario[Fecha],"&gt;="&amp;'Libro Mayor'!BE$9,Libro_Diario[Fecha],"&lt;="&amp;EOMONTH('Libro Mayor'!BE$9,0))</f>
        <v>0</v>
      </c>
      <c r="BF29" s="24">
        <f>SUMIFS(Libro_Diario[Detalles],Libro_Diario[[Categoria ]],Gastos[[#Headers],[Gastos]],Libro_Diario[[Cantidad ]],Gastos[[#This Row],[Gastos]],Libro_Diario[[Tipo ]],"&gt;="&amp;'Libro Mayor'!BF$9,Libro_Diario[[Tipo ]],"&lt;="&amp;EOMONTH('Libro Mayor'!BF$9,0))</f>
        <v>0</v>
      </c>
      <c r="BG29" s="25">
        <f t="shared" si="26"/>
        <v>0</v>
      </c>
      <c r="BI29" s="24">
        <f>SUMIFS(Libro_Diario[[Cantidad ]],Libro_Diario[[Tipo ]],Gastos[[#Headers],[Gastos]],Libro_Diario[[Categoria ]],Gastos[[#This Row],[Gastos]],Libro_Diario[Fecha],"&gt;="&amp;'Libro Mayor'!BI$9,Libro_Diario[Fecha],"&lt;="&amp;EOMONTH('Libro Mayor'!BI$9,0))</f>
        <v>0</v>
      </c>
      <c r="BJ29" s="24">
        <f>SUMIFS(Libro_Diario[[Cantidad ]],Libro_Diario[[Tipo ]],Gastos[[#Headers],[Gastos]],Libro_Diario[[Categoria ]],Gastos[[#This Row],[Gastos]],Libro_Diario[Fecha],"&gt;="&amp;'Libro Mayor'!BJ$9,Libro_Diario[Fecha],"&lt;="&amp;EOMONTH('Libro Mayor'!BJ$9,0))</f>
        <v>0</v>
      </c>
      <c r="BK29" s="24">
        <f>SUMIFS(Libro_Diario[[Cantidad ]],Libro_Diario[[Tipo ]],Gastos[[#Headers],[Gastos]],Libro_Diario[[Categoria ]],Gastos[[#This Row],[Gastos]],Libro_Diario[Fecha],"&gt;="&amp;'Libro Mayor'!BK$9,Libro_Diario[Fecha],"&lt;="&amp;EOMONTH('Libro Mayor'!BK$9,0))</f>
        <v>0</v>
      </c>
      <c r="BL29" s="24">
        <f>SUMIFS(Libro_Diario[[Cantidad ]],Libro_Diario[[Tipo ]],Gastos[[#Headers],[Gastos]],Libro_Diario[[Categoria ]],Gastos[[#This Row],[Gastos]],Libro_Diario[Fecha],"&gt;="&amp;'Libro Mayor'!BL$9,Libro_Diario[Fecha],"&lt;="&amp;EOMONTH('Libro Mayor'!BL$9,0))</f>
        <v>0</v>
      </c>
      <c r="BM29" s="24">
        <f>SUMIFS(Libro_Diario[[Cantidad ]],Libro_Diario[[Tipo ]],Gastos[[#Headers],[Gastos]],Libro_Diario[[Categoria ]],Gastos[[#This Row],[Gastos]],Libro_Diario[Fecha],"&gt;="&amp;'Libro Mayor'!BM$9,Libro_Diario[Fecha],"&lt;="&amp;EOMONTH('Libro Mayor'!BM$9,0))</f>
        <v>0</v>
      </c>
      <c r="BN29" s="24">
        <f>SUMIFS(Libro_Diario[[Cantidad ]],Libro_Diario[[Tipo ]],Gastos[[#Headers],[Gastos]],Libro_Diario[[Categoria ]],Gastos[[#This Row],[Gastos]],Libro_Diario[Fecha],"&gt;="&amp;'Libro Mayor'!BN$9,Libro_Diario[Fecha],"&lt;="&amp;EOMONTH('Libro Mayor'!BN$9,0))</f>
        <v>0</v>
      </c>
      <c r="BO29" s="24">
        <f>SUMIFS(Libro_Diario[[Cantidad ]],Libro_Diario[[Tipo ]],Gastos[[#Headers],[Gastos]],Libro_Diario[[Categoria ]],Gastos[[#This Row],[Gastos]],Libro_Diario[Fecha],"&gt;="&amp;'Libro Mayor'!BO$9,Libro_Diario[Fecha],"&lt;="&amp;EOMONTH('Libro Mayor'!BO$9,0))</f>
        <v>0</v>
      </c>
      <c r="BP29" s="24">
        <f>SUMIFS(Libro_Diario[[Cantidad ]],Libro_Diario[[Tipo ]],Gastos[[#Headers],[Gastos]],Libro_Diario[[Categoria ]],Gastos[[#This Row],[Gastos]],Libro_Diario[Fecha],"&gt;="&amp;'Libro Mayor'!BP$9,Libro_Diario[Fecha],"&lt;="&amp;EOMONTH('Libro Mayor'!BP$9,0))</f>
        <v>0</v>
      </c>
      <c r="BQ29" s="24">
        <f>SUMIFS(Libro_Diario[[Cantidad ]],Libro_Diario[[Tipo ]],Gastos[[#Headers],[Gastos]],Libro_Diario[[Categoria ]],Gastos[[#This Row],[Gastos]],Libro_Diario[Fecha],"&gt;="&amp;'Libro Mayor'!BQ$9,Libro_Diario[Fecha],"&lt;="&amp;EOMONTH('Libro Mayor'!BQ$9,0))</f>
        <v>0</v>
      </c>
      <c r="BR29" s="24">
        <f>SUMIFS(Libro_Diario[[Cantidad ]],Libro_Diario[[Tipo ]],Gastos[[#Headers],[Gastos]],Libro_Diario[[Categoria ]],Gastos[[#This Row],[Gastos]],Libro_Diario[Fecha],"&gt;="&amp;'Libro Mayor'!BR$9,Libro_Diario[Fecha],"&lt;="&amp;EOMONTH('Libro Mayor'!BR$9,0))</f>
        <v>0</v>
      </c>
      <c r="BS29" s="24">
        <f>SUMIFS(Libro_Diario[[Cantidad ]],Libro_Diario[[Tipo ]],Gastos[[#Headers],[Gastos]],Libro_Diario[[Categoria ]],Gastos[[#This Row],[Gastos]],Libro_Diario[Fecha],"&gt;="&amp;'Libro Mayor'!BS$9,Libro_Diario[Fecha],"&lt;="&amp;EOMONTH('Libro Mayor'!BS$9,0))</f>
        <v>0</v>
      </c>
      <c r="BT29" s="24">
        <f>SUMIFS(Libro_Diario[Detalles],Libro_Diario[[Categoria ]],Gastos[[#Headers],[Gastos]],Libro_Diario[[Cantidad ]],Gastos[[#This Row],[Gastos]],Libro_Diario[[Tipo ]],"&gt;="&amp;'Libro Mayor'!BT$9,Libro_Diario[[Tipo ]],"&lt;="&amp;EOMONTH('Libro Mayor'!BT$9,0))</f>
        <v>0</v>
      </c>
      <c r="BU29" s="25">
        <f t="shared" si="27"/>
        <v>0</v>
      </c>
      <c r="BW29" s="24">
        <f>SUMIFS(Libro_Diario[[Cantidad ]],Libro_Diario[[Tipo ]],Gastos[[#Headers],[Gastos]],Libro_Diario[[Categoria ]],Gastos[[#This Row],[Gastos]],Libro_Diario[Fecha],"&gt;="&amp;'Libro Mayor'!BW$9,Libro_Diario[Fecha],"&lt;="&amp;EOMONTH('Libro Mayor'!BW$9,0))</f>
        <v>0</v>
      </c>
      <c r="BX29" s="24">
        <f>SUMIFS(Libro_Diario[[Cantidad ]],Libro_Diario[[Tipo ]],Gastos[[#Headers],[Gastos]],Libro_Diario[[Categoria ]],Gastos[[#This Row],[Gastos]],Libro_Diario[Fecha],"&gt;="&amp;'Libro Mayor'!BX$9,Libro_Diario[Fecha],"&lt;="&amp;EOMONTH('Libro Mayor'!BX$9,0))</f>
        <v>0</v>
      </c>
      <c r="BY29" s="24">
        <f>SUMIFS(Libro_Diario[[Cantidad ]],Libro_Diario[[Tipo ]],Gastos[[#Headers],[Gastos]],Libro_Diario[[Categoria ]],Gastos[[#This Row],[Gastos]],Libro_Diario[Fecha],"&gt;="&amp;'Libro Mayor'!BY$9,Libro_Diario[Fecha],"&lt;="&amp;EOMONTH('Libro Mayor'!BY$9,0))</f>
        <v>0</v>
      </c>
      <c r="BZ29" s="24">
        <f>SUMIFS(Libro_Diario[[Cantidad ]],Libro_Diario[[Tipo ]],Gastos[[#Headers],[Gastos]],Libro_Diario[[Categoria ]],Gastos[[#This Row],[Gastos]],Libro_Diario[Fecha],"&gt;="&amp;'Libro Mayor'!BZ$9,Libro_Diario[Fecha],"&lt;="&amp;EOMONTH('Libro Mayor'!BZ$9,0))</f>
        <v>0</v>
      </c>
      <c r="CA29" s="24">
        <f>SUMIFS(Libro_Diario[[Cantidad ]],Libro_Diario[[Tipo ]],Gastos[[#Headers],[Gastos]],Libro_Diario[[Categoria ]],Gastos[[#This Row],[Gastos]],Libro_Diario[Fecha],"&gt;="&amp;'Libro Mayor'!CA$9,Libro_Diario[Fecha],"&lt;="&amp;EOMONTH('Libro Mayor'!CA$9,0))</f>
        <v>0</v>
      </c>
      <c r="CB29" s="24">
        <f>SUMIFS(Libro_Diario[[Cantidad ]],Libro_Diario[[Tipo ]],Gastos[[#Headers],[Gastos]],Libro_Diario[[Categoria ]],Gastos[[#This Row],[Gastos]],Libro_Diario[Fecha],"&gt;="&amp;'Libro Mayor'!CB$9,Libro_Diario[Fecha],"&lt;="&amp;EOMONTH('Libro Mayor'!CB$9,0))</f>
        <v>0</v>
      </c>
      <c r="CC29" s="24">
        <f>SUMIFS(Libro_Diario[[Cantidad ]],Libro_Diario[[Tipo ]],Gastos[[#Headers],[Gastos]],Libro_Diario[[Categoria ]],Gastos[[#This Row],[Gastos]],Libro_Diario[Fecha],"&gt;="&amp;'Libro Mayor'!CC$9,Libro_Diario[Fecha],"&lt;="&amp;EOMONTH('Libro Mayor'!CC$9,0))</f>
        <v>0</v>
      </c>
      <c r="CD29" s="24">
        <f>SUMIFS(Libro_Diario[[Cantidad ]],Libro_Diario[[Tipo ]],Gastos[[#Headers],[Gastos]],Libro_Diario[[Categoria ]],Gastos[[#This Row],[Gastos]],Libro_Diario[Fecha],"&gt;="&amp;'Libro Mayor'!CD$9,Libro_Diario[Fecha],"&lt;="&amp;EOMONTH('Libro Mayor'!CD$9,0))</f>
        <v>0</v>
      </c>
      <c r="CE29" s="24">
        <f>SUMIFS(Libro_Diario[[Cantidad ]],Libro_Diario[[Tipo ]],Gastos[[#Headers],[Gastos]],Libro_Diario[[Categoria ]],Gastos[[#This Row],[Gastos]],Libro_Diario[Fecha],"&gt;="&amp;'Libro Mayor'!CE$9,Libro_Diario[Fecha],"&lt;="&amp;EOMONTH('Libro Mayor'!CE$9,0))</f>
        <v>0</v>
      </c>
      <c r="CF29" s="24">
        <f>SUMIFS(Libro_Diario[[Cantidad ]],Libro_Diario[[Tipo ]],Gastos[[#Headers],[Gastos]],Libro_Diario[[Categoria ]],Gastos[[#This Row],[Gastos]],Libro_Diario[Fecha],"&gt;="&amp;'Libro Mayor'!CF$9,Libro_Diario[Fecha],"&lt;="&amp;EOMONTH('Libro Mayor'!CF$9,0))</f>
        <v>0</v>
      </c>
      <c r="CG29" s="24">
        <f>SUMIFS(Libro_Diario[[Cantidad ]],Libro_Diario[[Tipo ]],Gastos[[#Headers],[Gastos]],Libro_Diario[[Categoria ]],Gastos[[#This Row],[Gastos]],Libro_Diario[Fecha],"&gt;="&amp;'Libro Mayor'!CG$9,Libro_Diario[Fecha],"&lt;="&amp;EOMONTH('Libro Mayor'!CG$9,0))</f>
        <v>0</v>
      </c>
      <c r="CH29" s="24">
        <f>SUMIFS(Libro_Diario[Detalles],Libro_Diario[[Categoria ]],Gastos[[#Headers],[Gastos]],Libro_Diario[[Cantidad ]],Gastos[[#This Row],[Gastos]],Libro_Diario[[Tipo ]],"&gt;="&amp;'Libro Mayor'!CH$9,Libro_Diario[[Tipo ]],"&lt;="&amp;EOMONTH('Libro Mayor'!CH$9,0))</f>
        <v>0</v>
      </c>
      <c r="CI29" s="25">
        <f t="shared" si="28"/>
        <v>0</v>
      </c>
      <c r="CK29" s="24">
        <f>SUMIFS(Libro_Diario[[Cantidad ]],Libro_Diario[[Tipo ]],Gastos[[#Headers],[Gastos]],Libro_Diario[[Categoria ]],Gastos[[#This Row],[Gastos]],Libro_Diario[Fecha],"&gt;="&amp;'Libro Mayor'!CK$9,Libro_Diario[Fecha],"&lt;="&amp;EOMONTH('Libro Mayor'!CK$9,0))</f>
        <v>0</v>
      </c>
      <c r="CL29" s="24">
        <f>SUMIFS(Libro_Diario[[Cantidad ]],Libro_Diario[[Tipo ]],Gastos[[#Headers],[Gastos]],Libro_Diario[[Categoria ]],Gastos[[#This Row],[Gastos]],Libro_Diario[Fecha],"&gt;="&amp;'Libro Mayor'!CL$9,Libro_Diario[Fecha],"&lt;="&amp;EOMONTH('Libro Mayor'!CL$9,0))</f>
        <v>0</v>
      </c>
      <c r="CM29" s="24">
        <f>SUMIFS(Libro_Diario[[Cantidad ]],Libro_Diario[[Tipo ]],Gastos[[#Headers],[Gastos]],Libro_Diario[[Categoria ]],Gastos[[#This Row],[Gastos]],Libro_Diario[Fecha],"&gt;="&amp;'Libro Mayor'!CM$9,Libro_Diario[Fecha],"&lt;="&amp;EOMONTH('Libro Mayor'!CM$9,0))</f>
        <v>0</v>
      </c>
      <c r="CN29" s="24">
        <f>SUMIFS(Libro_Diario[[Cantidad ]],Libro_Diario[[Tipo ]],Gastos[[#Headers],[Gastos]],Libro_Diario[[Categoria ]],Gastos[[#This Row],[Gastos]],Libro_Diario[Fecha],"&gt;="&amp;'Libro Mayor'!CN$9,Libro_Diario[Fecha],"&lt;="&amp;EOMONTH('Libro Mayor'!CN$9,0))</f>
        <v>0</v>
      </c>
      <c r="CO29" s="24">
        <f>SUMIFS(Libro_Diario[[Cantidad ]],Libro_Diario[[Tipo ]],Gastos[[#Headers],[Gastos]],Libro_Diario[[Categoria ]],Gastos[[#This Row],[Gastos]],Libro_Diario[Fecha],"&gt;="&amp;'Libro Mayor'!CO$9,Libro_Diario[Fecha],"&lt;="&amp;EOMONTH('Libro Mayor'!CO$9,0))</f>
        <v>0</v>
      </c>
      <c r="CP29" s="24">
        <f>SUMIFS(Libro_Diario[[Cantidad ]],Libro_Diario[[Tipo ]],Gastos[[#Headers],[Gastos]],Libro_Diario[[Categoria ]],Gastos[[#This Row],[Gastos]],Libro_Diario[Fecha],"&gt;="&amp;'Libro Mayor'!CP$9,Libro_Diario[Fecha],"&lt;="&amp;EOMONTH('Libro Mayor'!CP$9,0))</f>
        <v>0</v>
      </c>
      <c r="CQ29" s="24">
        <f>SUMIFS(Libro_Diario[[Cantidad ]],Libro_Diario[[Tipo ]],Gastos[[#Headers],[Gastos]],Libro_Diario[[Categoria ]],Gastos[[#This Row],[Gastos]],Libro_Diario[Fecha],"&gt;="&amp;'Libro Mayor'!CQ$9,Libro_Diario[Fecha],"&lt;="&amp;EOMONTH('Libro Mayor'!CQ$9,0))</f>
        <v>0</v>
      </c>
      <c r="CR29" s="24">
        <f>SUMIFS(Libro_Diario[[Cantidad ]],Libro_Diario[[Tipo ]],Gastos[[#Headers],[Gastos]],Libro_Diario[[Categoria ]],Gastos[[#This Row],[Gastos]],Libro_Diario[Fecha],"&gt;="&amp;'Libro Mayor'!CR$9,Libro_Diario[Fecha],"&lt;="&amp;EOMONTH('Libro Mayor'!CR$9,0))</f>
        <v>0</v>
      </c>
      <c r="CS29" s="24">
        <f>SUMIFS(Libro_Diario[[Cantidad ]],Libro_Diario[[Tipo ]],Gastos[[#Headers],[Gastos]],Libro_Diario[[Categoria ]],Gastos[[#This Row],[Gastos]],Libro_Diario[Fecha],"&gt;="&amp;'Libro Mayor'!CS$9,Libro_Diario[Fecha],"&lt;="&amp;EOMONTH('Libro Mayor'!CS$9,0))</f>
        <v>0</v>
      </c>
      <c r="CT29" s="24">
        <f>SUMIFS(Libro_Diario[[Cantidad ]],Libro_Diario[[Tipo ]],Gastos[[#Headers],[Gastos]],Libro_Diario[[Categoria ]],Gastos[[#This Row],[Gastos]],Libro_Diario[Fecha],"&gt;="&amp;'Libro Mayor'!CT$9,Libro_Diario[Fecha],"&lt;="&amp;EOMONTH('Libro Mayor'!CT$9,0))</f>
        <v>0</v>
      </c>
      <c r="CU29" s="24">
        <f>SUMIFS(Libro_Diario[[Cantidad ]],Libro_Diario[[Tipo ]],Gastos[[#Headers],[Gastos]],Libro_Diario[[Categoria ]],Gastos[[#This Row],[Gastos]],Libro_Diario[Fecha],"&gt;="&amp;'Libro Mayor'!CU$9,Libro_Diario[Fecha],"&lt;="&amp;EOMONTH('Libro Mayor'!CU$9,0))</f>
        <v>0</v>
      </c>
      <c r="CV29" s="24">
        <f>SUMIFS(Libro_Diario[Detalles],Libro_Diario[[Categoria ]],Gastos[[#Headers],[Gastos]],Libro_Diario[[Cantidad ]],Gastos[[#This Row],[Gastos]],Libro_Diario[[Tipo ]],"&gt;="&amp;'Libro Mayor'!CV$9,Libro_Diario[[Tipo ]],"&lt;="&amp;EOMONTH('Libro Mayor'!CV$9,0))</f>
        <v>0</v>
      </c>
      <c r="CW29" s="25">
        <f t="shared" si="29"/>
        <v>0</v>
      </c>
      <c r="CY29" s="24">
        <f>SUMIFS(Libro_Diario[[Cantidad ]],Libro_Diario[[Tipo ]],Gastos[[#Headers],[Gastos]],Libro_Diario[[Categoria ]],Gastos[[#This Row],[Gastos]],Libro_Diario[Fecha],"&gt;="&amp;'Libro Mayor'!CY$9,Libro_Diario[Fecha],"&lt;="&amp;EOMONTH('Libro Mayor'!CY$9,0))</f>
        <v>0</v>
      </c>
      <c r="CZ29" s="24">
        <f>SUMIFS(Libro_Diario[[Cantidad ]],Libro_Diario[[Tipo ]],Gastos[[#Headers],[Gastos]],Libro_Diario[[Categoria ]],Gastos[[#This Row],[Gastos]],Libro_Diario[Fecha],"&gt;="&amp;'Libro Mayor'!CZ$9,Libro_Diario[Fecha],"&lt;="&amp;EOMONTH('Libro Mayor'!CZ$9,0))</f>
        <v>0</v>
      </c>
      <c r="DA29" s="24">
        <f>SUMIFS(Libro_Diario[[Cantidad ]],Libro_Diario[[Tipo ]],Gastos[[#Headers],[Gastos]],Libro_Diario[[Categoria ]],Gastos[[#This Row],[Gastos]],Libro_Diario[Fecha],"&gt;="&amp;'Libro Mayor'!DA$9,Libro_Diario[Fecha],"&lt;="&amp;EOMONTH('Libro Mayor'!DA$9,0))</f>
        <v>0</v>
      </c>
      <c r="DB29" s="24">
        <f>SUMIFS(Libro_Diario[[Cantidad ]],Libro_Diario[[Tipo ]],Gastos[[#Headers],[Gastos]],Libro_Diario[[Categoria ]],Gastos[[#This Row],[Gastos]],Libro_Diario[Fecha],"&gt;="&amp;'Libro Mayor'!DB$9,Libro_Diario[Fecha],"&lt;="&amp;EOMONTH('Libro Mayor'!DB$9,0))</f>
        <v>0</v>
      </c>
      <c r="DC29" s="24">
        <f>SUMIFS(Libro_Diario[[Cantidad ]],Libro_Diario[[Tipo ]],Gastos[[#Headers],[Gastos]],Libro_Diario[[Categoria ]],Gastos[[#This Row],[Gastos]],Libro_Diario[Fecha],"&gt;="&amp;'Libro Mayor'!DC$9,Libro_Diario[Fecha],"&lt;="&amp;EOMONTH('Libro Mayor'!DC$9,0))</f>
        <v>0</v>
      </c>
      <c r="DD29" s="24">
        <f>SUMIFS(Libro_Diario[[Cantidad ]],Libro_Diario[[Tipo ]],Gastos[[#Headers],[Gastos]],Libro_Diario[[Categoria ]],Gastos[[#This Row],[Gastos]],Libro_Diario[Fecha],"&gt;="&amp;'Libro Mayor'!DD$9,Libro_Diario[Fecha],"&lt;="&amp;EOMONTH('Libro Mayor'!DD$9,0))</f>
        <v>0</v>
      </c>
      <c r="DE29" s="24">
        <f>SUMIFS(Libro_Diario[[Cantidad ]],Libro_Diario[[Tipo ]],Gastos[[#Headers],[Gastos]],Libro_Diario[[Categoria ]],Gastos[[#This Row],[Gastos]],Libro_Diario[Fecha],"&gt;="&amp;'Libro Mayor'!DE$9,Libro_Diario[Fecha],"&lt;="&amp;EOMONTH('Libro Mayor'!DE$9,0))</f>
        <v>0</v>
      </c>
      <c r="DF29" s="24">
        <f>SUMIFS(Libro_Diario[[Cantidad ]],Libro_Diario[[Tipo ]],Gastos[[#Headers],[Gastos]],Libro_Diario[[Categoria ]],Gastos[[#This Row],[Gastos]],Libro_Diario[Fecha],"&gt;="&amp;'Libro Mayor'!DF$9,Libro_Diario[Fecha],"&lt;="&amp;EOMONTH('Libro Mayor'!DF$9,0))</f>
        <v>0</v>
      </c>
      <c r="DG29" s="24">
        <f>SUMIFS(Libro_Diario[[Cantidad ]],Libro_Diario[[Tipo ]],Gastos[[#Headers],[Gastos]],Libro_Diario[[Categoria ]],Gastos[[#This Row],[Gastos]],Libro_Diario[Fecha],"&gt;="&amp;'Libro Mayor'!DG$9,Libro_Diario[Fecha],"&lt;="&amp;EOMONTH('Libro Mayor'!DG$9,0))</f>
        <v>0</v>
      </c>
      <c r="DH29" s="24">
        <f>SUMIFS(Libro_Diario[[Cantidad ]],Libro_Diario[[Tipo ]],Gastos[[#Headers],[Gastos]],Libro_Diario[[Categoria ]],Gastos[[#This Row],[Gastos]],Libro_Diario[Fecha],"&gt;="&amp;'Libro Mayor'!DH$9,Libro_Diario[Fecha],"&lt;="&amp;EOMONTH('Libro Mayor'!DH$9,0))</f>
        <v>0</v>
      </c>
      <c r="DI29" s="24">
        <f>SUMIFS(Libro_Diario[[Cantidad ]],Libro_Diario[[Tipo ]],Gastos[[#Headers],[Gastos]],Libro_Diario[[Categoria ]],Gastos[[#This Row],[Gastos]],Libro_Diario[Fecha],"&gt;="&amp;'Libro Mayor'!DI$9,Libro_Diario[Fecha],"&lt;="&amp;EOMONTH('Libro Mayor'!DI$9,0))</f>
        <v>0</v>
      </c>
      <c r="DJ29" s="24">
        <f>SUMIFS(Libro_Diario[Detalles],Libro_Diario[[Categoria ]],Gastos[[#Headers],[Gastos]],Libro_Diario[[Cantidad ]],Gastos[[#This Row],[Gastos]],Libro_Diario[[Tipo ]],"&gt;="&amp;'Libro Mayor'!DJ$9,Libro_Diario[[Tipo ]],"&lt;="&amp;EOMONTH('Libro Mayor'!DJ$9,0))</f>
        <v>0</v>
      </c>
      <c r="DK29" s="25">
        <f t="shared" si="30"/>
        <v>0</v>
      </c>
      <c r="DM29" s="24">
        <f>SUMIFS(Libro_Diario[[Cantidad ]],Libro_Diario[[Tipo ]],Gastos[[#Headers],[Gastos]],Libro_Diario[[Categoria ]],Gastos[[#This Row],[Gastos]],Libro_Diario[Fecha],"&gt;="&amp;'Libro Mayor'!DM$9,Libro_Diario[Fecha],"&lt;="&amp;EOMONTH('Libro Mayor'!DM$9,0))</f>
        <v>0</v>
      </c>
      <c r="DN29" s="24">
        <f>SUMIFS(Libro_Diario[[Cantidad ]],Libro_Diario[[Tipo ]],Gastos[[#Headers],[Gastos]],Libro_Diario[[Categoria ]],Gastos[[#This Row],[Gastos]],Libro_Diario[Fecha],"&gt;="&amp;'Libro Mayor'!DN$9,Libro_Diario[Fecha],"&lt;="&amp;EOMONTH('Libro Mayor'!DN$9,0))</f>
        <v>0</v>
      </c>
      <c r="DO29" s="24">
        <f>SUMIFS(Libro_Diario[[Cantidad ]],Libro_Diario[[Tipo ]],Gastos[[#Headers],[Gastos]],Libro_Diario[[Categoria ]],Gastos[[#This Row],[Gastos]],Libro_Diario[Fecha],"&gt;="&amp;'Libro Mayor'!DO$9,Libro_Diario[Fecha],"&lt;="&amp;EOMONTH('Libro Mayor'!DO$9,0))</f>
        <v>0</v>
      </c>
      <c r="DP29" s="24">
        <f>SUMIFS(Libro_Diario[[Cantidad ]],Libro_Diario[[Tipo ]],Gastos[[#Headers],[Gastos]],Libro_Diario[[Categoria ]],Gastos[[#This Row],[Gastos]],Libro_Diario[Fecha],"&gt;="&amp;'Libro Mayor'!DP$9,Libro_Diario[Fecha],"&lt;="&amp;EOMONTH('Libro Mayor'!DP$9,0))</f>
        <v>0</v>
      </c>
      <c r="DQ29" s="24">
        <f>SUMIFS(Libro_Diario[[Cantidad ]],Libro_Diario[[Tipo ]],Gastos[[#Headers],[Gastos]],Libro_Diario[[Categoria ]],Gastos[[#This Row],[Gastos]],Libro_Diario[Fecha],"&gt;="&amp;'Libro Mayor'!DQ$9,Libro_Diario[Fecha],"&lt;="&amp;EOMONTH('Libro Mayor'!DQ$9,0))</f>
        <v>0</v>
      </c>
      <c r="DR29" s="24">
        <f>SUMIFS(Libro_Diario[[Cantidad ]],Libro_Diario[[Tipo ]],Gastos[[#Headers],[Gastos]],Libro_Diario[[Categoria ]],Gastos[[#This Row],[Gastos]],Libro_Diario[Fecha],"&gt;="&amp;'Libro Mayor'!DR$9,Libro_Diario[Fecha],"&lt;="&amp;EOMONTH('Libro Mayor'!DR$9,0))</f>
        <v>0</v>
      </c>
      <c r="DS29" s="24">
        <f>SUMIFS(Libro_Diario[[Cantidad ]],Libro_Diario[[Tipo ]],Gastos[[#Headers],[Gastos]],Libro_Diario[[Categoria ]],Gastos[[#This Row],[Gastos]],Libro_Diario[Fecha],"&gt;="&amp;'Libro Mayor'!DS$9,Libro_Diario[Fecha],"&lt;="&amp;EOMONTH('Libro Mayor'!DS$9,0))</f>
        <v>0</v>
      </c>
      <c r="DT29" s="24">
        <f>SUMIFS(Libro_Diario[[Cantidad ]],Libro_Diario[[Tipo ]],Gastos[[#Headers],[Gastos]],Libro_Diario[[Categoria ]],Gastos[[#This Row],[Gastos]],Libro_Diario[Fecha],"&gt;="&amp;'Libro Mayor'!DT$9,Libro_Diario[Fecha],"&lt;="&amp;EOMONTH('Libro Mayor'!DT$9,0))</f>
        <v>0</v>
      </c>
      <c r="DU29" s="24">
        <f>SUMIFS(Libro_Diario[[Cantidad ]],Libro_Diario[[Tipo ]],Gastos[[#Headers],[Gastos]],Libro_Diario[[Categoria ]],Gastos[[#This Row],[Gastos]],Libro_Diario[Fecha],"&gt;="&amp;'Libro Mayor'!DU$9,Libro_Diario[Fecha],"&lt;="&amp;EOMONTH('Libro Mayor'!DU$9,0))</f>
        <v>0</v>
      </c>
      <c r="DV29" s="24">
        <f>SUMIFS(Libro_Diario[[Cantidad ]],Libro_Diario[[Tipo ]],Gastos[[#Headers],[Gastos]],Libro_Diario[[Categoria ]],Gastos[[#This Row],[Gastos]],Libro_Diario[Fecha],"&gt;="&amp;'Libro Mayor'!DV$9,Libro_Diario[Fecha],"&lt;="&amp;EOMONTH('Libro Mayor'!DV$9,0))</f>
        <v>0</v>
      </c>
      <c r="DW29" s="24">
        <f>SUMIFS(Libro_Diario[[Cantidad ]],Libro_Diario[[Tipo ]],Gastos[[#Headers],[Gastos]],Libro_Diario[[Categoria ]],Gastos[[#This Row],[Gastos]],Libro_Diario[Fecha],"&gt;="&amp;'Libro Mayor'!DW$9,Libro_Diario[Fecha],"&lt;="&amp;EOMONTH('Libro Mayor'!DW$9,0))</f>
        <v>0</v>
      </c>
      <c r="DX29" s="24">
        <f>SUMIFS(Libro_Diario[Detalles],Libro_Diario[[Categoria ]],Gastos[[#Headers],[Gastos]],Libro_Diario[[Cantidad ]],Gastos[[#This Row],[Gastos]],Libro_Diario[[Tipo ]],"&gt;="&amp;'Libro Mayor'!DX$9,Libro_Diario[[Tipo ]],"&lt;="&amp;EOMONTH('Libro Mayor'!DX$9,0))</f>
        <v>0</v>
      </c>
      <c r="DY29" s="25">
        <f t="shared" si="31"/>
        <v>0</v>
      </c>
      <c r="EA29" s="24">
        <f>SUMIFS(Libro_Diario[[Cantidad ]],Libro_Diario[[Tipo ]],Gastos[[#Headers],[Gastos]],Libro_Diario[[Categoria ]],Gastos[[#This Row],[Gastos]],Libro_Diario[Fecha],"&gt;="&amp;'Libro Mayor'!EA$9,Libro_Diario[Fecha],"&lt;="&amp;EOMONTH('Libro Mayor'!EA$9,0))</f>
        <v>0</v>
      </c>
      <c r="EB29" s="24">
        <f>SUMIFS(Libro_Diario[[Cantidad ]],Libro_Diario[[Tipo ]],Gastos[[#Headers],[Gastos]],Libro_Diario[[Categoria ]],Gastos[[#This Row],[Gastos]],Libro_Diario[Fecha],"&gt;="&amp;'Libro Mayor'!EB$9,Libro_Diario[Fecha],"&lt;="&amp;EOMONTH('Libro Mayor'!EB$9,0))</f>
        <v>0</v>
      </c>
      <c r="EC29" s="24">
        <f>SUMIFS(Libro_Diario[[Cantidad ]],Libro_Diario[[Tipo ]],Gastos[[#Headers],[Gastos]],Libro_Diario[[Categoria ]],Gastos[[#This Row],[Gastos]],Libro_Diario[Fecha],"&gt;="&amp;'Libro Mayor'!EC$9,Libro_Diario[Fecha],"&lt;="&amp;EOMONTH('Libro Mayor'!EC$9,0))</f>
        <v>0</v>
      </c>
      <c r="ED29" s="24">
        <f>SUMIFS(Libro_Diario[[Cantidad ]],Libro_Diario[[Tipo ]],Gastos[[#Headers],[Gastos]],Libro_Diario[[Categoria ]],Gastos[[#This Row],[Gastos]],Libro_Diario[Fecha],"&gt;="&amp;'Libro Mayor'!ED$9,Libro_Diario[Fecha],"&lt;="&amp;EOMONTH('Libro Mayor'!ED$9,0))</f>
        <v>0</v>
      </c>
      <c r="EE29" s="24">
        <f>SUMIFS(Libro_Diario[[Cantidad ]],Libro_Diario[[Tipo ]],Gastos[[#Headers],[Gastos]],Libro_Diario[[Categoria ]],Gastos[[#This Row],[Gastos]],Libro_Diario[Fecha],"&gt;="&amp;'Libro Mayor'!EE$9,Libro_Diario[Fecha],"&lt;="&amp;EOMONTH('Libro Mayor'!EE$9,0))</f>
        <v>0</v>
      </c>
      <c r="EF29" s="24">
        <f>SUMIFS(Libro_Diario[[Cantidad ]],Libro_Diario[[Tipo ]],Gastos[[#Headers],[Gastos]],Libro_Diario[[Categoria ]],Gastos[[#This Row],[Gastos]],Libro_Diario[Fecha],"&gt;="&amp;'Libro Mayor'!EF$9,Libro_Diario[Fecha],"&lt;="&amp;EOMONTH('Libro Mayor'!EF$9,0))</f>
        <v>0</v>
      </c>
      <c r="EG29" s="24">
        <f>SUMIFS(Libro_Diario[[Cantidad ]],Libro_Diario[[Tipo ]],Gastos[[#Headers],[Gastos]],Libro_Diario[[Categoria ]],Gastos[[#This Row],[Gastos]],Libro_Diario[Fecha],"&gt;="&amp;'Libro Mayor'!EG$9,Libro_Diario[Fecha],"&lt;="&amp;EOMONTH('Libro Mayor'!EG$9,0))</f>
        <v>0</v>
      </c>
      <c r="EH29" s="24">
        <f>SUMIFS(Libro_Diario[[Cantidad ]],Libro_Diario[[Tipo ]],Gastos[[#Headers],[Gastos]],Libro_Diario[[Categoria ]],Gastos[[#This Row],[Gastos]],Libro_Diario[Fecha],"&gt;="&amp;'Libro Mayor'!EH$9,Libro_Diario[Fecha],"&lt;="&amp;EOMONTH('Libro Mayor'!EH$9,0))</f>
        <v>0</v>
      </c>
      <c r="EI29" s="24">
        <f>SUMIFS(Libro_Diario[[Cantidad ]],Libro_Diario[[Tipo ]],Gastos[[#Headers],[Gastos]],Libro_Diario[[Categoria ]],Gastos[[#This Row],[Gastos]],Libro_Diario[Fecha],"&gt;="&amp;'Libro Mayor'!EI$9,Libro_Diario[Fecha],"&lt;="&amp;EOMONTH('Libro Mayor'!EI$9,0))</f>
        <v>0</v>
      </c>
      <c r="EJ29" s="24">
        <f>SUMIFS(Libro_Diario[[Cantidad ]],Libro_Diario[[Tipo ]],Gastos[[#Headers],[Gastos]],Libro_Diario[[Categoria ]],Gastos[[#This Row],[Gastos]],Libro_Diario[Fecha],"&gt;="&amp;'Libro Mayor'!EJ$9,Libro_Diario[Fecha],"&lt;="&amp;EOMONTH('Libro Mayor'!EJ$9,0))</f>
        <v>0</v>
      </c>
      <c r="EK29" s="24">
        <f>SUMIFS(Libro_Diario[[Cantidad ]],Libro_Diario[[Tipo ]],Gastos[[#Headers],[Gastos]],Libro_Diario[[Categoria ]],Gastos[[#This Row],[Gastos]],Libro_Diario[Fecha],"&gt;="&amp;'Libro Mayor'!EK$9,Libro_Diario[Fecha],"&lt;="&amp;EOMONTH('Libro Mayor'!EK$9,0))</f>
        <v>0</v>
      </c>
      <c r="EL29" s="24">
        <f>SUMIFS(Libro_Diario[Detalles],Libro_Diario[[Categoria ]],Gastos[[#Headers],[Gastos]],Libro_Diario[[Cantidad ]],Gastos[[#This Row],[Gastos]],Libro_Diario[[Tipo ]],"&gt;="&amp;'Libro Mayor'!EL$9,Libro_Diario[[Tipo ]],"&lt;="&amp;EOMONTH('Libro Mayor'!EL$9,0))</f>
        <v>0</v>
      </c>
      <c r="EM29" s="25">
        <f t="shared" si="32"/>
        <v>0</v>
      </c>
      <c r="EO29" s="24">
        <f>SUMIFS(Libro_Diario[[Cantidad ]],Libro_Diario[[Tipo ]],Gastos[[#Headers],[Gastos]],Libro_Diario[[Categoria ]],Gastos[[#This Row],[Gastos]],Libro_Diario[Fecha],"&gt;="&amp;'Libro Mayor'!EO$9,Libro_Diario[Fecha],"&lt;="&amp;EOMONTH('Libro Mayor'!EO$9,0))</f>
        <v>0</v>
      </c>
      <c r="EP29" s="24">
        <f>SUMIFS(Libro_Diario[[Cantidad ]],Libro_Diario[[Tipo ]],Gastos[[#Headers],[Gastos]],Libro_Diario[[Categoria ]],Gastos[[#This Row],[Gastos]],Libro_Diario[Fecha],"&gt;="&amp;'Libro Mayor'!EP$9,Libro_Diario[Fecha],"&lt;="&amp;EOMONTH('Libro Mayor'!EP$9,0))</f>
        <v>0</v>
      </c>
      <c r="EQ29" s="24">
        <f>SUMIFS(Libro_Diario[[Cantidad ]],Libro_Diario[[Tipo ]],Gastos[[#Headers],[Gastos]],Libro_Diario[[Categoria ]],Gastos[[#This Row],[Gastos]],Libro_Diario[Fecha],"&gt;="&amp;'Libro Mayor'!EQ$9,Libro_Diario[Fecha],"&lt;="&amp;EOMONTH('Libro Mayor'!EQ$9,0))</f>
        <v>0</v>
      </c>
      <c r="ER29" s="24">
        <f>SUMIFS(Libro_Diario[[Cantidad ]],Libro_Diario[[Tipo ]],Gastos[[#Headers],[Gastos]],Libro_Diario[[Categoria ]],Gastos[[#This Row],[Gastos]],Libro_Diario[Fecha],"&gt;="&amp;'Libro Mayor'!ER$9,Libro_Diario[Fecha],"&lt;="&amp;EOMONTH('Libro Mayor'!ER$9,0))</f>
        <v>0</v>
      </c>
      <c r="ES29" s="24">
        <f>SUMIFS(Libro_Diario[[Cantidad ]],Libro_Diario[[Tipo ]],Gastos[[#Headers],[Gastos]],Libro_Diario[[Categoria ]],Gastos[[#This Row],[Gastos]],Libro_Diario[Fecha],"&gt;="&amp;'Libro Mayor'!ES$9,Libro_Diario[Fecha],"&lt;="&amp;EOMONTH('Libro Mayor'!ES$9,0))</f>
        <v>0</v>
      </c>
      <c r="ET29" s="24">
        <f>SUMIFS(Libro_Diario[[Cantidad ]],Libro_Diario[[Tipo ]],Gastos[[#Headers],[Gastos]],Libro_Diario[[Categoria ]],Gastos[[#This Row],[Gastos]],Libro_Diario[Fecha],"&gt;="&amp;'Libro Mayor'!ET$9,Libro_Diario[Fecha],"&lt;="&amp;EOMONTH('Libro Mayor'!ET$9,0))</f>
        <v>0</v>
      </c>
      <c r="EU29" s="24">
        <f>SUMIFS(Libro_Diario[[Cantidad ]],Libro_Diario[[Tipo ]],Gastos[[#Headers],[Gastos]],Libro_Diario[[Categoria ]],Gastos[[#This Row],[Gastos]],Libro_Diario[Fecha],"&gt;="&amp;'Libro Mayor'!EU$9,Libro_Diario[Fecha],"&lt;="&amp;EOMONTH('Libro Mayor'!EU$9,0))</f>
        <v>0</v>
      </c>
      <c r="EV29" s="24">
        <f>SUMIFS(Libro_Diario[[Cantidad ]],Libro_Diario[[Tipo ]],Gastos[[#Headers],[Gastos]],Libro_Diario[[Categoria ]],Gastos[[#This Row],[Gastos]],Libro_Diario[Fecha],"&gt;="&amp;'Libro Mayor'!EV$9,Libro_Diario[Fecha],"&lt;="&amp;EOMONTH('Libro Mayor'!EV$9,0))</f>
        <v>0</v>
      </c>
      <c r="EW29" s="24">
        <f>SUMIFS(Libro_Diario[[Cantidad ]],Libro_Diario[[Tipo ]],Gastos[[#Headers],[Gastos]],Libro_Diario[[Categoria ]],Gastos[[#This Row],[Gastos]],Libro_Diario[Fecha],"&gt;="&amp;'Libro Mayor'!EW$9,Libro_Diario[Fecha],"&lt;="&amp;EOMONTH('Libro Mayor'!EW$9,0))</f>
        <v>0</v>
      </c>
      <c r="EX29" s="24">
        <f>SUMIFS(Libro_Diario[[Cantidad ]],Libro_Diario[[Tipo ]],Gastos[[#Headers],[Gastos]],Libro_Diario[[Categoria ]],Gastos[[#This Row],[Gastos]],Libro_Diario[Fecha],"&gt;="&amp;'Libro Mayor'!EX$9,Libro_Diario[Fecha],"&lt;="&amp;EOMONTH('Libro Mayor'!EX$9,0))</f>
        <v>0</v>
      </c>
      <c r="EY29" s="24">
        <f>SUMIFS(Libro_Diario[[Cantidad ]],Libro_Diario[[Tipo ]],Gastos[[#Headers],[Gastos]],Libro_Diario[[Categoria ]],Gastos[[#This Row],[Gastos]],Libro_Diario[Fecha],"&gt;="&amp;'Libro Mayor'!EY$9,Libro_Diario[Fecha],"&lt;="&amp;EOMONTH('Libro Mayor'!EY$9,0))</f>
        <v>0</v>
      </c>
      <c r="EZ29" s="24">
        <f>SUMIFS(Libro_Diario[[Cantidad ]],Libro_Diario[[Tipo ]],Gastos[[#Headers],[Gastos]],Libro_Diario[[Categoria ]],Gastos[[#This Row],[Gastos]],Libro_Diario[Fecha],"&gt;="&amp;'Libro Mayor'!EZ$9,Libro_Diario[Fecha],"&lt;="&amp;EOMONTH('Libro Mayor'!EZ$9,0))</f>
        <v>0</v>
      </c>
      <c r="FA29" s="25">
        <f t="shared" si="22"/>
        <v>0</v>
      </c>
    </row>
    <row r="30" spans="3:157" x14ac:dyDescent="0.3">
      <c r="C30" s="16" t="s">
        <v>69</v>
      </c>
      <c r="D30" s="23"/>
      <c r="E30" s="24">
        <f>SUMIFS(Libro_Diario[[Cantidad ]],Libro_Diario[[Tipo ]],Gastos[[#Headers],[Gastos]],Libro_Diario[[Categoria ]],Gastos[[#This Row],[Gastos]],Libro_Diario[Fecha],"&gt;="&amp;'Libro Mayor'!E$9,Libro_Diario[Fecha],"&lt;="&amp;EOMONTH('Libro Mayor'!E$9,0))</f>
        <v>0</v>
      </c>
      <c r="F30" s="24">
        <f>SUMIFS(Libro_Diario[[Cantidad ]],Libro_Diario[[Tipo ]],Gastos[[#Headers],[Gastos]],Libro_Diario[[Categoria ]],Gastos[[#This Row],[Gastos]],Libro_Diario[Fecha],"&gt;="&amp;'Libro Mayor'!F$9,Libro_Diario[Fecha],"&lt;="&amp;EOMONTH('Libro Mayor'!F$9,0))</f>
        <v>0</v>
      </c>
      <c r="G30" s="24">
        <f>SUMIFS(Libro_Diario[[Cantidad ]],Libro_Diario[[Tipo ]],Gastos[[#Headers],[Gastos]],Libro_Diario[[Categoria ]],Gastos[[#This Row],[Gastos]],Libro_Diario[Fecha],"&gt;="&amp;'Libro Mayor'!G$9,Libro_Diario[Fecha],"&lt;="&amp;EOMONTH('Libro Mayor'!G$9,0))</f>
        <v>0</v>
      </c>
      <c r="H30" s="24">
        <f>SUMIFS(Libro_Diario[[Cantidad ]],Libro_Diario[[Tipo ]],Gastos[[#Headers],[Gastos]],Libro_Diario[[Categoria ]],Gastos[[#This Row],[Gastos]],Libro_Diario[Fecha],"&gt;="&amp;'Libro Mayor'!H$9,Libro_Diario[Fecha],"&lt;="&amp;EOMONTH('Libro Mayor'!H$9,0))</f>
        <v>0</v>
      </c>
      <c r="I30" s="24">
        <f>SUMIFS(Libro_Diario[[Cantidad ]],Libro_Diario[[Tipo ]],Gastos[[#Headers],[Gastos]],Libro_Diario[[Categoria ]],Gastos[[#This Row],[Gastos]],Libro_Diario[Fecha],"&gt;="&amp;'Libro Mayor'!I$9,Libro_Diario[Fecha],"&lt;="&amp;EOMONTH('Libro Mayor'!I$9,0))</f>
        <v>0</v>
      </c>
      <c r="J30" s="24">
        <f>SUMIFS(Libro_Diario[[Cantidad ]],Libro_Diario[[Tipo ]],Gastos[[#Headers],[Gastos]],Libro_Diario[[Categoria ]],Gastos[[#This Row],[Gastos]],Libro_Diario[Fecha],"&gt;="&amp;'Libro Mayor'!J$9,Libro_Diario[Fecha],"&lt;="&amp;EOMONTH('Libro Mayor'!J$9,0))</f>
        <v>0</v>
      </c>
      <c r="K30" s="24">
        <f>SUMIFS(Libro_Diario[[Cantidad ]],Libro_Diario[[Tipo ]],Gastos[[#Headers],[Gastos]],Libro_Diario[[Categoria ]],Gastos[[#This Row],[Gastos]],Libro_Diario[Fecha],"&gt;="&amp;'Libro Mayor'!K$9,Libro_Diario[Fecha],"&lt;="&amp;EOMONTH('Libro Mayor'!K$9,0))</f>
        <v>0</v>
      </c>
      <c r="L30" s="24">
        <f>SUMIFS(Libro_Diario[[Cantidad ]],Libro_Diario[[Tipo ]],Gastos[[#Headers],[Gastos]],Libro_Diario[[Categoria ]],Gastos[[#This Row],[Gastos]],Libro_Diario[Fecha],"&gt;="&amp;'Libro Mayor'!L$9,Libro_Diario[Fecha],"&lt;="&amp;EOMONTH('Libro Mayor'!L$9,0))</f>
        <v>0</v>
      </c>
      <c r="M30" s="24">
        <f>SUMIFS(Libro_Diario[[Cantidad ]],Libro_Diario[[Tipo ]],Gastos[[#Headers],[Gastos]],Libro_Diario[[Categoria ]],Gastos[[#This Row],[Gastos]],Libro_Diario[Fecha],"&gt;="&amp;'Libro Mayor'!M$9,Libro_Diario[Fecha],"&lt;="&amp;EOMONTH('Libro Mayor'!M$9,0))</f>
        <v>0</v>
      </c>
      <c r="N30" s="24">
        <f>SUMIFS(Libro_Diario[[Cantidad ]],Libro_Diario[[Tipo ]],Gastos[[#Headers],[Gastos]],Libro_Diario[[Categoria ]],Gastos[[#This Row],[Gastos]],Libro_Diario[Fecha],"&gt;="&amp;'Libro Mayor'!N$9,Libro_Diario[Fecha],"&lt;="&amp;EOMONTH('Libro Mayor'!N$9,0))</f>
        <v>0</v>
      </c>
      <c r="O30" s="24">
        <f>SUMIFS(Libro_Diario[[Cantidad ]],Libro_Diario[[Tipo ]],Gastos[[#Headers],[Gastos]],Libro_Diario[[Categoria ]],Gastos[[#This Row],[Gastos]],Libro_Diario[Fecha],"&gt;="&amp;'Libro Mayor'!O$9,Libro_Diario[Fecha],"&lt;="&amp;EOMONTH('Libro Mayor'!O$9,0))</f>
        <v>0</v>
      </c>
      <c r="P30" s="24">
        <f>SUMIFS(Libro_Diario[[Cantidad ]],Libro_Diario[[Tipo ]],Gastos[[#Headers],[Gastos]],Libro_Diario[[Categoria ]],Gastos[[#This Row],[Gastos]],Libro_Diario[Fecha],"&gt;="&amp;'Libro Mayor'!P$9,Libro_Diario[Fecha],"&lt;="&amp;EOMONTH('Libro Mayor'!P$9,0))</f>
        <v>0</v>
      </c>
      <c r="Q30" s="25">
        <f t="shared" ref="Q30:Q31" si="33">SUM(E30:P30)</f>
        <v>0</v>
      </c>
      <c r="S30" s="24">
        <f>SUMIFS(Libro_Diario[[Cantidad ]],Libro_Diario[[Tipo ]],Gastos[[#Headers],[Gastos]],Libro_Diario[[Categoria ]],Gastos[[#This Row],[Gastos]],Libro_Diario[Fecha],"&gt;="&amp;'Libro Mayor'!S$9,Libro_Diario[Fecha],"&lt;="&amp;EOMONTH('Libro Mayor'!S$9,0))</f>
        <v>0</v>
      </c>
      <c r="T30" s="24">
        <f>SUMIFS(Libro_Diario[[Cantidad ]],Libro_Diario[[Tipo ]],Gastos[[#Headers],[Gastos]],Libro_Diario[[Categoria ]],Gastos[[#This Row],[Gastos]],Libro_Diario[Fecha],"&gt;="&amp;'Libro Mayor'!T$9,Libro_Diario[Fecha],"&lt;="&amp;EOMONTH('Libro Mayor'!T$9,0))</f>
        <v>0</v>
      </c>
      <c r="U30" s="24">
        <f>SUMIFS(Libro_Diario[[Cantidad ]],Libro_Diario[[Tipo ]],Gastos[[#Headers],[Gastos]],Libro_Diario[[Categoria ]],Gastos[[#This Row],[Gastos]],Libro_Diario[Fecha],"&gt;="&amp;'Libro Mayor'!U$9,Libro_Diario[Fecha],"&lt;="&amp;EOMONTH('Libro Mayor'!U$9,0))</f>
        <v>0</v>
      </c>
      <c r="V30" s="24">
        <f>SUMIFS(Libro_Diario[[Cantidad ]],Libro_Diario[[Tipo ]],Gastos[[#Headers],[Gastos]],Libro_Diario[[Categoria ]],Gastos[[#This Row],[Gastos]],Libro_Diario[Fecha],"&gt;="&amp;'Libro Mayor'!V$9,Libro_Diario[Fecha],"&lt;="&amp;EOMONTH('Libro Mayor'!V$9,0))</f>
        <v>0</v>
      </c>
      <c r="W30" s="24">
        <f>SUMIFS(Libro_Diario[[Cantidad ]],Libro_Diario[[Tipo ]],Gastos[[#Headers],[Gastos]],Libro_Diario[[Categoria ]],Gastos[[#This Row],[Gastos]],Libro_Diario[Fecha],"&gt;="&amp;'Libro Mayor'!W$9,Libro_Diario[Fecha],"&lt;="&amp;EOMONTH('Libro Mayor'!W$9,0))</f>
        <v>0</v>
      </c>
      <c r="X30" s="24">
        <f>SUMIFS(Libro_Diario[[Cantidad ]],Libro_Diario[[Tipo ]],Gastos[[#Headers],[Gastos]],Libro_Diario[[Categoria ]],Gastos[[#This Row],[Gastos]],Libro_Diario[Fecha],"&gt;="&amp;'Libro Mayor'!X$9,Libro_Diario[Fecha],"&lt;="&amp;EOMONTH('Libro Mayor'!X$9,0))</f>
        <v>0</v>
      </c>
      <c r="Y30" s="24">
        <f>SUMIFS(Libro_Diario[[Cantidad ]],Libro_Diario[[Tipo ]],Gastos[[#Headers],[Gastos]],Libro_Diario[[Categoria ]],Gastos[[#This Row],[Gastos]],Libro_Diario[Fecha],"&gt;="&amp;'Libro Mayor'!Y$9,Libro_Diario[Fecha],"&lt;="&amp;EOMONTH('Libro Mayor'!Y$9,0))</f>
        <v>0</v>
      </c>
      <c r="Z30" s="24">
        <f>SUMIFS(Libro_Diario[[Cantidad ]],Libro_Diario[[Tipo ]],Gastos[[#Headers],[Gastos]],Libro_Diario[[Categoria ]],Gastos[[#This Row],[Gastos]],Libro_Diario[Fecha],"&gt;="&amp;'Libro Mayor'!Z$9,Libro_Diario[Fecha],"&lt;="&amp;EOMONTH('Libro Mayor'!Z$9,0))</f>
        <v>0</v>
      </c>
      <c r="AA30" s="24">
        <f>SUMIFS(Libro_Diario[[Cantidad ]],Libro_Diario[[Tipo ]],Gastos[[#Headers],[Gastos]],Libro_Diario[[Categoria ]],Gastos[[#This Row],[Gastos]],Libro_Diario[Fecha],"&gt;="&amp;'Libro Mayor'!AA$9,Libro_Diario[Fecha],"&lt;="&amp;EOMONTH('Libro Mayor'!AA$9,0))</f>
        <v>0</v>
      </c>
      <c r="AB30" s="24">
        <f>SUMIFS(Libro_Diario[[Cantidad ]],Libro_Diario[[Tipo ]],Gastos[[#Headers],[Gastos]],Libro_Diario[[Categoria ]],Gastos[[#This Row],[Gastos]],Libro_Diario[Fecha],"&gt;="&amp;'Libro Mayor'!AB$9,Libro_Diario[Fecha],"&lt;="&amp;EOMONTH('Libro Mayor'!AB$9,0))</f>
        <v>0</v>
      </c>
      <c r="AC30" s="24">
        <f>SUMIFS(Libro_Diario[[Cantidad ]],Libro_Diario[[Tipo ]],Gastos[[#Headers],[Gastos]],Libro_Diario[[Categoria ]],Gastos[[#This Row],[Gastos]],Libro_Diario[Fecha],"&gt;="&amp;'Libro Mayor'!AC$9,Libro_Diario[Fecha],"&lt;="&amp;EOMONTH('Libro Mayor'!AC$9,0))</f>
        <v>0</v>
      </c>
      <c r="AD30" s="24">
        <f>SUMIFS(Libro_Diario[Detalles],Libro_Diario[[Categoria ]],Gastos[[#Headers],[Gastos]],Libro_Diario[[Cantidad ]],Gastos[[#This Row],[Gastos]],Libro_Diario[[Tipo ]],"&gt;="&amp;'Libro Mayor'!AD$9,Libro_Diario[[Tipo ]],"&lt;="&amp;EOMONTH('Libro Mayor'!AD$9,0))</f>
        <v>0</v>
      </c>
      <c r="AE30" s="25">
        <f t="shared" ref="AE30:AE31" si="34">SUM(S30:AD30)</f>
        <v>0</v>
      </c>
      <c r="AG30" s="24">
        <f>SUMIFS(Libro_Diario[[Cantidad ]],Libro_Diario[[Tipo ]],Gastos[[#Headers],[Gastos]],Libro_Diario[[Categoria ]],Gastos[[#This Row],[Gastos]],Libro_Diario[Fecha],"&gt;="&amp;'Libro Mayor'!AG$9,Libro_Diario[Fecha],"&lt;="&amp;EOMONTH('Libro Mayor'!AG$9,0))</f>
        <v>0</v>
      </c>
      <c r="AH30" s="24">
        <f>SUMIFS(Libro_Diario[[Cantidad ]],Libro_Diario[[Tipo ]],Gastos[[#Headers],[Gastos]],Libro_Diario[[Categoria ]],Gastos[[#This Row],[Gastos]],Libro_Diario[Fecha],"&gt;="&amp;'Libro Mayor'!AH$9,Libro_Diario[Fecha],"&lt;="&amp;EOMONTH('Libro Mayor'!AH$9,0))</f>
        <v>0</v>
      </c>
      <c r="AI30" s="24">
        <f>SUMIFS(Libro_Diario[[Cantidad ]],Libro_Diario[[Tipo ]],Gastos[[#Headers],[Gastos]],Libro_Diario[[Categoria ]],Gastos[[#This Row],[Gastos]],Libro_Diario[Fecha],"&gt;="&amp;'Libro Mayor'!AI$9,Libro_Diario[Fecha],"&lt;="&amp;EOMONTH('Libro Mayor'!AI$9,0))</f>
        <v>0</v>
      </c>
      <c r="AJ30" s="24">
        <f>SUMIFS(Libro_Diario[[Cantidad ]],Libro_Diario[[Tipo ]],Gastos[[#Headers],[Gastos]],Libro_Diario[[Categoria ]],Gastos[[#This Row],[Gastos]],Libro_Diario[Fecha],"&gt;="&amp;'Libro Mayor'!AJ$9,Libro_Diario[Fecha],"&lt;="&amp;EOMONTH('Libro Mayor'!AJ$9,0))</f>
        <v>0</v>
      </c>
      <c r="AK30" s="24">
        <f>SUMIFS(Libro_Diario[[Cantidad ]],Libro_Diario[[Tipo ]],Gastos[[#Headers],[Gastos]],Libro_Diario[[Categoria ]],Gastos[[#This Row],[Gastos]],Libro_Diario[Fecha],"&gt;="&amp;'Libro Mayor'!AK$9,Libro_Diario[Fecha],"&lt;="&amp;EOMONTH('Libro Mayor'!AK$9,0))</f>
        <v>0</v>
      </c>
      <c r="AL30" s="24">
        <f>SUMIFS(Libro_Diario[[Cantidad ]],Libro_Diario[[Tipo ]],Gastos[[#Headers],[Gastos]],Libro_Diario[[Categoria ]],Gastos[[#This Row],[Gastos]],Libro_Diario[Fecha],"&gt;="&amp;'Libro Mayor'!AL$9,Libro_Diario[Fecha],"&lt;="&amp;EOMONTH('Libro Mayor'!AL$9,0))</f>
        <v>0</v>
      </c>
      <c r="AM30" s="24">
        <f>SUMIFS(Libro_Diario[[Cantidad ]],Libro_Diario[[Tipo ]],Gastos[[#Headers],[Gastos]],Libro_Diario[[Categoria ]],Gastos[[#This Row],[Gastos]],Libro_Diario[Fecha],"&gt;="&amp;'Libro Mayor'!AM$9,Libro_Diario[Fecha],"&lt;="&amp;EOMONTH('Libro Mayor'!AM$9,0))</f>
        <v>0</v>
      </c>
      <c r="AN30" s="24">
        <f>SUMIFS(Libro_Diario[[Cantidad ]],Libro_Diario[[Tipo ]],Gastos[[#Headers],[Gastos]],Libro_Diario[[Categoria ]],Gastos[[#This Row],[Gastos]],Libro_Diario[Fecha],"&gt;="&amp;'Libro Mayor'!AN$9,Libro_Diario[Fecha],"&lt;="&amp;EOMONTH('Libro Mayor'!AN$9,0))</f>
        <v>0</v>
      </c>
      <c r="AO30" s="24">
        <f>SUMIFS(Libro_Diario[[Cantidad ]],Libro_Diario[[Tipo ]],Gastos[[#Headers],[Gastos]],Libro_Diario[[Categoria ]],Gastos[[#This Row],[Gastos]],Libro_Diario[Fecha],"&gt;="&amp;'Libro Mayor'!AO$9,Libro_Diario[Fecha],"&lt;="&amp;EOMONTH('Libro Mayor'!AO$9,0))</f>
        <v>0</v>
      </c>
      <c r="AP30" s="24">
        <f>SUMIFS(Libro_Diario[[Cantidad ]],Libro_Diario[[Tipo ]],Gastos[[#Headers],[Gastos]],Libro_Diario[[Categoria ]],Gastos[[#This Row],[Gastos]],Libro_Diario[Fecha],"&gt;="&amp;'Libro Mayor'!AP$9,Libro_Diario[Fecha],"&lt;="&amp;EOMONTH('Libro Mayor'!AP$9,0))</f>
        <v>0</v>
      </c>
      <c r="AQ30" s="24">
        <f>SUMIFS(Libro_Diario[[Cantidad ]],Libro_Diario[[Tipo ]],Gastos[[#Headers],[Gastos]],Libro_Diario[[Categoria ]],Gastos[[#This Row],[Gastos]],Libro_Diario[Fecha],"&gt;="&amp;'Libro Mayor'!AQ$9,Libro_Diario[Fecha],"&lt;="&amp;EOMONTH('Libro Mayor'!AQ$9,0))</f>
        <v>0</v>
      </c>
      <c r="AR30" s="24">
        <f>SUMIFS(Libro_Diario[Detalles],Libro_Diario[[Categoria ]],Gastos[[#Headers],[Gastos]],Libro_Diario[[Cantidad ]],Gastos[[#This Row],[Gastos]],Libro_Diario[[Tipo ]],"&gt;="&amp;'Libro Mayor'!AR$9,Libro_Diario[[Tipo ]],"&lt;="&amp;EOMONTH('Libro Mayor'!AR$9,0))</f>
        <v>0</v>
      </c>
      <c r="AS30" s="25">
        <f t="shared" ref="AS30:AS34" si="35">SUM(AG30:AR30)</f>
        <v>0</v>
      </c>
      <c r="AU30" s="24">
        <f>SUMIFS(Libro_Diario[[Cantidad ]],Libro_Diario[[Tipo ]],Gastos[[#Headers],[Gastos]],Libro_Diario[[Categoria ]],Gastos[[#This Row],[Gastos]],Libro_Diario[Fecha],"&gt;="&amp;'Libro Mayor'!AU$9,Libro_Diario[Fecha],"&lt;="&amp;EOMONTH('Libro Mayor'!AU$9,0))</f>
        <v>0</v>
      </c>
      <c r="AV30" s="24">
        <f>SUMIFS(Libro_Diario[[Cantidad ]],Libro_Diario[[Tipo ]],Gastos[[#Headers],[Gastos]],Libro_Diario[[Categoria ]],Gastos[[#This Row],[Gastos]],Libro_Diario[Fecha],"&gt;="&amp;'Libro Mayor'!AV$9,Libro_Diario[Fecha],"&lt;="&amp;EOMONTH('Libro Mayor'!AV$9,0))</f>
        <v>0</v>
      </c>
      <c r="AW30" s="24">
        <f>SUMIFS(Libro_Diario[[Cantidad ]],Libro_Diario[[Tipo ]],Gastos[[#Headers],[Gastos]],Libro_Diario[[Categoria ]],Gastos[[#This Row],[Gastos]],Libro_Diario[Fecha],"&gt;="&amp;'Libro Mayor'!AW$9,Libro_Diario[Fecha],"&lt;="&amp;EOMONTH('Libro Mayor'!AW$9,0))</f>
        <v>0</v>
      </c>
      <c r="AX30" s="24">
        <f>SUMIFS(Libro_Diario[[Cantidad ]],Libro_Diario[[Tipo ]],Gastos[[#Headers],[Gastos]],Libro_Diario[[Categoria ]],Gastos[[#This Row],[Gastos]],Libro_Diario[Fecha],"&gt;="&amp;'Libro Mayor'!AX$9,Libro_Diario[Fecha],"&lt;="&amp;EOMONTH('Libro Mayor'!AX$9,0))</f>
        <v>0</v>
      </c>
      <c r="AY30" s="24">
        <f>SUMIFS(Libro_Diario[[Cantidad ]],Libro_Diario[[Tipo ]],Gastos[[#Headers],[Gastos]],Libro_Diario[[Categoria ]],Gastos[[#This Row],[Gastos]],Libro_Diario[Fecha],"&gt;="&amp;'Libro Mayor'!AY$9,Libro_Diario[Fecha],"&lt;="&amp;EOMONTH('Libro Mayor'!AY$9,0))</f>
        <v>0</v>
      </c>
      <c r="AZ30" s="24">
        <f>SUMIFS(Libro_Diario[[Cantidad ]],Libro_Diario[[Tipo ]],Gastos[[#Headers],[Gastos]],Libro_Diario[[Categoria ]],Gastos[[#This Row],[Gastos]],Libro_Diario[Fecha],"&gt;="&amp;'Libro Mayor'!AZ$9,Libro_Diario[Fecha],"&lt;="&amp;EOMONTH('Libro Mayor'!AZ$9,0))</f>
        <v>0</v>
      </c>
      <c r="BA30" s="24">
        <f>SUMIFS(Libro_Diario[[Cantidad ]],Libro_Diario[[Tipo ]],Gastos[[#Headers],[Gastos]],Libro_Diario[[Categoria ]],Gastos[[#This Row],[Gastos]],Libro_Diario[Fecha],"&gt;="&amp;'Libro Mayor'!BA$9,Libro_Diario[Fecha],"&lt;="&amp;EOMONTH('Libro Mayor'!BA$9,0))</f>
        <v>0</v>
      </c>
      <c r="BB30" s="24">
        <f>SUMIFS(Libro_Diario[[Cantidad ]],Libro_Diario[[Tipo ]],Gastos[[#Headers],[Gastos]],Libro_Diario[[Categoria ]],Gastos[[#This Row],[Gastos]],Libro_Diario[Fecha],"&gt;="&amp;'Libro Mayor'!BB$9,Libro_Diario[Fecha],"&lt;="&amp;EOMONTH('Libro Mayor'!BB$9,0))</f>
        <v>0</v>
      </c>
      <c r="BC30" s="24">
        <f>SUMIFS(Libro_Diario[[Cantidad ]],Libro_Diario[[Tipo ]],Gastos[[#Headers],[Gastos]],Libro_Diario[[Categoria ]],Gastos[[#This Row],[Gastos]],Libro_Diario[Fecha],"&gt;="&amp;'Libro Mayor'!BC$9,Libro_Diario[Fecha],"&lt;="&amp;EOMONTH('Libro Mayor'!BC$9,0))</f>
        <v>0</v>
      </c>
      <c r="BD30" s="24">
        <f>SUMIFS(Libro_Diario[[Cantidad ]],Libro_Diario[[Tipo ]],Gastos[[#Headers],[Gastos]],Libro_Diario[[Categoria ]],Gastos[[#This Row],[Gastos]],Libro_Diario[Fecha],"&gt;="&amp;'Libro Mayor'!BD$9,Libro_Diario[Fecha],"&lt;="&amp;EOMONTH('Libro Mayor'!BD$9,0))</f>
        <v>0</v>
      </c>
      <c r="BE30" s="24">
        <f>SUMIFS(Libro_Diario[[Cantidad ]],Libro_Diario[[Tipo ]],Gastos[[#Headers],[Gastos]],Libro_Diario[[Categoria ]],Gastos[[#This Row],[Gastos]],Libro_Diario[Fecha],"&gt;="&amp;'Libro Mayor'!BE$9,Libro_Diario[Fecha],"&lt;="&amp;EOMONTH('Libro Mayor'!BE$9,0))</f>
        <v>0</v>
      </c>
      <c r="BF30" s="24">
        <f>SUMIFS(Libro_Diario[Detalles],Libro_Diario[[Categoria ]],Gastos[[#Headers],[Gastos]],Libro_Diario[[Cantidad ]],Gastos[[#This Row],[Gastos]],Libro_Diario[[Tipo ]],"&gt;="&amp;'Libro Mayor'!BF$9,Libro_Diario[[Tipo ]],"&lt;="&amp;EOMONTH('Libro Mayor'!BF$9,0))</f>
        <v>0</v>
      </c>
      <c r="BG30" s="25">
        <f t="shared" ref="BG30:BG34" si="36">SUM(AU30:BF30)</f>
        <v>0</v>
      </c>
      <c r="BI30" s="24">
        <f>SUMIFS(Libro_Diario[[Cantidad ]],Libro_Diario[[Tipo ]],Gastos[[#Headers],[Gastos]],Libro_Diario[[Categoria ]],Gastos[[#This Row],[Gastos]],Libro_Diario[Fecha],"&gt;="&amp;'Libro Mayor'!BI$9,Libro_Diario[Fecha],"&lt;="&amp;EOMONTH('Libro Mayor'!BI$9,0))</f>
        <v>0</v>
      </c>
      <c r="BJ30" s="24">
        <f>SUMIFS(Libro_Diario[[Cantidad ]],Libro_Diario[[Tipo ]],Gastos[[#Headers],[Gastos]],Libro_Diario[[Categoria ]],Gastos[[#This Row],[Gastos]],Libro_Diario[Fecha],"&gt;="&amp;'Libro Mayor'!BJ$9,Libro_Diario[Fecha],"&lt;="&amp;EOMONTH('Libro Mayor'!BJ$9,0))</f>
        <v>0</v>
      </c>
      <c r="BK30" s="24">
        <f>SUMIFS(Libro_Diario[[Cantidad ]],Libro_Diario[[Tipo ]],Gastos[[#Headers],[Gastos]],Libro_Diario[[Categoria ]],Gastos[[#This Row],[Gastos]],Libro_Diario[Fecha],"&gt;="&amp;'Libro Mayor'!BK$9,Libro_Diario[Fecha],"&lt;="&amp;EOMONTH('Libro Mayor'!BK$9,0))</f>
        <v>0</v>
      </c>
      <c r="BL30" s="24">
        <f>SUMIFS(Libro_Diario[[Cantidad ]],Libro_Diario[[Tipo ]],Gastos[[#Headers],[Gastos]],Libro_Diario[[Categoria ]],Gastos[[#This Row],[Gastos]],Libro_Diario[Fecha],"&gt;="&amp;'Libro Mayor'!BL$9,Libro_Diario[Fecha],"&lt;="&amp;EOMONTH('Libro Mayor'!BL$9,0))</f>
        <v>0</v>
      </c>
      <c r="BM30" s="24">
        <f>SUMIFS(Libro_Diario[[Cantidad ]],Libro_Diario[[Tipo ]],Gastos[[#Headers],[Gastos]],Libro_Diario[[Categoria ]],Gastos[[#This Row],[Gastos]],Libro_Diario[Fecha],"&gt;="&amp;'Libro Mayor'!BM$9,Libro_Diario[Fecha],"&lt;="&amp;EOMONTH('Libro Mayor'!BM$9,0))</f>
        <v>0</v>
      </c>
      <c r="BN30" s="24">
        <f>SUMIFS(Libro_Diario[[Cantidad ]],Libro_Diario[[Tipo ]],Gastos[[#Headers],[Gastos]],Libro_Diario[[Categoria ]],Gastos[[#This Row],[Gastos]],Libro_Diario[Fecha],"&gt;="&amp;'Libro Mayor'!BN$9,Libro_Diario[Fecha],"&lt;="&amp;EOMONTH('Libro Mayor'!BN$9,0))</f>
        <v>0</v>
      </c>
      <c r="BO30" s="24">
        <f>SUMIFS(Libro_Diario[[Cantidad ]],Libro_Diario[[Tipo ]],Gastos[[#Headers],[Gastos]],Libro_Diario[[Categoria ]],Gastos[[#This Row],[Gastos]],Libro_Diario[Fecha],"&gt;="&amp;'Libro Mayor'!BO$9,Libro_Diario[Fecha],"&lt;="&amp;EOMONTH('Libro Mayor'!BO$9,0))</f>
        <v>0</v>
      </c>
      <c r="BP30" s="24">
        <f>SUMIFS(Libro_Diario[[Cantidad ]],Libro_Diario[[Tipo ]],Gastos[[#Headers],[Gastos]],Libro_Diario[[Categoria ]],Gastos[[#This Row],[Gastos]],Libro_Diario[Fecha],"&gt;="&amp;'Libro Mayor'!BP$9,Libro_Diario[Fecha],"&lt;="&amp;EOMONTH('Libro Mayor'!BP$9,0))</f>
        <v>0</v>
      </c>
      <c r="BQ30" s="24">
        <f>SUMIFS(Libro_Diario[[Cantidad ]],Libro_Diario[[Tipo ]],Gastos[[#Headers],[Gastos]],Libro_Diario[[Categoria ]],Gastos[[#This Row],[Gastos]],Libro_Diario[Fecha],"&gt;="&amp;'Libro Mayor'!BQ$9,Libro_Diario[Fecha],"&lt;="&amp;EOMONTH('Libro Mayor'!BQ$9,0))</f>
        <v>0</v>
      </c>
      <c r="BR30" s="24">
        <f>SUMIFS(Libro_Diario[[Cantidad ]],Libro_Diario[[Tipo ]],Gastos[[#Headers],[Gastos]],Libro_Diario[[Categoria ]],Gastos[[#This Row],[Gastos]],Libro_Diario[Fecha],"&gt;="&amp;'Libro Mayor'!BR$9,Libro_Diario[Fecha],"&lt;="&amp;EOMONTH('Libro Mayor'!BR$9,0))</f>
        <v>0</v>
      </c>
      <c r="BS30" s="24">
        <f>SUMIFS(Libro_Diario[[Cantidad ]],Libro_Diario[[Tipo ]],Gastos[[#Headers],[Gastos]],Libro_Diario[[Categoria ]],Gastos[[#This Row],[Gastos]],Libro_Diario[Fecha],"&gt;="&amp;'Libro Mayor'!BS$9,Libro_Diario[Fecha],"&lt;="&amp;EOMONTH('Libro Mayor'!BS$9,0))</f>
        <v>0</v>
      </c>
      <c r="BT30" s="24">
        <f>SUMIFS(Libro_Diario[Detalles],Libro_Diario[[Categoria ]],Gastos[[#Headers],[Gastos]],Libro_Diario[[Cantidad ]],Gastos[[#This Row],[Gastos]],Libro_Diario[[Tipo ]],"&gt;="&amp;'Libro Mayor'!BT$9,Libro_Diario[[Tipo ]],"&lt;="&amp;EOMONTH('Libro Mayor'!BT$9,0))</f>
        <v>0</v>
      </c>
      <c r="BU30" s="25">
        <f t="shared" ref="BU30:BU34" si="37">SUM(BI30:BT30)</f>
        <v>0</v>
      </c>
      <c r="BW30" s="24">
        <f>SUMIFS(Libro_Diario[[Cantidad ]],Libro_Diario[[Tipo ]],Gastos[[#Headers],[Gastos]],Libro_Diario[[Categoria ]],Gastos[[#This Row],[Gastos]],Libro_Diario[Fecha],"&gt;="&amp;'Libro Mayor'!BW$9,Libro_Diario[Fecha],"&lt;="&amp;EOMONTH('Libro Mayor'!BW$9,0))</f>
        <v>0</v>
      </c>
      <c r="BX30" s="24">
        <f>SUMIFS(Libro_Diario[[Cantidad ]],Libro_Diario[[Tipo ]],Gastos[[#Headers],[Gastos]],Libro_Diario[[Categoria ]],Gastos[[#This Row],[Gastos]],Libro_Diario[Fecha],"&gt;="&amp;'Libro Mayor'!BX$9,Libro_Diario[Fecha],"&lt;="&amp;EOMONTH('Libro Mayor'!BX$9,0))</f>
        <v>0</v>
      </c>
      <c r="BY30" s="24">
        <f>SUMIFS(Libro_Diario[[Cantidad ]],Libro_Diario[[Tipo ]],Gastos[[#Headers],[Gastos]],Libro_Diario[[Categoria ]],Gastos[[#This Row],[Gastos]],Libro_Diario[Fecha],"&gt;="&amp;'Libro Mayor'!BY$9,Libro_Diario[Fecha],"&lt;="&amp;EOMONTH('Libro Mayor'!BY$9,0))</f>
        <v>0</v>
      </c>
      <c r="BZ30" s="24">
        <f>SUMIFS(Libro_Diario[[Cantidad ]],Libro_Diario[[Tipo ]],Gastos[[#Headers],[Gastos]],Libro_Diario[[Categoria ]],Gastos[[#This Row],[Gastos]],Libro_Diario[Fecha],"&gt;="&amp;'Libro Mayor'!BZ$9,Libro_Diario[Fecha],"&lt;="&amp;EOMONTH('Libro Mayor'!BZ$9,0))</f>
        <v>0</v>
      </c>
      <c r="CA30" s="24">
        <f>SUMIFS(Libro_Diario[[Cantidad ]],Libro_Diario[[Tipo ]],Gastos[[#Headers],[Gastos]],Libro_Diario[[Categoria ]],Gastos[[#This Row],[Gastos]],Libro_Diario[Fecha],"&gt;="&amp;'Libro Mayor'!CA$9,Libro_Diario[Fecha],"&lt;="&amp;EOMONTH('Libro Mayor'!CA$9,0))</f>
        <v>0</v>
      </c>
      <c r="CB30" s="24">
        <f>SUMIFS(Libro_Diario[[Cantidad ]],Libro_Diario[[Tipo ]],Gastos[[#Headers],[Gastos]],Libro_Diario[[Categoria ]],Gastos[[#This Row],[Gastos]],Libro_Diario[Fecha],"&gt;="&amp;'Libro Mayor'!CB$9,Libro_Diario[Fecha],"&lt;="&amp;EOMONTH('Libro Mayor'!CB$9,0))</f>
        <v>0</v>
      </c>
      <c r="CC30" s="24">
        <f>SUMIFS(Libro_Diario[[Cantidad ]],Libro_Diario[[Tipo ]],Gastos[[#Headers],[Gastos]],Libro_Diario[[Categoria ]],Gastos[[#This Row],[Gastos]],Libro_Diario[Fecha],"&gt;="&amp;'Libro Mayor'!CC$9,Libro_Diario[Fecha],"&lt;="&amp;EOMONTH('Libro Mayor'!CC$9,0))</f>
        <v>0</v>
      </c>
      <c r="CD30" s="24">
        <f>SUMIFS(Libro_Diario[[Cantidad ]],Libro_Diario[[Tipo ]],Gastos[[#Headers],[Gastos]],Libro_Diario[[Categoria ]],Gastos[[#This Row],[Gastos]],Libro_Diario[Fecha],"&gt;="&amp;'Libro Mayor'!CD$9,Libro_Diario[Fecha],"&lt;="&amp;EOMONTH('Libro Mayor'!CD$9,0))</f>
        <v>0</v>
      </c>
      <c r="CE30" s="24">
        <f>SUMIFS(Libro_Diario[[Cantidad ]],Libro_Diario[[Tipo ]],Gastos[[#Headers],[Gastos]],Libro_Diario[[Categoria ]],Gastos[[#This Row],[Gastos]],Libro_Diario[Fecha],"&gt;="&amp;'Libro Mayor'!CE$9,Libro_Diario[Fecha],"&lt;="&amp;EOMONTH('Libro Mayor'!CE$9,0))</f>
        <v>0</v>
      </c>
      <c r="CF30" s="24">
        <f>SUMIFS(Libro_Diario[[Cantidad ]],Libro_Diario[[Tipo ]],Gastos[[#Headers],[Gastos]],Libro_Diario[[Categoria ]],Gastos[[#This Row],[Gastos]],Libro_Diario[Fecha],"&gt;="&amp;'Libro Mayor'!CF$9,Libro_Diario[Fecha],"&lt;="&amp;EOMONTH('Libro Mayor'!CF$9,0))</f>
        <v>0</v>
      </c>
      <c r="CG30" s="24">
        <f>SUMIFS(Libro_Diario[[Cantidad ]],Libro_Diario[[Tipo ]],Gastos[[#Headers],[Gastos]],Libro_Diario[[Categoria ]],Gastos[[#This Row],[Gastos]],Libro_Diario[Fecha],"&gt;="&amp;'Libro Mayor'!CG$9,Libro_Diario[Fecha],"&lt;="&amp;EOMONTH('Libro Mayor'!CG$9,0))</f>
        <v>0</v>
      </c>
      <c r="CH30" s="24">
        <f>SUMIFS(Libro_Diario[Detalles],Libro_Diario[[Categoria ]],Gastos[[#Headers],[Gastos]],Libro_Diario[[Cantidad ]],Gastos[[#This Row],[Gastos]],Libro_Diario[[Tipo ]],"&gt;="&amp;'Libro Mayor'!CH$9,Libro_Diario[[Tipo ]],"&lt;="&amp;EOMONTH('Libro Mayor'!CH$9,0))</f>
        <v>0</v>
      </c>
      <c r="CI30" s="25">
        <f t="shared" ref="CI30:CI34" si="38">SUM(BW30:CH30)</f>
        <v>0</v>
      </c>
      <c r="CK30" s="24">
        <f>SUMIFS(Libro_Diario[[Cantidad ]],Libro_Diario[[Tipo ]],Gastos[[#Headers],[Gastos]],Libro_Diario[[Categoria ]],Gastos[[#This Row],[Gastos]],Libro_Diario[Fecha],"&gt;="&amp;'Libro Mayor'!CK$9,Libro_Diario[Fecha],"&lt;="&amp;EOMONTH('Libro Mayor'!CK$9,0))</f>
        <v>0</v>
      </c>
      <c r="CL30" s="24">
        <f>SUMIFS(Libro_Diario[[Cantidad ]],Libro_Diario[[Tipo ]],Gastos[[#Headers],[Gastos]],Libro_Diario[[Categoria ]],Gastos[[#This Row],[Gastos]],Libro_Diario[Fecha],"&gt;="&amp;'Libro Mayor'!CL$9,Libro_Diario[Fecha],"&lt;="&amp;EOMONTH('Libro Mayor'!CL$9,0))</f>
        <v>0</v>
      </c>
      <c r="CM30" s="24">
        <f>SUMIFS(Libro_Diario[[Cantidad ]],Libro_Diario[[Tipo ]],Gastos[[#Headers],[Gastos]],Libro_Diario[[Categoria ]],Gastos[[#This Row],[Gastos]],Libro_Diario[Fecha],"&gt;="&amp;'Libro Mayor'!CM$9,Libro_Diario[Fecha],"&lt;="&amp;EOMONTH('Libro Mayor'!CM$9,0))</f>
        <v>0</v>
      </c>
      <c r="CN30" s="24">
        <f>SUMIFS(Libro_Diario[[Cantidad ]],Libro_Diario[[Tipo ]],Gastos[[#Headers],[Gastos]],Libro_Diario[[Categoria ]],Gastos[[#This Row],[Gastos]],Libro_Diario[Fecha],"&gt;="&amp;'Libro Mayor'!CN$9,Libro_Diario[Fecha],"&lt;="&amp;EOMONTH('Libro Mayor'!CN$9,0))</f>
        <v>0</v>
      </c>
      <c r="CO30" s="24">
        <f>SUMIFS(Libro_Diario[[Cantidad ]],Libro_Diario[[Tipo ]],Gastos[[#Headers],[Gastos]],Libro_Diario[[Categoria ]],Gastos[[#This Row],[Gastos]],Libro_Diario[Fecha],"&gt;="&amp;'Libro Mayor'!CO$9,Libro_Diario[Fecha],"&lt;="&amp;EOMONTH('Libro Mayor'!CO$9,0))</f>
        <v>0</v>
      </c>
      <c r="CP30" s="24">
        <f>SUMIFS(Libro_Diario[[Cantidad ]],Libro_Diario[[Tipo ]],Gastos[[#Headers],[Gastos]],Libro_Diario[[Categoria ]],Gastos[[#This Row],[Gastos]],Libro_Diario[Fecha],"&gt;="&amp;'Libro Mayor'!CP$9,Libro_Diario[Fecha],"&lt;="&amp;EOMONTH('Libro Mayor'!CP$9,0))</f>
        <v>0</v>
      </c>
      <c r="CQ30" s="24">
        <f>SUMIFS(Libro_Diario[[Cantidad ]],Libro_Diario[[Tipo ]],Gastos[[#Headers],[Gastos]],Libro_Diario[[Categoria ]],Gastos[[#This Row],[Gastos]],Libro_Diario[Fecha],"&gt;="&amp;'Libro Mayor'!CQ$9,Libro_Diario[Fecha],"&lt;="&amp;EOMONTH('Libro Mayor'!CQ$9,0))</f>
        <v>0</v>
      </c>
      <c r="CR30" s="24">
        <f>SUMIFS(Libro_Diario[[Cantidad ]],Libro_Diario[[Tipo ]],Gastos[[#Headers],[Gastos]],Libro_Diario[[Categoria ]],Gastos[[#This Row],[Gastos]],Libro_Diario[Fecha],"&gt;="&amp;'Libro Mayor'!CR$9,Libro_Diario[Fecha],"&lt;="&amp;EOMONTH('Libro Mayor'!CR$9,0))</f>
        <v>0</v>
      </c>
      <c r="CS30" s="24">
        <f>SUMIFS(Libro_Diario[[Cantidad ]],Libro_Diario[[Tipo ]],Gastos[[#Headers],[Gastos]],Libro_Diario[[Categoria ]],Gastos[[#This Row],[Gastos]],Libro_Diario[Fecha],"&gt;="&amp;'Libro Mayor'!CS$9,Libro_Diario[Fecha],"&lt;="&amp;EOMONTH('Libro Mayor'!CS$9,0))</f>
        <v>0</v>
      </c>
      <c r="CT30" s="24">
        <f>SUMIFS(Libro_Diario[[Cantidad ]],Libro_Diario[[Tipo ]],Gastos[[#Headers],[Gastos]],Libro_Diario[[Categoria ]],Gastos[[#This Row],[Gastos]],Libro_Diario[Fecha],"&gt;="&amp;'Libro Mayor'!CT$9,Libro_Diario[Fecha],"&lt;="&amp;EOMONTH('Libro Mayor'!CT$9,0))</f>
        <v>0</v>
      </c>
      <c r="CU30" s="24">
        <f>SUMIFS(Libro_Diario[[Cantidad ]],Libro_Diario[[Tipo ]],Gastos[[#Headers],[Gastos]],Libro_Diario[[Categoria ]],Gastos[[#This Row],[Gastos]],Libro_Diario[Fecha],"&gt;="&amp;'Libro Mayor'!CU$9,Libro_Diario[Fecha],"&lt;="&amp;EOMONTH('Libro Mayor'!CU$9,0))</f>
        <v>0</v>
      </c>
      <c r="CV30" s="24">
        <f>SUMIFS(Libro_Diario[Detalles],Libro_Diario[[Categoria ]],Gastos[[#Headers],[Gastos]],Libro_Diario[[Cantidad ]],Gastos[[#This Row],[Gastos]],Libro_Diario[[Tipo ]],"&gt;="&amp;'Libro Mayor'!CV$9,Libro_Diario[[Tipo ]],"&lt;="&amp;EOMONTH('Libro Mayor'!CV$9,0))</f>
        <v>0</v>
      </c>
      <c r="CW30" s="25">
        <f t="shared" ref="CW30:CW34" si="39">SUM(CK30:CV30)</f>
        <v>0</v>
      </c>
      <c r="CY30" s="24">
        <f>SUMIFS(Libro_Diario[[Cantidad ]],Libro_Diario[[Tipo ]],Gastos[[#Headers],[Gastos]],Libro_Diario[[Categoria ]],Gastos[[#This Row],[Gastos]],Libro_Diario[Fecha],"&gt;="&amp;'Libro Mayor'!CY$9,Libro_Diario[Fecha],"&lt;="&amp;EOMONTH('Libro Mayor'!CY$9,0))</f>
        <v>0</v>
      </c>
      <c r="CZ30" s="24">
        <f>SUMIFS(Libro_Diario[[Cantidad ]],Libro_Diario[[Tipo ]],Gastos[[#Headers],[Gastos]],Libro_Diario[[Categoria ]],Gastos[[#This Row],[Gastos]],Libro_Diario[Fecha],"&gt;="&amp;'Libro Mayor'!CZ$9,Libro_Diario[Fecha],"&lt;="&amp;EOMONTH('Libro Mayor'!CZ$9,0))</f>
        <v>0</v>
      </c>
      <c r="DA30" s="24">
        <f>SUMIFS(Libro_Diario[[Cantidad ]],Libro_Diario[[Tipo ]],Gastos[[#Headers],[Gastos]],Libro_Diario[[Categoria ]],Gastos[[#This Row],[Gastos]],Libro_Diario[Fecha],"&gt;="&amp;'Libro Mayor'!DA$9,Libro_Diario[Fecha],"&lt;="&amp;EOMONTH('Libro Mayor'!DA$9,0))</f>
        <v>0</v>
      </c>
      <c r="DB30" s="24">
        <f>SUMIFS(Libro_Diario[[Cantidad ]],Libro_Diario[[Tipo ]],Gastos[[#Headers],[Gastos]],Libro_Diario[[Categoria ]],Gastos[[#This Row],[Gastos]],Libro_Diario[Fecha],"&gt;="&amp;'Libro Mayor'!DB$9,Libro_Diario[Fecha],"&lt;="&amp;EOMONTH('Libro Mayor'!DB$9,0))</f>
        <v>0</v>
      </c>
      <c r="DC30" s="24">
        <f>SUMIFS(Libro_Diario[[Cantidad ]],Libro_Diario[[Tipo ]],Gastos[[#Headers],[Gastos]],Libro_Diario[[Categoria ]],Gastos[[#This Row],[Gastos]],Libro_Diario[Fecha],"&gt;="&amp;'Libro Mayor'!DC$9,Libro_Diario[Fecha],"&lt;="&amp;EOMONTH('Libro Mayor'!DC$9,0))</f>
        <v>0</v>
      </c>
      <c r="DD30" s="24">
        <f>SUMIFS(Libro_Diario[[Cantidad ]],Libro_Diario[[Tipo ]],Gastos[[#Headers],[Gastos]],Libro_Diario[[Categoria ]],Gastos[[#This Row],[Gastos]],Libro_Diario[Fecha],"&gt;="&amp;'Libro Mayor'!DD$9,Libro_Diario[Fecha],"&lt;="&amp;EOMONTH('Libro Mayor'!DD$9,0))</f>
        <v>0</v>
      </c>
      <c r="DE30" s="24">
        <f>SUMIFS(Libro_Diario[[Cantidad ]],Libro_Diario[[Tipo ]],Gastos[[#Headers],[Gastos]],Libro_Diario[[Categoria ]],Gastos[[#This Row],[Gastos]],Libro_Diario[Fecha],"&gt;="&amp;'Libro Mayor'!DE$9,Libro_Diario[Fecha],"&lt;="&amp;EOMONTH('Libro Mayor'!DE$9,0))</f>
        <v>0</v>
      </c>
      <c r="DF30" s="24">
        <f>SUMIFS(Libro_Diario[[Cantidad ]],Libro_Diario[[Tipo ]],Gastos[[#Headers],[Gastos]],Libro_Diario[[Categoria ]],Gastos[[#This Row],[Gastos]],Libro_Diario[Fecha],"&gt;="&amp;'Libro Mayor'!DF$9,Libro_Diario[Fecha],"&lt;="&amp;EOMONTH('Libro Mayor'!DF$9,0))</f>
        <v>0</v>
      </c>
      <c r="DG30" s="24">
        <f>SUMIFS(Libro_Diario[[Cantidad ]],Libro_Diario[[Tipo ]],Gastos[[#Headers],[Gastos]],Libro_Diario[[Categoria ]],Gastos[[#This Row],[Gastos]],Libro_Diario[Fecha],"&gt;="&amp;'Libro Mayor'!DG$9,Libro_Diario[Fecha],"&lt;="&amp;EOMONTH('Libro Mayor'!DG$9,0))</f>
        <v>0</v>
      </c>
      <c r="DH30" s="24">
        <f>SUMIFS(Libro_Diario[[Cantidad ]],Libro_Diario[[Tipo ]],Gastos[[#Headers],[Gastos]],Libro_Diario[[Categoria ]],Gastos[[#This Row],[Gastos]],Libro_Diario[Fecha],"&gt;="&amp;'Libro Mayor'!DH$9,Libro_Diario[Fecha],"&lt;="&amp;EOMONTH('Libro Mayor'!DH$9,0))</f>
        <v>0</v>
      </c>
      <c r="DI30" s="24">
        <f>SUMIFS(Libro_Diario[[Cantidad ]],Libro_Diario[[Tipo ]],Gastos[[#Headers],[Gastos]],Libro_Diario[[Categoria ]],Gastos[[#This Row],[Gastos]],Libro_Diario[Fecha],"&gt;="&amp;'Libro Mayor'!DI$9,Libro_Diario[Fecha],"&lt;="&amp;EOMONTH('Libro Mayor'!DI$9,0))</f>
        <v>0</v>
      </c>
      <c r="DJ30" s="24">
        <f>SUMIFS(Libro_Diario[Detalles],Libro_Diario[[Categoria ]],Gastos[[#Headers],[Gastos]],Libro_Diario[[Cantidad ]],Gastos[[#This Row],[Gastos]],Libro_Diario[[Tipo ]],"&gt;="&amp;'Libro Mayor'!DJ$9,Libro_Diario[[Tipo ]],"&lt;="&amp;EOMONTH('Libro Mayor'!DJ$9,0))</f>
        <v>0</v>
      </c>
      <c r="DK30" s="25">
        <f t="shared" ref="DK30:DK34" si="40">SUM(CY30:DJ30)</f>
        <v>0</v>
      </c>
      <c r="DM30" s="24">
        <f>SUMIFS(Libro_Diario[[Cantidad ]],Libro_Diario[[Tipo ]],Gastos[[#Headers],[Gastos]],Libro_Diario[[Categoria ]],Gastos[[#This Row],[Gastos]],Libro_Diario[Fecha],"&gt;="&amp;'Libro Mayor'!DM$9,Libro_Diario[Fecha],"&lt;="&amp;EOMONTH('Libro Mayor'!DM$9,0))</f>
        <v>0</v>
      </c>
      <c r="DN30" s="24">
        <f>SUMIFS(Libro_Diario[[Cantidad ]],Libro_Diario[[Tipo ]],Gastos[[#Headers],[Gastos]],Libro_Diario[[Categoria ]],Gastos[[#This Row],[Gastos]],Libro_Diario[Fecha],"&gt;="&amp;'Libro Mayor'!DN$9,Libro_Diario[Fecha],"&lt;="&amp;EOMONTH('Libro Mayor'!DN$9,0))</f>
        <v>0</v>
      </c>
      <c r="DO30" s="24">
        <f>SUMIFS(Libro_Diario[[Cantidad ]],Libro_Diario[[Tipo ]],Gastos[[#Headers],[Gastos]],Libro_Diario[[Categoria ]],Gastos[[#This Row],[Gastos]],Libro_Diario[Fecha],"&gt;="&amp;'Libro Mayor'!DO$9,Libro_Diario[Fecha],"&lt;="&amp;EOMONTH('Libro Mayor'!DO$9,0))</f>
        <v>0</v>
      </c>
      <c r="DP30" s="24">
        <f>SUMIFS(Libro_Diario[[Cantidad ]],Libro_Diario[[Tipo ]],Gastos[[#Headers],[Gastos]],Libro_Diario[[Categoria ]],Gastos[[#This Row],[Gastos]],Libro_Diario[Fecha],"&gt;="&amp;'Libro Mayor'!DP$9,Libro_Diario[Fecha],"&lt;="&amp;EOMONTH('Libro Mayor'!DP$9,0))</f>
        <v>0</v>
      </c>
      <c r="DQ30" s="24">
        <f>SUMIFS(Libro_Diario[[Cantidad ]],Libro_Diario[[Tipo ]],Gastos[[#Headers],[Gastos]],Libro_Diario[[Categoria ]],Gastos[[#This Row],[Gastos]],Libro_Diario[Fecha],"&gt;="&amp;'Libro Mayor'!DQ$9,Libro_Diario[Fecha],"&lt;="&amp;EOMONTH('Libro Mayor'!DQ$9,0))</f>
        <v>0</v>
      </c>
      <c r="DR30" s="24">
        <f>SUMIFS(Libro_Diario[[Cantidad ]],Libro_Diario[[Tipo ]],Gastos[[#Headers],[Gastos]],Libro_Diario[[Categoria ]],Gastos[[#This Row],[Gastos]],Libro_Diario[Fecha],"&gt;="&amp;'Libro Mayor'!DR$9,Libro_Diario[Fecha],"&lt;="&amp;EOMONTH('Libro Mayor'!DR$9,0))</f>
        <v>0</v>
      </c>
      <c r="DS30" s="24">
        <f>SUMIFS(Libro_Diario[[Cantidad ]],Libro_Diario[[Tipo ]],Gastos[[#Headers],[Gastos]],Libro_Diario[[Categoria ]],Gastos[[#This Row],[Gastos]],Libro_Diario[Fecha],"&gt;="&amp;'Libro Mayor'!DS$9,Libro_Diario[Fecha],"&lt;="&amp;EOMONTH('Libro Mayor'!DS$9,0))</f>
        <v>0</v>
      </c>
      <c r="DT30" s="24">
        <f>SUMIFS(Libro_Diario[[Cantidad ]],Libro_Diario[[Tipo ]],Gastos[[#Headers],[Gastos]],Libro_Diario[[Categoria ]],Gastos[[#This Row],[Gastos]],Libro_Diario[Fecha],"&gt;="&amp;'Libro Mayor'!DT$9,Libro_Diario[Fecha],"&lt;="&amp;EOMONTH('Libro Mayor'!DT$9,0))</f>
        <v>0</v>
      </c>
      <c r="DU30" s="24">
        <f>SUMIFS(Libro_Diario[[Cantidad ]],Libro_Diario[[Tipo ]],Gastos[[#Headers],[Gastos]],Libro_Diario[[Categoria ]],Gastos[[#This Row],[Gastos]],Libro_Diario[Fecha],"&gt;="&amp;'Libro Mayor'!DU$9,Libro_Diario[Fecha],"&lt;="&amp;EOMONTH('Libro Mayor'!DU$9,0))</f>
        <v>0</v>
      </c>
      <c r="DV30" s="24">
        <f>SUMIFS(Libro_Diario[[Cantidad ]],Libro_Diario[[Tipo ]],Gastos[[#Headers],[Gastos]],Libro_Diario[[Categoria ]],Gastos[[#This Row],[Gastos]],Libro_Diario[Fecha],"&gt;="&amp;'Libro Mayor'!DV$9,Libro_Diario[Fecha],"&lt;="&amp;EOMONTH('Libro Mayor'!DV$9,0))</f>
        <v>0</v>
      </c>
      <c r="DW30" s="24">
        <f>SUMIFS(Libro_Diario[[Cantidad ]],Libro_Diario[[Tipo ]],Gastos[[#Headers],[Gastos]],Libro_Diario[[Categoria ]],Gastos[[#This Row],[Gastos]],Libro_Diario[Fecha],"&gt;="&amp;'Libro Mayor'!DW$9,Libro_Diario[Fecha],"&lt;="&amp;EOMONTH('Libro Mayor'!DW$9,0))</f>
        <v>0</v>
      </c>
      <c r="DX30" s="24">
        <f>SUMIFS(Libro_Diario[Detalles],Libro_Diario[[Categoria ]],Gastos[[#Headers],[Gastos]],Libro_Diario[[Cantidad ]],Gastos[[#This Row],[Gastos]],Libro_Diario[[Tipo ]],"&gt;="&amp;'Libro Mayor'!DX$9,Libro_Diario[[Tipo ]],"&lt;="&amp;EOMONTH('Libro Mayor'!DX$9,0))</f>
        <v>0</v>
      </c>
      <c r="DY30" s="25">
        <f t="shared" ref="DY30:DY34" si="41">SUM(DM30:DX30)</f>
        <v>0</v>
      </c>
      <c r="EA30" s="24">
        <f>SUMIFS(Libro_Diario[[Cantidad ]],Libro_Diario[[Tipo ]],Gastos[[#Headers],[Gastos]],Libro_Diario[[Categoria ]],Gastos[[#This Row],[Gastos]],Libro_Diario[Fecha],"&gt;="&amp;'Libro Mayor'!EA$9,Libro_Diario[Fecha],"&lt;="&amp;EOMONTH('Libro Mayor'!EA$9,0))</f>
        <v>0</v>
      </c>
      <c r="EB30" s="24">
        <f>SUMIFS(Libro_Diario[[Cantidad ]],Libro_Diario[[Tipo ]],Gastos[[#Headers],[Gastos]],Libro_Diario[[Categoria ]],Gastos[[#This Row],[Gastos]],Libro_Diario[Fecha],"&gt;="&amp;'Libro Mayor'!EB$9,Libro_Diario[Fecha],"&lt;="&amp;EOMONTH('Libro Mayor'!EB$9,0))</f>
        <v>0</v>
      </c>
      <c r="EC30" s="24">
        <f>SUMIFS(Libro_Diario[[Cantidad ]],Libro_Diario[[Tipo ]],Gastos[[#Headers],[Gastos]],Libro_Diario[[Categoria ]],Gastos[[#This Row],[Gastos]],Libro_Diario[Fecha],"&gt;="&amp;'Libro Mayor'!EC$9,Libro_Diario[Fecha],"&lt;="&amp;EOMONTH('Libro Mayor'!EC$9,0))</f>
        <v>0</v>
      </c>
      <c r="ED30" s="24">
        <f>SUMIFS(Libro_Diario[[Cantidad ]],Libro_Diario[[Tipo ]],Gastos[[#Headers],[Gastos]],Libro_Diario[[Categoria ]],Gastos[[#This Row],[Gastos]],Libro_Diario[Fecha],"&gt;="&amp;'Libro Mayor'!ED$9,Libro_Diario[Fecha],"&lt;="&amp;EOMONTH('Libro Mayor'!ED$9,0))</f>
        <v>0</v>
      </c>
      <c r="EE30" s="24">
        <f>SUMIFS(Libro_Diario[[Cantidad ]],Libro_Diario[[Tipo ]],Gastos[[#Headers],[Gastos]],Libro_Diario[[Categoria ]],Gastos[[#This Row],[Gastos]],Libro_Diario[Fecha],"&gt;="&amp;'Libro Mayor'!EE$9,Libro_Diario[Fecha],"&lt;="&amp;EOMONTH('Libro Mayor'!EE$9,0))</f>
        <v>0</v>
      </c>
      <c r="EF30" s="24">
        <f>SUMIFS(Libro_Diario[[Cantidad ]],Libro_Diario[[Tipo ]],Gastos[[#Headers],[Gastos]],Libro_Diario[[Categoria ]],Gastos[[#This Row],[Gastos]],Libro_Diario[Fecha],"&gt;="&amp;'Libro Mayor'!EF$9,Libro_Diario[Fecha],"&lt;="&amp;EOMONTH('Libro Mayor'!EF$9,0))</f>
        <v>0</v>
      </c>
      <c r="EG30" s="24">
        <f>SUMIFS(Libro_Diario[[Cantidad ]],Libro_Diario[[Tipo ]],Gastos[[#Headers],[Gastos]],Libro_Diario[[Categoria ]],Gastos[[#This Row],[Gastos]],Libro_Diario[Fecha],"&gt;="&amp;'Libro Mayor'!EG$9,Libro_Diario[Fecha],"&lt;="&amp;EOMONTH('Libro Mayor'!EG$9,0))</f>
        <v>0</v>
      </c>
      <c r="EH30" s="24">
        <f>SUMIFS(Libro_Diario[[Cantidad ]],Libro_Diario[[Tipo ]],Gastos[[#Headers],[Gastos]],Libro_Diario[[Categoria ]],Gastos[[#This Row],[Gastos]],Libro_Diario[Fecha],"&gt;="&amp;'Libro Mayor'!EH$9,Libro_Diario[Fecha],"&lt;="&amp;EOMONTH('Libro Mayor'!EH$9,0))</f>
        <v>0</v>
      </c>
      <c r="EI30" s="24">
        <f>SUMIFS(Libro_Diario[[Cantidad ]],Libro_Diario[[Tipo ]],Gastos[[#Headers],[Gastos]],Libro_Diario[[Categoria ]],Gastos[[#This Row],[Gastos]],Libro_Diario[Fecha],"&gt;="&amp;'Libro Mayor'!EI$9,Libro_Diario[Fecha],"&lt;="&amp;EOMONTH('Libro Mayor'!EI$9,0))</f>
        <v>0</v>
      </c>
      <c r="EJ30" s="24">
        <f>SUMIFS(Libro_Diario[[Cantidad ]],Libro_Diario[[Tipo ]],Gastos[[#Headers],[Gastos]],Libro_Diario[[Categoria ]],Gastos[[#This Row],[Gastos]],Libro_Diario[Fecha],"&gt;="&amp;'Libro Mayor'!EJ$9,Libro_Diario[Fecha],"&lt;="&amp;EOMONTH('Libro Mayor'!EJ$9,0))</f>
        <v>0</v>
      </c>
      <c r="EK30" s="24">
        <f>SUMIFS(Libro_Diario[[Cantidad ]],Libro_Diario[[Tipo ]],Gastos[[#Headers],[Gastos]],Libro_Diario[[Categoria ]],Gastos[[#This Row],[Gastos]],Libro_Diario[Fecha],"&gt;="&amp;'Libro Mayor'!EK$9,Libro_Diario[Fecha],"&lt;="&amp;EOMONTH('Libro Mayor'!EK$9,0))</f>
        <v>0</v>
      </c>
      <c r="EL30" s="24">
        <f>SUMIFS(Libro_Diario[Detalles],Libro_Diario[[Categoria ]],Gastos[[#Headers],[Gastos]],Libro_Diario[[Cantidad ]],Gastos[[#This Row],[Gastos]],Libro_Diario[[Tipo ]],"&gt;="&amp;'Libro Mayor'!EL$9,Libro_Diario[[Tipo ]],"&lt;="&amp;EOMONTH('Libro Mayor'!EL$9,0))</f>
        <v>0</v>
      </c>
      <c r="EM30" s="25">
        <f t="shared" ref="EM30:EM34" si="42">SUM(EA30:EL30)</f>
        <v>0</v>
      </c>
      <c r="EO30" s="24">
        <f>SUMIFS(Libro_Diario[[Cantidad ]],Libro_Diario[[Tipo ]],Gastos[[#Headers],[Gastos]],Libro_Diario[[Categoria ]],Gastos[[#This Row],[Gastos]],Libro_Diario[Fecha],"&gt;="&amp;'Libro Mayor'!EO$9,Libro_Diario[Fecha],"&lt;="&amp;EOMONTH('Libro Mayor'!EO$9,0))</f>
        <v>0</v>
      </c>
      <c r="EP30" s="24">
        <f>SUMIFS(Libro_Diario[[Cantidad ]],Libro_Diario[[Tipo ]],Gastos[[#Headers],[Gastos]],Libro_Diario[[Categoria ]],Gastos[[#This Row],[Gastos]],Libro_Diario[Fecha],"&gt;="&amp;'Libro Mayor'!EP$9,Libro_Diario[Fecha],"&lt;="&amp;EOMONTH('Libro Mayor'!EP$9,0))</f>
        <v>0</v>
      </c>
      <c r="EQ30" s="24">
        <f>SUMIFS(Libro_Diario[[Cantidad ]],Libro_Diario[[Tipo ]],Gastos[[#Headers],[Gastos]],Libro_Diario[[Categoria ]],Gastos[[#This Row],[Gastos]],Libro_Diario[Fecha],"&gt;="&amp;'Libro Mayor'!EQ$9,Libro_Diario[Fecha],"&lt;="&amp;EOMONTH('Libro Mayor'!EQ$9,0))</f>
        <v>0</v>
      </c>
      <c r="ER30" s="24">
        <f>SUMIFS(Libro_Diario[[Cantidad ]],Libro_Diario[[Tipo ]],Gastos[[#Headers],[Gastos]],Libro_Diario[[Categoria ]],Gastos[[#This Row],[Gastos]],Libro_Diario[Fecha],"&gt;="&amp;'Libro Mayor'!ER$9,Libro_Diario[Fecha],"&lt;="&amp;EOMONTH('Libro Mayor'!ER$9,0))</f>
        <v>0</v>
      </c>
      <c r="ES30" s="24">
        <f>SUMIFS(Libro_Diario[[Cantidad ]],Libro_Diario[[Tipo ]],Gastos[[#Headers],[Gastos]],Libro_Diario[[Categoria ]],Gastos[[#This Row],[Gastos]],Libro_Diario[Fecha],"&gt;="&amp;'Libro Mayor'!ES$9,Libro_Diario[Fecha],"&lt;="&amp;EOMONTH('Libro Mayor'!ES$9,0))</f>
        <v>0</v>
      </c>
      <c r="ET30" s="24">
        <f>SUMIFS(Libro_Diario[[Cantidad ]],Libro_Diario[[Tipo ]],Gastos[[#Headers],[Gastos]],Libro_Diario[[Categoria ]],Gastos[[#This Row],[Gastos]],Libro_Diario[Fecha],"&gt;="&amp;'Libro Mayor'!ET$9,Libro_Diario[Fecha],"&lt;="&amp;EOMONTH('Libro Mayor'!ET$9,0))</f>
        <v>0</v>
      </c>
      <c r="EU30" s="24">
        <f>SUMIFS(Libro_Diario[[Cantidad ]],Libro_Diario[[Tipo ]],Gastos[[#Headers],[Gastos]],Libro_Diario[[Categoria ]],Gastos[[#This Row],[Gastos]],Libro_Diario[Fecha],"&gt;="&amp;'Libro Mayor'!EU$9,Libro_Diario[Fecha],"&lt;="&amp;EOMONTH('Libro Mayor'!EU$9,0))</f>
        <v>0</v>
      </c>
      <c r="EV30" s="24">
        <f>SUMIFS(Libro_Diario[[Cantidad ]],Libro_Diario[[Tipo ]],Gastos[[#Headers],[Gastos]],Libro_Diario[[Categoria ]],Gastos[[#This Row],[Gastos]],Libro_Diario[Fecha],"&gt;="&amp;'Libro Mayor'!EV$9,Libro_Diario[Fecha],"&lt;="&amp;EOMONTH('Libro Mayor'!EV$9,0))</f>
        <v>0</v>
      </c>
      <c r="EW30" s="24">
        <f>SUMIFS(Libro_Diario[[Cantidad ]],Libro_Diario[[Tipo ]],Gastos[[#Headers],[Gastos]],Libro_Diario[[Categoria ]],Gastos[[#This Row],[Gastos]],Libro_Diario[Fecha],"&gt;="&amp;'Libro Mayor'!EW$9,Libro_Diario[Fecha],"&lt;="&amp;EOMONTH('Libro Mayor'!EW$9,0))</f>
        <v>0</v>
      </c>
      <c r="EX30" s="24">
        <f>SUMIFS(Libro_Diario[[Cantidad ]],Libro_Diario[[Tipo ]],Gastos[[#Headers],[Gastos]],Libro_Diario[[Categoria ]],Gastos[[#This Row],[Gastos]],Libro_Diario[Fecha],"&gt;="&amp;'Libro Mayor'!EX$9,Libro_Diario[Fecha],"&lt;="&amp;EOMONTH('Libro Mayor'!EX$9,0))</f>
        <v>0</v>
      </c>
      <c r="EY30" s="24">
        <f>SUMIFS(Libro_Diario[[Cantidad ]],Libro_Diario[[Tipo ]],Gastos[[#Headers],[Gastos]],Libro_Diario[[Categoria ]],Gastos[[#This Row],[Gastos]],Libro_Diario[Fecha],"&gt;="&amp;'Libro Mayor'!EY$9,Libro_Diario[Fecha],"&lt;="&amp;EOMONTH('Libro Mayor'!EY$9,0))</f>
        <v>0</v>
      </c>
      <c r="EZ30" s="24">
        <f>SUMIFS(Libro_Diario[[Cantidad ]],Libro_Diario[[Tipo ]],Gastos[[#Headers],[Gastos]],Libro_Diario[[Categoria ]],Gastos[[#This Row],[Gastos]],Libro_Diario[Fecha],"&gt;="&amp;'Libro Mayor'!EZ$9,Libro_Diario[Fecha],"&lt;="&amp;EOMONTH('Libro Mayor'!EZ$9,0))</f>
        <v>0</v>
      </c>
      <c r="FA30" s="25">
        <f t="shared" si="22"/>
        <v>0</v>
      </c>
    </row>
    <row r="31" spans="3:157" x14ac:dyDescent="0.3">
      <c r="C31" s="16" t="s">
        <v>67</v>
      </c>
      <c r="D31" s="23"/>
      <c r="E31" s="24">
        <f>SUMIFS(Libro_Diario[[Cantidad ]],Libro_Diario[[Tipo ]],Gastos[[#Headers],[Gastos]],Libro_Diario[[Categoria ]],Gastos[[#This Row],[Gastos]],Libro_Diario[Fecha],"&gt;="&amp;'Libro Mayor'!E$9,Libro_Diario[Fecha],"&lt;="&amp;EOMONTH('Libro Mayor'!E$9,0))</f>
        <v>0</v>
      </c>
      <c r="F31" s="24">
        <f>SUMIFS(Libro_Diario[[Cantidad ]],Libro_Diario[[Tipo ]],Gastos[[#Headers],[Gastos]],Libro_Diario[[Categoria ]],Gastos[[#This Row],[Gastos]],Libro_Diario[Fecha],"&gt;="&amp;'Libro Mayor'!F$9,Libro_Diario[Fecha],"&lt;="&amp;EOMONTH('Libro Mayor'!F$9,0))</f>
        <v>0</v>
      </c>
      <c r="G31" s="24">
        <f>SUMIFS(Libro_Diario[[Cantidad ]],Libro_Diario[[Tipo ]],Gastos[[#Headers],[Gastos]],Libro_Diario[[Categoria ]],Gastos[[#This Row],[Gastos]],Libro_Diario[Fecha],"&gt;="&amp;'Libro Mayor'!G$9,Libro_Diario[Fecha],"&lt;="&amp;EOMONTH('Libro Mayor'!G$9,0))</f>
        <v>0</v>
      </c>
      <c r="H31" s="24">
        <f>SUMIFS(Libro_Diario[[Cantidad ]],Libro_Diario[[Tipo ]],Gastos[[#Headers],[Gastos]],Libro_Diario[[Categoria ]],Gastos[[#This Row],[Gastos]],Libro_Diario[Fecha],"&gt;="&amp;'Libro Mayor'!H$9,Libro_Diario[Fecha],"&lt;="&amp;EOMONTH('Libro Mayor'!H$9,0))</f>
        <v>0</v>
      </c>
      <c r="I31" s="24">
        <f>SUMIFS(Libro_Diario[[Cantidad ]],Libro_Diario[[Tipo ]],Gastos[[#Headers],[Gastos]],Libro_Diario[[Categoria ]],Gastos[[#This Row],[Gastos]],Libro_Diario[Fecha],"&gt;="&amp;'Libro Mayor'!I$9,Libro_Diario[Fecha],"&lt;="&amp;EOMONTH('Libro Mayor'!I$9,0))</f>
        <v>0</v>
      </c>
      <c r="J31" s="24">
        <f>SUMIFS(Libro_Diario[[Cantidad ]],Libro_Diario[[Tipo ]],Gastos[[#Headers],[Gastos]],Libro_Diario[[Categoria ]],Gastos[[#This Row],[Gastos]],Libro_Diario[Fecha],"&gt;="&amp;'Libro Mayor'!J$9,Libro_Diario[Fecha],"&lt;="&amp;EOMONTH('Libro Mayor'!J$9,0))</f>
        <v>0</v>
      </c>
      <c r="K31" s="24">
        <f>SUMIFS(Libro_Diario[[Cantidad ]],Libro_Diario[[Tipo ]],Gastos[[#Headers],[Gastos]],Libro_Diario[[Categoria ]],Gastos[[#This Row],[Gastos]],Libro_Diario[Fecha],"&gt;="&amp;'Libro Mayor'!K$9,Libro_Diario[Fecha],"&lt;="&amp;EOMONTH('Libro Mayor'!K$9,0))</f>
        <v>0</v>
      </c>
      <c r="L31" s="24">
        <f>SUMIFS(Libro_Diario[[Cantidad ]],Libro_Diario[[Tipo ]],Gastos[[#Headers],[Gastos]],Libro_Diario[[Categoria ]],Gastos[[#This Row],[Gastos]],Libro_Diario[Fecha],"&gt;="&amp;'Libro Mayor'!L$9,Libro_Diario[Fecha],"&lt;="&amp;EOMONTH('Libro Mayor'!L$9,0))</f>
        <v>0</v>
      </c>
      <c r="M31" s="24">
        <f>SUMIFS(Libro_Diario[[Cantidad ]],Libro_Diario[[Tipo ]],Gastos[[#Headers],[Gastos]],Libro_Diario[[Categoria ]],Gastos[[#This Row],[Gastos]],Libro_Diario[Fecha],"&gt;="&amp;'Libro Mayor'!M$9,Libro_Diario[Fecha],"&lt;="&amp;EOMONTH('Libro Mayor'!M$9,0))</f>
        <v>0</v>
      </c>
      <c r="N31" s="24">
        <f>SUMIFS(Libro_Diario[[Cantidad ]],Libro_Diario[[Tipo ]],Gastos[[#Headers],[Gastos]],Libro_Diario[[Categoria ]],Gastos[[#This Row],[Gastos]],Libro_Diario[Fecha],"&gt;="&amp;'Libro Mayor'!N$9,Libro_Diario[Fecha],"&lt;="&amp;EOMONTH('Libro Mayor'!N$9,0))</f>
        <v>0</v>
      </c>
      <c r="O31" s="24">
        <f>SUMIFS(Libro_Diario[[Cantidad ]],Libro_Diario[[Tipo ]],Gastos[[#Headers],[Gastos]],Libro_Diario[[Categoria ]],Gastos[[#This Row],[Gastos]],Libro_Diario[Fecha],"&gt;="&amp;'Libro Mayor'!O$9,Libro_Diario[Fecha],"&lt;="&amp;EOMONTH('Libro Mayor'!O$9,0))</f>
        <v>0</v>
      </c>
      <c r="P31" s="24">
        <f>SUMIFS(Libro_Diario[[Cantidad ]],Libro_Diario[[Tipo ]],Gastos[[#Headers],[Gastos]],Libro_Diario[[Categoria ]],Gastos[[#This Row],[Gastos]],Libro_Diario[Fecha],"&gt;="&amp;'Libro Mayor'!P$9,Libro_Diario[Fecha],"&lt;="&amp;EOMONTH('Libro Mayor'!P$9,0))</f>
        <v>0</v>
      </c>
      <c r="Q31" s="25">
        <f t="shared" si="33"/>
        <v>0</v>
      </c>
      <c r="S31" s="24">
        <f>SUMIFS(Libro_Diario[[Cantidad ]],Libro_Diario[[Tipo ]],Gastos[[#Headers],[Gastos]],Libro_Diario[[Categoria ]],Gastos[[#This Row],[Gastos]],Libro_Diario[Fecha],"&gt;="&amp;'Libro Mayor'!S$9,Libro_Diario[Fecha],"&lt;="&amp;EOMONTH('Libro Mayor'!S$9,0))</f>
        <v>0</v>
      </c>
      <c r="T31" s="24">
        <f>SUMIFS(Libro_Diario[[Cantidad ]],Libro_Diario[[Tipo ]],Gastos[[#Headers],[Gastos]],Libro_Diario[[Categoria ]],Gastos[[#This Row],[Gastos]],Libro_Diario[Fecha],"&gt;="&amp;'Libro Mayor'!T$9,Libro_Diario[Fecha],"&lt;="&amp;EOMONTH('Libro Mayor'!T$9,0))</f>
        <v>0</v>
      </c>
      <c r="U31" s="24">
        <f>SUMIFS(Libro_Diario[[Cantidad ]],Libro_Diario[[Tipo ]],Gastos[[#Headers],[Gastos]],Libro_Diario[[Categoria ]],Gastos[[#This Row],[Gastos]],Libro_Diario[Fecha],"&gt;="&amp;'Libro Mayor'!U$9,Libro_Diario[Fecha],"&lt;="&amp;EOMONTH('Libro Mayor'!U$9,0))</f>
        <v>0</v>
      </c>
      <c r="V31" s="24">
        <f>SUMIFS(Libro_Diario[[Cantidad ]],Libro_Diario[[Tipo ]],Gastos[[#Headers],[Gastos]],Libro_Diario[[Categoria ]],Gastos[[#This Row],[Gastos]],Libro_Diario[Fecha],"&gt;="&amp;'Libro Mayor'!V$9,Libro_Diario[Fecha],"&lt;="&amp;EOMONTH('Libro Mayor'!V$9,0))</f>
        <v>0</v>
      </c>
      <c r="W31" s="24">
        <f>SUMIFS(Libro_Diario[[Cantidad ]],Libro_Diario[[Tipo ]],Gastos[[#Headers],[Gastos]],Libro_Diario[[Categoria ]],Gastos[[#This Row],[Gastos]],Libro_Diario[Fecha],"&gt;="&amp;'Libro Mayor'!W$9,Libro_Diario[Fecha],"&lt;="&amp;EOMONTH('Libro Mayor'!W$9,0))</f>
        <v>0</v>
      </c>
      <c r="X31" s="24">
        <f>SUMIFS(Libro_Diario[[Cantidad ]],Libro_Diario[[Tipo ]],Gastos[[#Headers],[Gastos]],Libro_Diario[[Categoria ]],Gastos[[#This Row],[Gastos]],Libro_Diario[Fecha],"&gt;="&amp;'Libro Mayor'!X$9,Libro_Diario[Fecha],"&lt;="&amp;EOMONTH('Libro Mayor'!X$9,0))</f>
        <v>0</v>
      </c>
      <c r="Y31" s="24">
        <f>SUMIFS(Libro_Diario[[Cantidad ]],Libro_Diario[[Tipo ]],Gastos[[#Headers],[Gastos]],Libro_Diario[[Categoria ]],Gastos[[#This Row],[Gastos]],Libro_Diario[Fecha],"&gt;="&amp;'Libro Mayor'!Y$9,Libro_Diario[Fecha],"&lt;="&amp;EOMONTH('Libro Mayor'!Y$9,0))</f>
        <v>0</v>
      </c>
      <c r="Z31" s="24">
        <f>SUMIFS(Libro_Diario[[Cantidad ]],Libro_Diario[[Tipo ]],Gastos[[#Headers],[Gastos]],Libro_Diario[[Categoria ]],Gastos[[#This Row],[Gastos]],Libro_Diario[Fecha],"&gt;="&amp;'Libro Mayor'!Z$9,Libro_Diario[Fecha],"&lt;="&amp;EOMONTH('Libro Mayor'!Z$9,0))</f>
        <v>0</v>
      </c>
      <c r="AA31" s="24">
        <f>SUMIFS(Libro_Diario[[Cantidad ]],Libro_Diario[[Tipo ]],Gastos[[#Headers],[Gastos]],Libro_Diario[[Categoria ]],Gastos[[#This Row],[Gastos]],Libro_Diario[Fecha],"&gt;="&amp;'Libro Mayor'!AA$9,Libro_Diario[Fecha],"&lt;="&amp;EOMONTH('Libro Mayor'!AA$9,0))</f>
        <v>0</v>
      </c>
      <c r="AB31" s="24">
        <f>SUMIFS(Libro_Diario[[Cantidad ]],Libro_Diario[[Tipo ]],Gastos[[#Headers],[Gastos]],Libro_Diario[[Categoria ]],Gastos[[#This Row],[Gastos]],Libro_Diario[Fecha],"&gt;="&amp;'Libro Mayor'!AB$9,Libro_Diario[Fecha],"&lt;="&amp;EOMONTH('Libro Mayor'!AB$9,0))</f>
        <v>0</v>
      </c>
      <c r="AC31" s="24">
        <f>SUMIFS(Libro_Diario[[Cantidad ]],Libro_Diario[[Tipo ]],Gastos[[#Headers],[Gastos]],Libro_Diario[[Categoria ]],Gastos[[#This Row],[Gastos]],Libro_Diario[Fecha],"&gt;="&amp;'Libro Mayor'!AC$9,Libro_Diario[Fecha],"&lt;="&amp;EOMONTH('Libro Mayor'!AC$9,0))</f>
        <v>0</v>
      </c>
      <c r="AD31" s="24">
        <f>SUMIFS(Libro_Diario[Detalles],Libro_Diario[[Categoria ]],Gastos[[#Headers],[Gastos]],Libro_Diario[[Cantidad ]],Gastos[[#This Row],[Gastos]],Libro_Diario[[Tipo ]],"&gt;="&amp;'Libro Mayor'!AD$9,Libro_Diario[[Tipo ]],"&lt;="&amp;EOMONTH('Libro Mayor'!AD$9,0))</f>
        <v>0</v>
      </c>
      <c r="AE31" s="25">
        <f t="shared" si="34"/>
        <v>0</v>
      </c>
      <c r="AG31" s="24">
        <f>SUMIFS(Libro_Diario[[Cantidad ]],Libro_Diario[[Tipo ]],Gastos[[#Headers],[Gastos]],Libro_Diario[[Categoria ]],Gastos[[#This Row],[Gastos]],Libro_Diario[Fecha],"&gt;="&amp;'Libro Mayor'!AG$9,Libro_Diario[Fecha],"&lt;="&amp;EOMONTH('Libro Mayor'!AG$9,0))</f>
        <v>0</v>
      </c>
      <c r="AH31" s="24">
        <f>SUMIFS(Libro_Diario[[Cantidad ]],Libro_Diario[[Tipo ]],Gastos[[#Headers],[Gastos]],Libro_Diario[[Categoria ]],Gastos[[#This Row],[Gastos]],Libro_Diario[Fecha],"&gt;="&amp;'Libro Mayor'!AH$9,Libro_Diario[Fecha],"&lt;="&amp;EOMONTH('Libro Mayor'!AH$9,0))</f>
        <v>0</v>
      </c>
      <c r="AI31" s="24">
        <f>SUMIFS(Libro_Diario[[Cantidad ]],Libro_Diario[[Tipo ]],Gastos[[#Headers],[Gastos]],Libro_Diario[[Categoria ]],Gastos[[#This Row],[Gastos]],Libro_Diario[Fecha],"&gt;="&amp;'Libro Mayor'!AI$9,Libro_Diario[Fecha],"&lt;="&amp;EOMONTH('Libro Mayor'!AI$9,0))</f>
        <v>0</v>
      </c>
      <c r="AJ31" s="24">
        <f>SUMIFS(Libro_Diario[[Cantidad ]],Libro_Diario[[Tipo ]],Gastos[[#Headers],[Gastos]],Libro_Diario[[Categoria ]],Gastos[[#This Row],[Gastos]],Libro_Diario[Fecha],"&gt;="&amp;'Libro Mayor'!AJ$9,Libro_Diario[Fecha],"&lt;="&amp;EOMONTH('Libro Mayor'!AJ$9,0))</f>
        <v>0</v>
      </c>
      <c r="AK31" s="24">
        <f>SUMIFS(Libro_Diario[[Cantidad ]],Libro_Diario[[Tipo ]],Gastos[[#Headers],[Gastos]],Libro_Diario[[Categoria ]],Gastos[[#This Row],[Gastos]],Libro_Diario[Fecha],"&gt;="&amp;'Libro Mayor'!AK$9,Libro_Diario[Fecha],"&lt;="&amp;EOMONTH('Libro Mayor'!AK$9,0))</f>
        <v>0</v>
      </c>
      <c r="AL31" s="24">
        <f>SUMIFS(Libro_Diario[[Cantidad ]],Libro_Diario[[Tipo ]],Gastos[[#Headers],[Gastos]],Libro_Diario[[Categoria ]],Gastos[[#This Row],[Gastos]],Libro_Diario[Fecha],"&gt;="&amp;'Libro Mayor'!AL$9,Libro_Diario[Fecha],"&lt;="&amp;EOMONTH('Libro Mayor'!AL$9,0))</f>
        <v>0</v>
      </c>
      <c r="AM31" s="24">
        <f>SUMIFS(Libro_Diario[[Cantidad ]],Libro_Diario[[Tipo ]],Gastos[[#Headers],[Gastos]],Libro_Diario[[Categoria ]],Gastos[[#This Row],[Gastos]],Libro_Diario[Fecha],"&gt;="&amp;'Libro Mayor'!AM$9,Libro_Diario[Fecha],"&lt;="&amp;EOMONTH('Libro Mayor'!AM$9,0))</f>
        <v>0</v>
      </c>
      <c r="AN31" s="24">
        <f>SUMIFS(Libro_Diario[[Cantidad ]],Libro_Diario[[Tipo ]],Gastos[[#Headers],[Gastos]],Libro_Diario[[Categoria ]],Gastos[[#This Row],[Gastos]],Libro_Diario[Fecha],"&gt;="&amp;'Libro Mayor'!AN$9,Libro_Diario[Fecha],"&lt;="&amp;EOMONTH('Libro Mayor'!AN$9,0))</f>
        <v>0</v>
      </c>
      <c r="AO31" s="24">
        <f>SUMIFS(Libro_Diario[[Cantidad ]],Libro_Diario[[Tipo ]],Gastos[[#Headers],[Gastos]],Libro_Diario[[Categoria ]],Gastos[[#This Row],[Gastos]],Libro_Diario[Fecha],"&gt;="&amp;'Libro Mayor'!AO$9,Libro_Diario[Fecha],"&lt;="&amp;EOMONTH('Libro Mayor'!AO$9,0))</f>
        <v>0</v>
      </c>
      <c r="AP31" s="24">
        <f>SUMIFS(Libro_Diario[[Cantidad ]],Libro_Diario[[Tipo ]],Gastos[[#Headers],[Gastos]],Libro_Diario[[Categoria ]],Gastos[[#This Row],[Gastos]],Libro_Diario[Fecha],"&gt;="&amp;'Libro Mayor'!AP$9,Libro_Diario[Fecha],"&lt;="&amp;EOMONTH('Libro Mayor'!AP$9,0))</f>
        <v>0</v>
      </c>
      <c r="AQ31" s="24">
        <f>SUMIFS(Libro_Diario[[Cantidad ]],Libro_Diario[[Tipo ]],Gastos[[#Headers],[Gastos]],Libro_Diario[[Categoria ]],Gastos[[#This Row],[Gastos]],Libro_Diario[Fecha],"&gt;="&amp;'Libro Mayor'!AQ$9,Libro_Diario[Fecha],"&lt;="&amp;EOMONTH('Libro Mayor'!AQ$9,0))</f>
        <v>0</v>
      </c>
      <c r="AR31" s="24">
        <f>SUMIFS(Libro_Diario[Detalles],Libro_Diario[[Categoria ]],Gastos[[#Headers],[Gastos]],Libro_Diario[[Cantidad ]],Gastos[[#This Row],[Gastos]],Libro_Diario[[Tipo ]],"&gt;="&amp;'Libro Mayor'!AR$9,Libro_Diario[[Tipo ]],"&lt;="&amp;EOMONTH('Libro Mayor'!AR$9,0))</f>
        <v>0</v>
      </c>
      <c r="AS31" s="25">
        <f t="shared" si="35"/>
        <v>0</v>
      </c>
      <c r="AU31" s="24">
        <f>SUMIFS(Libro_Diario[[Cantidad ]],Libro_Diario[[Tipo ]],Gastos[[#Headers],[Gastos]],Libro_Diario[[Categoria ]],Gastos[[#This Row],[Gastos]],Libro_Diario[Fecha],"&gt;="&amp;'Libro Mayor'!AU$9,Libro_Diario[Fecha],"&lt;="&amp;EOMONTH('Libro Mayor'!AU$9,0))</f>
        <v>0</v>
      </c>
      <c r="AV31" s="24">
        <f>SUMIFS(Libro_Diario[[Cantidad ]],Libro_Diario[[Tipo ]],Gastos[[#Headers],[Gastos]],Libro_Diario[[Categoria ]],Gastos[[#This Row],[Gastos]],Libro_Diario[Fecha],"&gt;="&amp;'Libro Mayor'!AV$9,Libro_Diario[Fecha],"&lt;="&amp;EOMONTH('Libro Mayor'!AV$9,0))</f>
        <v>0</v>
      </c>
      <c r="AW31" s="24">
        <f>SUMIFS(Libro_Diario[[Cantidad ]],Libro_Diario[[Tipo ]],Gastos[[#Headers],[Gastos]],Libro_Diario[[Categoria ]],Gastos[[#This Row],[Gastos]],Libro_Diario[Fecha],"&gt;="&amp;'Libro Mayor'!AW$9,Libro_Diario[Fecha],"&lt;="&amp;EOMONTH('Libro Mayor'!AW$9,0))</f>
        <v>0</v>
      </c>
      <c r="AX31" s="24">
        <f>SUMIFS(Libro_Diario[[Cantidad ]],Libro_Diario[[Tipo ]],Gastos[[#Headers],[Gastos]],Libro_Diario[[Categoria ]],Gastos[[#This Row],[Gastos]],Libro_Diario[Fecha],"&gt;="&amp;'Libro Mayor'!AX$9,Libro_Diario[Fecha],"&lt;="&amp;EOMONTH('Libro Mayor'!AX$9,0))</f>
        <v>0</v>
      </c>
      <c r="AY31" s="24">
        <f>SUMIFS(Libro_Diario[[Cantidad ]],Libro_Diario[[Tipo ]],Gastos[[#Headers],[Gastos]],Libro_Diario[[Categoria ]],Gastos[[#This Row],[Gastos]],Libro_Diario[Fecha],"&gt;="&amp;'Libro Mayor'!AY$9,Libro_Diario[Fecha],"&lt;="&amp;EOMONTH('Libro Mayor'!AY$9,0))</f>
        <v>0</v>
      </c>
      <c r="AZ31" s="24">
        <f>SUMIFS(Libro_Diario[[Cantidad ]],Libro_Diario[[Tipo ]],Gastos[[#Headers],[Gastos]],Libro_Diario[[Categoria ]],Gastos[[#This Row],[Gastos]],Libro_Diario[Fecha],"&gt;="&amp;'Libro Mayor'!AZ$9,Libro_Diario[Fecha],"&lt;="&amp;EOMONTH('Libro Mayor'!AZ$9,0))</f>
        <v>0</v>
      </c>
      <c r="BA31" s="24">
        <f>SUMIFS(Libro_Diario[[Cantidad ]],Libro_Diario[[Tipo ]],Gastos[[#Headers],[Gastos]],Libro_Diario[[Categoria ]],Gastos[[#This Row],[Gastos]],Libro_Diario[Fecha],"&gt;="&amp;'Libro Mayor'!BA$9,Libro_Diario[Fecha],"&lt;="&amp;EOMONTH('Libro Mayor'!BA$9,0))</f>
        <v>0</v>
      </c>
      <c r="BB31" s="24">
        <f>SUMIFS(Libro_Diario[[Cantidad ]],Libro_Diario[[Tipo ]],Gastos[[#Headers],[Gastos]],Libro_Diario[[Categoria ]],Gastos[[#This Row],[Gastos]],Libro_Diario[Fecha],"&gt;="&amp;'Libro Mayor'!BB$9,Libro_Diario[Fecha],"&lt;="&amp;EOMONTH('Libro Mayor'!BB$9,0))</f>
        <v>0</v>
      </c>
      <c r="BC31" s="24">
        <f>SUMIFS(Libro_Diario[[Cantidad ]],Libro_Diario[[Tipo ]],Gastos[[#Headers],[Gastos]],Libro_Diario[[Categoria ]],Gastos[[#This Row],[Gastos]],Libro_Diario[Fecha],"&gt;="&amp;'Libro Mayor'!BC$9,Libro_Diario[Fecha],"&lt;="&amp;EOMONTH('Libro Mayor'!BC$9,0))</f>
        <v>0</v>
      </c>
      <c r="BD31" s="24">
        <f>SUMIFS(Libro_Diario[[Cantidad ]],Libro_Diario[[Tipo ]],Gastos[[#Headers],[Gastos]],Libro_Diario[[Categoria ]],Gastos[[#This Row],[Gastos]],Libro_Diario[Fecha],"&gt;="&amp;'Libro Mayor'!BD$9,Libro_Diario[Fecha],"&lt;="&amp;EOMONTH('Libro Mayor'!BD$9,0))</f>
        <v>0</v>
      </c>
      <c r="BE31" s="24">
        <f>SUMIFS(Libro_Diario[[Cantidad ]],Libro_Diario[[Tipo ]],Gastos[[#Headers],[Gastos]],Libro_Diario[[Categoria ]],Gastos[[#This Row],[Gastos]],Libro_Diario[Fecha],"&gt;="&amp;'Libro Mayor'!BE$9,Libro_Diario[Fecha],"&lt;="&amp;EOMONTH('Libro Mayor'!BE$9,0))</f>
        <v>0</v>
      </c>
      <c r="BF31" s="24">
        <f>SUMIFS(Libro_Diario[Detalles],Libro_Diario[[Categoria ]],Gastos[[#Headers],[Gastos]],Libro_Diario[[Cantidad ]],Gastos[[#This Row],[Gastos]],Libro_Diario[[Tipo ]],"&gt;="&amp;'Libro Mayor'!BF$9,Libro_Diario[[Tipo ]],"&lt;="&amp;EOMONTH('Libro Mayor'!BF$9,0))</f>
        <v>0</v>
      </c>
      <c r="BG31" s="25">
        <f t="shared" si="36"/>
        <v>0</v>
      </c>
      <c r="BI31" s="24">
        <f>SUMIFS(Libro_Diario[[Cantidad ]],Libro_Diario[[Tipo ]],Gastos[[#Headers],[Gastos]],Libro_Diario[[Categoria ]],Gastos[[#This Row],[Gastos]],Libro_Diario[Fecha],"&gt;="&amp;'Libro Mayor'!BI$9,Libro_Diario[Fecha],"&lt;="&amp;EOMONTH('Libro Mayor'!BI$9,0))</f>
        <v>0</v>
      </c>
      <c r="BJ31" s="24">
        <f>SUMIFS(Libro_Diario[[Cantidad ]],Libro_Diario[[Tipo ]],Gastos[[#Headers],[Gastos]],Libro_Diario[[Categoria ]],Gastos[[#This Row],[Gastos]],Libro_Diario[Fecha],"&gt;="&amp;'Libro Mayor'!BJ$9,Libro_Diario[Fecha],"&lt;="&amp;EOMONTH('Libro Mayor'!BJ$9,0))</f>
        <v>0</v>
      </c>
      <c r="BK31" s="24">
        <f>SUMIFS(Libro_Diario[[Cantidad ]],Libro_Diario[[Tipo ]],Gastos[[#Headers],[Gastos]],Libro_Diario[[Categoria ]],Gastos[[#This Row],[Gastos]],Libro_Diario[Fecha],"&gt;="&amp;'Libro Mayor'!BK$9,Libro_Diario[Fecha],"&lt;="&amp;EOMONTH('Libro Mayor'!BK$9,0))</f>
        <v>0</v>
      </c>
      <c r="BL31" s="24">
        <f>SUMIFS(Libro_Diario[[Cantidad ]],Libro_Diario[[Tipo ]],Gastos[[#Headers],[Gastos]],Libro_Diario[[Categoria ]],Gastos[[#This Row],[Gastos]],Libro_Diario[Fecha],"&gt;="&amp;'Libro Mayor'!BL$9,Libro_Diario[Fecha],"&lt;="&amp;EOMONTH('Libro Mayor'!BL$9,0))</f>
        <v>0</v>
      </c>
      <c r="BM31" s="24">
        <f>SUMIFS(Libro_Diario[[Cantidad ]],Libro_Diario[[Tipo ]],Gastos[[#Headers],[Gastos]],Libro_Diario[[Categoria ]],Gastos[[#This Row],[Gastos]],Libro_Diario[Fecha],"&gt;="&amp;'Libro Mayor'!BM$9,Libro_Diario[Fecha],"&lt;="&amp;EOMONTH('Libro Mayor'!BM$9,0))</f>
        <v>0</v>
      </c>
      <c r="BN31" s="24">
        <f>SUMIFS(Libro_Diario[[Cantidad ]],Libro_Diario[[Tipo ]],Gastos[[#Headers],[Gastos]],Libro_Diario[[Categoria ]],Gastos[[#This Row],[Gastos]],Libro_Diario[Fecha],"&gt;="&amp;'Libro Mayor'!BN$9,Libro_Diario[Fecha],"&lt;="&amp;EOMONTH('Libro Mayor'!BN$9,0))</f>
        <v>0</v>
      </c>
      <c r="BO31" s="24">
        <f>SUMIFS(Libro_Diario[[Cantidad ]],Libro_Diario[[Tipo ]],Gastos[[#Headers],[Gastos]],Libro_Diario[[Categoria ]],Gastos[[#This Row],[Gastos]],Libro_Diario[Fecha],"&gt;="&amp;'Libro Mayor'!BO$9,Libro_Diario[Fecha],"&lt;="&amp;EOMONTH('Libro Mayor'!BO$9,0))</f>
        <v>0</v>
      </c>
      <c r="BP31" s="24">
        <f>SUMIFS(Libro_Diario[[Cantidad ]],Libro_Diario[[Tipo ]],Gastos[[#Headers],[Gastos]],Libro_Diario[[Categoria ]],Gastos[[#This Row],[Gastos]],Libro_Diario[Fecha],"&gt;="&amp;'Libro Mayor'!BP$9,Libro_Diario[Fecha],"&lt;="&amp;EOMONTH('Libro Mayor'!BP$9,0))</f>
        <v>0</v>
      </c>
      <c r="BQ31" s="24">
        <f>SUMIFS(Libro_Diario[[Cantidad ]],Libro_Diario[[Tipo ]],Gastos[[#Headers],[Gastos]],Libro_Diario[[Categoria ]],Gastos[[#This Row],[Gastos]],Libro_Diario[Fecha],"&gt;="&amp;'Libro Mayor'!BQ$9,Libro_Diario[Fecha],"&lt;="&amp;EOMONTH('Libro Mayor'!BQ$9,0))</f>
        <v>0</v>
      </c>
      <c r="BR31" s="24">
        <f>SUMIFS(Libro_Diario[[Cantidad ]],Libro_Diario[[Tipo ]],Gastos[[#Headers],[Gastos]],Libro_Diario[[Categoria ]],Gastos[[#This Row],[Gastos]],Libro_Diario[Fecha],"&gt;="&amp;'Libro Mayor'!BR$9,Libro_Diario[Fecha],"&lt;="&amp;EOMONTH('Libro Mayor'!BR$9,0))</f>
        <v>0</v>
      </c>
      <c r="BS31" s="24">
        <f>SUMIFS(Libro_Diario[[Cantidad ]],Libro_Diario[[Tipo ]],Gastos[[#Headers],[Gastos]],Libro_Diario[[Categoria ]],Gastos[[#This Row],[Gastos]],Libro_Diario[Fecha],"&gt;="&amp;'Libro Mayor'!BS$9,Libro_Diario[Fecha],"&lt;="&amp;EOMONTH('Libro Mayor'!BS$9,0))</f>
        <v>0</v>
      </c>
      <c r="BT31" s="24">
        <f>SUMIFS(Libro_Diario[Detalles],Libro_Diario[[Categoria ]],Gastos[[#Headers],[Gastos]],Libro_Diario[[Cantidad ]],Gastos[[#This Row],[Gastos]],Libro_Diario[[Tipo ]],"&gt;="&amp;'Libro Mayor'!BT$9,Libro_Diario[[Tipo ]],"&lt;="&amp;EOMONTH('Libro Mayor'!BT$9,0))</f>
        <v>0</v>
      </c>
      <c r="BU31" s="25">
        <f t="shared" si="37"/>
        <v>0</v>
      </c>
      <c r="BW31" s="24">
        <f>SUMIFS(Libro_Diario[[Cantidad ]],Libro_Diario[[Tipo ]],Gastos[[#Headers],[Gastos]],Libro_Diario[[Categoria ]],Gastos[[#This Row],[Gastos]],Libro_Diario[Fecha],"&gt;="&amp;'Libro Mayor'!BW$9,Libro_Diario[Fecha],"&lt;="&amp;EOMONTH('Libro Mayor'!BW$9,0))</f>
        <v>0</v>
      </c>
      <c r="BX31" s="24">
        <f>SUMIFS(Libro_Diario[[Cantidad ]],Libro_Diario[[Tipo ]],Gastos[[#Headers],[Gastos]],Libro_Diario[[Categoria ]],Gastos[[#This Row],[Gastos]],Libro_Diario[Fecha],"&gt;="&amp;'Libro Mayor'!BX$9,Libro_Diario[Fecha],"&lt;="&amp;EOMONTH('Libro Mayor'!BX$9,0))</f>
        <v>0</v>
      </c>
      <c r="BY31" s="24">
        <f>SUMIFS(Libro_Diario[[Cantidad ]],Libro_Diario[[Tipo ]],Gastos[[#Headers],[Gastos]],Libro_Diario[[Categoria ]],Gastos[[#This Row],[Gastos]],Libro_Diario[Fecha],"&gt;="&amp;'Libro Mayor'!BY$9,Libro_Diario[Fecha],"&lt;="&amp;EOMONTH('Libro Mayor'!BY$9,0))</f>
        <v>0</v>
      </c>
      <c r="BZ31" s="24">
        <f>SUMIFS(Libro_Diario[[Cantidad ]],Libro_Diario[[Tipo ]],Gastos[[#Headers],[Gastos]],Libro_Diario[[Categoria ]],Gastos[[#This Row],[Gastos]],Libro_Diario[Fecha],"&gt;="&amp;'Libro Mayor'!BZ$9,Libro_Diario[Fecha],"&lt;="&amp;EOMONTH('Libro Mayor'!BZ$9,0))</f>
        <v>0</v>
      </c>
      <c r="CA31" s="24">
        <f>SUMIFS(Libro_Diario[[Cantidad ]],Libro_Diario[[Tipo ]],Gastos[[#Headers],[Gastos]],Libro_Diario[[Categoria ]],Gastos[[#This Row],[Gastos]],Libro_Diario[Fecha],"&gt;="&amp;'Libro Mayor'!CA$9,Libro_Diario[Fecha],"&lt;="&amp;EOMONTH('Libro Mayor'!CA$9,0))</f>
        <v>0</v>
      </c>
      <c r="CB31" s="24">
        <f>SUMIFS(Libro_Diario[[Cantidad ]],Libro_Diario[[Tipo ]],Gastos[[#Headers],[Gastos]],Libro_Diario[[Categoria ]],Gastos[[#This Row],[Gastos]],Libro_Diario[Fecha],"&gt;="&amp;'Libro Mayor'!CB$9,Libro_Diario[Fecha],"&lt;="&amp;EOMONTH('Libro Mayor'!CB$9,0))</f>
        <v>0</v>
      </c>
      <c r="CC31" s="24">
        <f>SUMIFS(Libro_Diario[[Cantidad ]],Libro_Diario[[Tipo ]],Gastos[[#Headers],[Gastos]],Libro_Diario[[Categoria ]],Gastos[[#This Row],[Gastos]],Libro_Diario[Fecha],"&gt;="&amp;'Libro Mayor'!CC$9,Libro_Diario[Fecha],"&lt;="&amp;EOMONTH('Libro Mayor'!CC$9,0))</f>
        <v>0</v>
      </c>
      <c r="CD31" s="24">
        <f>SUMIFS(Libro_Diario[[Cantidad ]],Libro_Diario[[Tipo ]],Gastos[[#Headers],[Gastos]],Libro_Diario[[Categoria ]],Gastos[[#This Row],[Gastos]],Libro_Diario[Fecha],"&gt;="&amp;'Libro Mayor'!CD$9,Libro_Diario[Fecha],"&lt;="&amp;EOMONTH('Libro Mayor'!CD$9,0))</f>
        <v>0</v>
      </c>
      <c r="CE31" s="24">
        <f>SUMIFS(Libro_Diario[[Cantidad ]],Libro_Diario[[Tipo ]],Gastos[[#Headers],[Gastos]],Libro_Diario[[Categoria ]],Gastos[[#This Row],[Gastos]],Libro_Diario[Fecha],"&gt;="&amp;'Libro Mayor'!CE$9,Libro_Diario[Fecha],"&lt;="&amp;EOMONTH('Libro Mayor'!CE$9,0))</f>
        <v>0</v>
      </c>
      <c r="CF31" s="24">
        <f>SUMIFS(Libro_Diario[[Cantidad ]],Libro_Diario[[Tipo ]],Gastos[[#Headers],[Gastos]],Libro_Diario[[Categoria ]],Gastos[[#This Row],[Gastos]],Libro_Diario[Fecha],"&gt;="&amp;'Libro Mayor'!CF$9,Libro_Diario[Fecha],"&lt;="&amp;EOMONTH('Libro Mayor'!CF$9,0))</f>
        <v>0</v>
      </c>
      <c r="CG31" s="24">
        <f>SUMIFS(Libro_Diario[[Cantidad ]],Libro_Diario[[Tipo ]],Gastos[[#Headers],[Gastos]],Libro_Diario[[Categoria ]],Gastos[[#This Row],[Gastos]],Libro_Diario[Fecha],"&gt;="&amp;'Libro Mayor'!CG$9,Libro_Diario[Fecha],"&lt;="&amp;EOMONTH('Libro Mayor'!CG$9,0))</f>
        <v>0</v>
      </c>
      <c r="CH31" s="24">
        <f>SUMIFS(Libro_Diario[Detalles],Libro_Diario[[Categoria ]],Gastos[[#Headers],[Gastos]],Libro_Diario[[Cantidad ]],Gastos[[#This Row],[Gastos]],Libro_Diario[[Tipo ]],"&gt;="&amp;'Libro Mayor'!CH$9,Libro_Diario[[Tipo ]],"&lt;="&amp;EOMONTH('Libro Mayor'!CH$9,0))</f>
        <v>0</v>
      </c>
      <c r="CI31" s="25">
        <f t="shared" si="38"/>
        <v>0</v>
      </c>
      <c r="CK31" s="24">
        <f>SUMIFS(Libro_Diario[[Cantidad ]],Libro_Diario[[Tipo ]],Gastos[[#Headers],[Gastos]],Libro_Diario[[Categoria ]],Gastos[[#This Row],[Gastos]],Libro_Diario[Fecha],"&gt;="&amp;'Libro Mayor'!CK$9,Libro_Diario[Fecha],"&lt;="&amp;EOMONTH('Libro Mayor'!CK$9,0))</f>
        <v>0</v>
      </c>
      <c r="CL31" s="24">
        <f>SUMIFS(Libro_Diario[[Cantidad ]],Libro_Diario[[Tipo ]],Gastos[[#Headers],[Gastos]],Libro_Diario[[Categoria ]],Gastos[[#This Row],[Gastos]],Libro_Diario[Fecha],"&gt;="&amp;'Libro Mayor'!CL$9,Libro_Diario[Fecha],"&lt;="&amp;EOMONTH('Libro Mayor'!CL$9,0))</f>
        <v>0</v>
      </c>
      <c r="CM31" s="24">
        <f>SUMIFS(Libro_Diario[[Cantidad ]],Libro_Diario[[Tipo ]],Gastos[[#Headers],[Gastos]],Libro_Diario[[Categoria ]],Gastos[[#This Row],[Gastos]],Libro_Diario[Fecha],"&gt;="&amp;'Libro Mayor'!CM$9,Libro_Diario[Fecha],"&lt;="&amp;EOMONTH('Libro Mayor'!CM$9,0))</f>
        <v>0</v>
      </c>
      <c r="CN31" s="24">
        <f>SUMIFS(Libro_Diario[[Cantidad ]],Libro_Diario[[Tipo ]],Gastos[[#Headers],[Gastos]],Libro_Diario[[Categoria ]],Gastos[[#This Row],[Gastos]],Libro_Diario[Fecha],"&gt;="&amp;'Libro Mayor'!CN$9,Libro_Diario[Fecha],"&lt;="&amp;EOMONTH('Libro Mayor'!CN$9,0))</f>
        <v>0</v>
      </c>
      <c r="CO31" s="24">
        <f>SUMIFS(Libro_Diario[[Cantidad ]],Libro_Diario[[Tipo ]],Gastos[[#Headers],[Gastos]],Libro_Diario[[Categoria ]],Gastos[[#This Row],[Gastos]],Libro_Diario[Fecha],"&gt;="&amp;'Libro Mayor'!CO$9,Libro_Diario[Fecha],"&lt;="&amp;EOMONTH('Libro Mayor'!CO$9,0))</f>
        <v>0</v>
      </c>
      <c r="CP31" s="24">
        <f>SUMIFS(Libro_Diario[[Cantidad ]],Libro_Diario[[Tipo ]],Gastos[[#Headers],[Gastos]],Libro_Diario[[Categoria ]],Gastos[[#This Row],[Gastos]],Libro_Diario[Fecha],"&gt;="&amp;'Libro Mayor'!CP$9,Libro_Diario[Fecha],"&lt;="&amp;EOMONTH('Libro Mayor'!CP$9,0))</f>
        <v>0</v>
      </c>
      <c r="CQ31" s="24">
        <f>SUMIFS(Libro_Diario[[Cantidad ]],Libro_Diario[[Tipo ]],Gastos[[#Headers],[Gastos]],Libro_Diario[[Categoria ]],Gastos[[#This Row],[Gastos]],Libro_Diario[Fecha],"&gt;="&amp;'Libro Mayor'!CQ$9,Libro_Diario[Fecha],"&lt;="&amp;EOMONTH('Libro Mayor'!CQ$9,0))</f>
        <v>0</v>
      </c>
      <c r="CR31" s="24">
        <f>SUMIFS(Libro_Diario[[Cantidad ]],Libro_Diario[[Tipo ]],Gastos[[#Headers],[Gastos]],Libro_Diario[[Categoria ]],Gastos[[#This Row],[Gastos]],Libro_Diario[Fecha],"&gt;="&amp;'Libro Mayor'!CR$9,Libro_Diario[Fecha],"&lt;="&amp;EOMONTH('Libro Mayor'!CR$9,0))</f>
        <v>0</v>
      </c>
      <c r="CS31" s="24">
        <f>SUMIFS(Libro_Diario[[Cantidad ]],Libro_Diario[[Tipo ]],Gastos[[#Headers],[Gastos]],Libro_Diario[[Categoria ]],Gastos[[#This Row],[Gastos]],Libro_Diario[Fecha],"&gt;="&amp;'Libro Mayor'!CS$9,Libro_Diario[Fecha],"&lt;="&amp;EOMONTH('Libro Mayor'!CS$9,0))</f>
        <v>0</v>
      </c>
      <c r="CT31" s="24">
        <f>SUMIFS(Libro_Diario[[Cantidad ]],Libro_Diario[[Tipo ]],Gastos[[#Headers],[Gastos]],Libro_Diario[[Categoria ]],Gastos[[#This Row],[Gastos]],Libro_Diario[Fecha],"&gt;="&amp;'Libro Mayor'!CT$9,Libro_Diario[Fecha],"&lt;="&amp;EOMONTH('Libro Mayor'!CT$9,0))</f>
        <v>0</v>
      </c>
      <c r="CU31" s="24">
        <f>SUMIFS(Libro_Diario[[Cantidad ]],Libro_Diario[[Tipo ]],Gastos[[#Headers],[Gastos]],Libro_Diario[[Categoria ]],Gastos[[#This Row],[Gastos]],Libro_Diario[Fecha],"&gt;="&amp;'Libro Mayor'!CU$9,Libro_Diario[Fecha],"&lt;="&amp;EOMONTH('Libro Mayor'!CU$9,0))</f>
        <v>0</v>
      </c>
      <c r="CV31" s="24">
        <f>SUMIFS(Libro_Diario[Detalles],Libro_Diario[[Categoria ]],Gastos[[#Headers],[Gastos]],Libro_Diario[[Cantidad ]],Gastos[[#This Row],[Gastos]],Libro_Diario[[Tipo ]],"&gt;="&amp;'Libro Mayor'!CV$9,Libro_Diario[[Tipo ]],"&lt;="&amp;EOMONTH('Libro Mayor'!CV$9,0))</f>
        <v>0</v>
      </c>
      <c r="CW31" s="25">
        <f t="shared" si="39"/>
        <v>0</v>
      </c>
      <c r="CY31" s="24">
        <f>SUMIFS(Libro_Diario[[Cantidad ]],Libro_Diario[[Tipo ]],Gastos[[#Headers],[Gastos]],Libro_Diario[[Categoria ]],Gastos[[#This Row],[Gastos]],Libro_Diario[Fecha],"&gt;="&amp;'Libro Mayor'!CY$9,Libro_Diario[Fecha],"&lt;="&amp;EOMONTH('Libro Mayor'!CY$9,0))</f>
        <v>0</v>
      </c>
      <c r="CZ31" s="24">
        <f>SUMIFS(Libro_Diario[[Cantidad ]],Libro_Diario[[Tipo ]],Gastos[[#Headers],[Gastos]],Libro_Diario[[Categoria ]],Gastos[[#This Row],[Gastos]],Libro_Diario[Fecha],"&gt;="&amp;'Libro Mayor'!CZ$9,Libro_Diario[Fecha],"&lt;="&amp;EOMONTH('Libro Mayor'!CZ$9,0))</f>
        <v>0</v>
      </c>
      <c r="DA31" s="24">
        <f>SUMIFS(Libro_Diario[[Cantidad ]],Libro_Diario[[Tipo ]],Gastos[[#Headers],[Gastos]],Libro_Diario[[Categoria ]],Gastos[[#This Row],[Gastos]],Libro_Diario[Fecha],"&gt;="&amp;'Libro Mayor'!DA$9,Libro_Diario[Fecha],"&lt;="&amp;EOMONTH('Libro Mayor'!DA$9,0))</f>
        <v>0</v>
      </c>
      <c r="DB31" s="24">
        <f>SUMIFS(Libro_Diario[[Cantidad ]],Libro_Diario[[Tipo ]],Gastos[[#Headers],[Gastos]],Libro_Diario[[Categoria ]],Gastos[[#This Row],[Gastos]],Libro_Diario[Fecha],"&gt;="&amp;'Libro Mayor'!DB$9,Libro_Diario[Fecha],"&lt;="&amp;EOMONTH('Libro Mayor'!DB$9,0))</f>
        <v>0</v>
      </c>
      <c r="DC31" s="24">
        <f>SUMIFS(Libro_Diario[[Cantidad ]],Libro_Diario[[Tipo ]],Gastos[[#Headers],[Gastos]],Libro_Diario[[Categoria ]],Gastos[[#This Row],[Gastos]],Libro_Diario[Fecha],"&gt;="&amp;'Libro Mayor'!DC$9,Libro_Diario[Fecha],"&lt;="&amp;EOMONTH('Libro Mayor'!DC$9,0))</f>
        <v>0</v>
      </c>
      <c r="DD31" s="24">
        <f>SUMIFS(Libro_Diario[[Cantidad ]],Libro_Diario[[Tipo ]],Gastos[[#Headers],[Gastos]],Libro_Diario[[Categoria ]],Gastos[[#This Row],[Gastos]],Libro_Diario[Fecha],"&gt;="&amp;'Libro Mayor'!DD$9,Libro_Diario[Fecha],"&lt;="&amp;EOMONTH('Libro Mayor'!DD$9,0))</f>
        <v>0</v>
      </c>
      <c r="DE31" s="24">
        <f>SUMIFS(Libro_Diario[[Cantidad ]],Libro_Diario[[Tipo ]],Gastos[[#Headers],[Gastos]],Libro_Diario[[Categoria ]],Gastos[[#This Row],[Gastos]],Libro_Diario[Fecha],"&gt;="&amp;'Libro Mayor'!DE$9,Libro_Diario[Fecha],"&lt;="&amp;EOMONTH('Libro Mayor'!DE$9,0))</f>
        <v>0</v>
      </c>
      <c r="DF31" s="24">
        <f>SUMIFS(Libro_Diario[[Cantidad ]],Libro_Diario[[Tipo ]],Gastos[[#Headers],[Gastos]],Libro_Diario[[Categoria ]],Gastos[[#This Row],[Gastos]],Libro_Diario[Fecha],"&gt;="&amp;'Libro Mayor'!DF$9,Libro_Diario[Fecha],"&lt;="&amp;EOMONTH('Libro Mayor'!DF$9,0))</f>
        <v>0</v>
      </c>
      <c r="DG31" s="24">
        <f>SUMIFS(Libro_Diario[[Cantidad ]],Libro_Diario[[Tipo ]],Gastos[[#Headers],[Gastos]],Libro_Diario[[Categoria ]],Gastos[[#This Row],[Gastos]],Libro_Diario[Fecha],"&gt;="&amp;'Libro Mayor'!DG$9,Libro_Diario[Fecha],"&lt;="&amp;EOMONTH('Libro Mayor'!DG$9,0))</f>
        <v>0</v>
      </c>
      <c r="DH31" s="24">
        <f>SUMIFS(Libro_Diario[[Cantidad ]],Libro_Diario[[Tipo ]],Gastos[[#Headers],[Gastos]],Libro_Diario[[Categoria ]],Gastos[[#This Row],[Gastos]],Libro_Diario[Fecha],"&gt;="&amp;'Libro Mayor'!DH$9,Libro_Diario[Fecha],"&lt;="&amp;EOMONTH('Libro Mayor'!DH$9,0))</f>
        <v>0</v>
      </c>
      <c r="DI31" s="24">
        <f>SUMIFS(Libro_Diario[[Cantidad ]],Libro_Diario[[Tipo ]],Gastos[[#Headers],[Gastos]],Libro_Diario[[Categoria ]],Gastos[[#This Row],[Gastos]],Libro_Diario[Fecha],"&gt;="&amp;'Libro Mayor'!DI$9,Libro_Diario[Fecha],"&lt;="&amp;EOMONTH('Libro Mayor'!DI$9,0))</f>
        <v>0</v>
      </c>
      <c r="DJ31" s="24">
        <f>SUMIFS(Libro_Diario[Detalles],Libro_Diario[[Categoria ]],Gastos[[#Headers],[Gastos]],Libro_Diario[[Cantidad ]],Gastos[[#This Row],[Gastos]],Libro_Diario[[Tipo ]],"&gt;="&amp;'Libro Mayor'!DJ$9,Libro_Diario[[Tipo ]],"&lt;="&amp;EOMONTH('Libro Mayor'!DJ$9,0))</f>
        <v>0</v>
      </c>
      <c r="DK31" s="25">
        <f t="shared" si="40"/>
        <v>0</v>
      </c>
      <c r="DM31" s="24">
        <f>SUMIFS(Libro_Diario[[Cantidad ]],Libro_Diario[[Tipo ]],Gastos[[#Headers],[Gastos]],Libro_Diario[[Categoria ]],Gastos[[#This Row],[Gastos]],Libro_Diario[Fecha],"&gt;="&amp;'Libro Mayor'!DM$9,Libro_Diario[Fecha],"&lt;="&amp;EOMONTH('Libro Mayor'!DM$9,0))</f>
        <v>0</v>
      </c>
      <c r="DN31" s="24">
        <f>SUMIFS(Libro_Diario[[Cantidad ]],Libro_Diario[[Tipo ]],Gastos[[#Headers],[Gastos]],Libro_Diario[[Categoria ]],Gastos[[#This Row],[Gastos]],Libro_Diario[Fecha],"&gt;="&amp;'Libro Mayor'!DN$9,Libro_Diario[Fecha],"&lt;="&amp;EOMONTH('Libro Mayor'!DN$9,0))</f>
        <v>0</v>
      </c>
      <c r="DO31" s="24">
        <f>SUMIFS(Libro_Diario[[Cantidad ]],Libro_Diario[[Tipo ]],Gastos[[#Headers],[Gastos]],Libro_Diario[[Categoria ]],Gastos[[#This Row],[Gastos]],Libro_Diario[Fecha],"&gt;="&amp;'Libro Mayor'!DO$9,Libro_Diario[Fecha],"&lt;="&amp;EOMONTH('Libro Mayor'!DO$9,0))</f>
        <v>0</v>
      </c>
      <c r="DP31" s="24">
        <f>SUMIFS(Libro_Diario[[Cantidad ]],Libro_Diario[[Tipo ]],Gastos[[#Headers],[Gastos]],Libro_Diario[[Categoria ]],Gastos[[#This Row],[Gastos]],Libro_Diario[Fecha],"&gt;="&amp;'Libro Mayor'!DP$9,Libro_Diario[Fecha],"&lt;="&amp;EOMONTH('Libro Mayor'!DP$9,0))</f>
        <v>0</v>
      </c>
      <c r="DQ31" s="24">
        <f>SUMIFS(Libro_Diario[[Cantidad ]],Libro_Diario[[Tipo ]],Gastos[[#Headers],[Gastos]],Libro_Diario[[Categoria ]],Gastos[[#This Row],[Gastos]],Libro_Diario[Fecha],"&gt;="&amp;'Libro Mayor'!DQ$9,Libro_Diario[Fecha],"&lt;="&amp;EOMONTH('Libro Mayor'!DQ$9,0))</f>
        <v>0</v>
      </c>
      <c r="DR31" s="24">
        <f>SUMIFS(Libro_Diario[[Cantidad ]],Libro_Diario[[Tipo ]],Gastos[[#Headers],[Gastos]],Libro_Diario[[Categoria ]],Gastos[[#This Row],[Gastos]],Libro_Diario[Fecha],"&gt;="&amp;'Libro Mayor'!DR$9,Libro_Diario[Fecha],"&lt;="&amp;EOMONTH('Libro Mayor'!DR$9,0))</f>
        <v>0</v>
      </c>
      <c r="DS31" s="24">
        <f>SUMIFS(Libro_Diario[[Cantidad ]],Libro_Diario[[Tipo ]],Gastos[[#Headers],[Gastos]],Libro_Diario[[Categoria ]],Gastos[[#This Row],[Gastos]],Libro_Diario[Fecha],"&gt;="&amp;'Libro Mayor'!DS$9,Libro_Diario[Fecha],"&lt;="&amp;EOMONTH('Libro Mayor'!DS$9,0))</f>
        <v>0</v>
      </c>
      <c r="DT31" s="24">
        <f>SUMIFS(Libro_Diario[[Cantidad ]],Libro_Diario[[Tipo ]],Gastos[[#Headers],[Gastos]],Libro_Diario[[Categoria ]],Gastos[[#This Row],[Gastos]],Libro_Diario[Fecha],"&gt;="&amp;'Libro Mayor'!DT$9,Libro_Diario[Fecha],"&lt;="&amp;EOMONTH('Libro Mayor'!DT$9,0))</f>
        <v>0</v>
      </c>
      <c r="DU31" s="24">
        <f>SUMIFS(Libro_Diario[[Cantidad ]],Libro_Diario[[Tipo ]],Gastos[[#Headers],[Gastos]],Libro_Diario[[Categoria ]],Gastos[[#This Row],[Gastos]],Libro_Diario[Fecha],"&gt;="&amp;'Libro Mayor'!DU$9,Libro_Diario[Fecha],"&lt;="&amp;EOMONTH('Libro Mayor'!DU$9,0))</f>
        <v>0</v>
      </c>
      <c r="DV31" s="24">
        <f>SUMIFS(Libro_Diario[[Cantidad ]],Libro_Diario[[Tipo ]],Gastos[[#Headers],[Gastos]],Libro_Diario[[Categoria ]],Gastos[[#This Row],[Gastos]],Libro_Diario[Fecha],"&gt;="&amp;'Libro Mayor'!DV$9,Libro_Diario[Fecha],"&lt;="&amp;EOMONTH('Libro Mayor'!DV$9,0))</f>
        <v>0</v>
      </c>
      <c r="DW31" s="24">
        <f>SUMIFS(Libro_Diario[[Cantidad ]],Libro_Diario[[Tipo ]],Gastos[[#Headers],[Gastos]],Libro_Diario[[Categoria ]],Gastos[[#This Row],[Gastos]],Libro_Diario[Fecha],"&gt;="&amp;'Libro Mayor'!DW$9,Libro_Diario[Fecha],"&lt;="&amp;EOMONTH('Libro Mayor'!DW$9,0))</f>
        <v>0</v>
      </c>
      <c r="DX31" s="24">
        <f>SUMIFS(Libro_Diario[Detalles],Libro_Diario[[Categoria ]],Gastos[[#Headers],[Gastos]],Libro_Diario[[Cantidad ]],Gastos[[#This Row],[Gastos]],Libro_Diario[[Tipo ]],"&gt;="&amp;'Libro Mayor'!DX$9,Libro_Diario[[Tipo ]],"&lt;="&amp;EOMONTH('Libro Mayor'!DX$9,0))</f>
        <v>0</v>
      </c>
      <c r="DY31" s="25">
        <f t="shared" si="41"/>
        <v>0</v>
      </c>
      <c r="EA31" s="24">
        <f>SUMIFS(Libro_Diario[[Cantidad ]],Libro_Diario[[Tipo ]],Gastos[[#Headers],[Gastos]],Libro_Diario[[Categoria ]],Gastos[[#This Row],[Gastos]],Libro_Diario[Fecha],"&gt;="&amp;'Libro Mayor'!EA$9,Libro_Diario[Fecha],"&lt;="&amp;EOMONTH('Libro Mayor'!EA$9,0))</f>
        <v>0</v>
      </c>
      <c r="EB31" s="24">
        <f>SUMIFS(Libro_Diario[[Cantidad ]],Libro_Diario[[Tipo ]],Gastos[[#Headers],[Gastos]],Libro_Diario[[Categoria ]],Gastos[[#This Row],[Gastos]],Libro_Diario[Fecha],"&gt;="&amp;'Libro Mayor'!EB$9,Libro_Diario[Fecha],"&lt;="&amp;EOMONTH('Libro Mayor'!EB$9,0))</f>
        <v>0</v>
      </c>
      <c r="EC31" s="24">
        <f>SUMIFS(Libro_Diario[[Cantidad ]],Libro_Diario[[Tipo ]],Gastos[[#Headers],[Gastos]],Libro_Diario[[Categoria ]],Gastos[[#This Row],[Gastos]],Libro_Diario[Fecha],"&gt;="&amp;'Libro Mayor'!EC$9,Libro_Diario[Fecha],"&lt;="&amp;EOMONTH('Libro Mayor'!EC$9,0))</f>
        <v>0</v>
      </c>
      <c r="ED31" s="24">
        <f>SUMIFS(Libro_Diario[[Cantidad ]],Libro_Diario[[Tipo ]],Gastos[[#Headers],[Gastos]],Libro_Diario[[Categoria ]],Gastos[[#This Row],[Gastos]],Libro_Diario[Fecha],"&gt;="&amp;'Libro Mayor'!ED$9,Libro_Diario[Fecha],"&lt;="&amp;EOMONTH('Libro Mayor'!ED$9,0))</f>
        <v>0</v>
      </c>
      <c r="EE31" s="24">
        <f>SUMIFS(Libro_Diario[[Cantidad ]],Libro_Diario[[Tipo ]],Gastos[[#Headers],[Gastos]],Libro_Diario[[Categoria ]],Gastos[[#This Row],[Gastos]],Libro_Diario[Fecha],"&gt;="&amp;'Libro Mayor'!EE$9,Libro_Diario[Fecha],"&lt;="&amp;EOMONTH('Libro Mayor'!EE$9,0))</f>
        <v>0</v>
      </c>
      <c r="EF31" s="24">
        <f>SUMIFS(Libro_Diario[[Cantidad ]],Libro_Diario[[Tipo ]],Gastos[[#Headers],[Gastos]],Libro_Diario[[Categoria ]],Gastos[[#This Row],[Gastos]],Libro_Diario[Fecha],"&gt;="&amp;'Libro Mayor'!EF$9,Libro_Diario[Fecha],"&lt;="&amp;EOMONTH('Libro Mayor'!EF$9,0))</f>
        <v>0</v>
      </c>
      <c r="EG31" s="24">
        <f>SUMIFS(Libro_Diario[[Cantidad ]],Libro_Diario[[Tipo ]],Gastos[[#Headers],[Gastos]],Libro_Diario[[Categoria ]],Gastos[[#This Row],[Gastos]],Libro_Diario[Fecha],"&gt;="&amp;'Libro Mayor'!EG$9,Libro_Diario[Fecha],"&lt;="&amp;EOMONTH('Libro Mayor'!EG$9,0))</f>
        <v>0</v>
      </c>
      <c r="EH31" s="24">
        <f>SUMIFS(Libro_Diario[[Cantidad ]],Libro_Diario[[Tipo ]],Gastos[[#Headers],[Gastos]],Libro_Diario[[Categoria ]],Gastos[[#This Row],[Gastos]],Libro_Diario[Fecha],"&gt;="&amp;'Libro Mayor'!EH$9,Libro_Diario[Fecha],"&lt;="&amp;EOMONTH('Libro Mayor'!EH$9,0))</f>
        <v>0</v>
      </c>
      <c r="EI31" s="24">
        <f>SUMIFS(Libro_Diario[[Cantidad ]],Libro_Diario[[Tipo ]],Gastos[[#Headers],[Gastos]],Libro_Diario[[Categoria ]],Gastos[[#This Row],[Gastos]],Libro_Diario[Fecha],"&gt;="&amp;'Libro Mayor'!EI$9,Libro_Diario[Fecha],"&lt;="&amp;EOMONTH('Libro Mayor'!EI$9,0))</f>
        <v>0</v>
      </c>
      <c r="EJ31" s="24">
        <f>SUMIFS(Libro_Diario[[Cantidad ]],Libro_Diario[[Tipo ]],Gastos[[#Headers],[Gastos]],Libro_Diario[[Categoria ]],Gastos[[#This Row],[Gastos]],Libro_Diario[Fecha],"&gt;="&amp;'Libro Mayor'!EJ$9,Libro_Diario[Fecha],"&lt;="&amp;EOMONTH('Libro Mayor'!EJ$9,0))</f>
        <v>0</v>
      </c>
      <c r="EK31" s="24">
        <f>SUMIFS(Libro_Diario[[Cantidad ]],Libro_Diario[[Tipo ]],Gastos[[#Headers],[Gastos]],Libro_Diario[[Categoria ]],Gastos[[#This Row],[Gastos]],Libro_Diario[Fecha],"&gt;="&amp;'Libro Mayor'!EK$9,Libro_Diario[Fecha],"&lt;="&amp;EOMONTH('Libro Mayor'!EK$9,0))</f>
        <v>0</v>
      </c>
      <c r="EL31" s="24">
        <f>SUMIFS(Libro_Diario[Detalles],Libro_Diario[[Categoria ]],Gastos[[#Headers],[Gastos]],Libro_Diario[[Cantidad ]],Gastos[[#This Row],[Gastos]],Libro_Diario[[Tipo ]],"&gt;="&amp;'Libro Mayor'!EL$9,Libro_Diario[[Tipo ]],"&lt;="&amp;EOMONTH('Libro Mayor'!EL$9,0))</f>
        <v>0</v>
      </c>
      <c r="EM31" s="25">
        <f t="shared" si="42"/>
        <v>0</v>
      </c>
      <c r="EO31" s="24">
        <f>SUMIFS(Libro_Diario[[Cantidad ]],Libro_Diario[[Tipo ]],Gastos[[#Headers],[Gastos]],Libro_Diario[[Categoria ]],Gastos[[#This Row],[Gastos]],Libro_Diario[Fecha],"&gt;="&amp;'Libro Mayor'!EO$9,Libro_Diario[Fecha],"&lt;="&amp;EOMONTH('Libro Mayor'!EO$9,0))</f>
        <v>0</v>
      </c>
      <c r="EP31" s="24">
        <f>SUMIFS(Libro_Diario[[Cantidad ]],Libro_Diario[[Tipo ]],Gastos[[#Headers],[Gastos]],Libro_Diario[[Categoria ]],Gastos[[#This Row],[Gastos]],Libro_Diario[Fecha],"&gt;="&amp;'Libro Mayor'!EP$9,Libro_Diario[Fecha],"&lt;="&amp;EOMONTH('Libro Mayor'!EP$9,0))</f>
        <v>0</v>
      </c>
      <c r="EQ31" s="24">
        <f>SUMIFS(Libro_Diario[[Cantidad ]],Libro_Diario[[Tipo ]],Gastos[[#Headers],[Gastos]],Libro_Diario[[Categoria ]],Gastos[[#This Row],[Gastos]],Libro_Diario[Fecha],"&gt;="&amp;'Libro Mayor'!EQ$9,Libro_Diario[Fecha],"&lt;="&amp;EOMONTH('Libro Mayor'!EQ$9,0))</f>
        <v>0</v>
      </c>
      <c r="ER31" s="24">
        <f>SUMIFS(Libro_Diario[[Cantidad ]],Libro_Diario[[Tipo ]],Gastos[[#Headers],[Gastos]],Libro_Diario[[Categoria ]],Gastos[[#This Row],[Gastos]],Libro_Diario[Fecha],"&gt;="&amp;'Libro Mayor'!ER$9,Libro_Diario[Fecha],"&lt;="&amp;EOMONTH('Libro Mayor'!ER$9,0))</f>
        <v>0</v>
      </c>
      <c r="ES31" s="24">
        <f>SUMIFS(Libro_Diario[[Cantidad ]],Libro_Diario[[Tipo ]],Gastos[[#Headers],[Gastos]],Libro_Diario[[Categoria ]],Gastos[[#This Row],[Gastos]],Libro_Diario[Fecha],"&gt;="&amp;'Libro Mayor'!ES$9,Libro_Diario[Fecha],"&lt;="&amp;EOMONTH('Libro Mayor'!ES$9,0))</f>
        <v>0</v>
      </c>
      <c r="ET31" s="24">
        <f>SUMIFS(Libro_Diario[[Cantidad ]],Libro_Diario[[Tipo ]],Gastos[[#Headers],[Gastos]],Libro_Diario[[Categoria ]],Gastos[[#This Row],[Gastos]],Libro_Diario[Fecha],"&gt;="&amp;'Libro Mayor'!ET$9,Libro_Diario[Fecha],"&lt;="&amp;EOMONTH('Libro Mayor'!ET$9,0))</f>
        <v>0</v>
      </c>
      <c r="EU31" s="24">
        <f>SUMIFS(Libro_Diario[[Cantidad ]],Libro_Diario[[Tipo ]],Gastos[[#Headers],[Gastos]],Libro_Diario[[Categoria ]],Gastos[[#This Row],[Gastos]],Libro_Diario[Fecha],"&gt;="&amp;'Libro Mayor'!EU$9,Libro_Diario[Fecha],"&lt;="&amp;EOMONTH('Libro Mayor'!EU$9,0))</f>
        <v>0</v>
      </c>
      <c r="EV31" s="24">
        <f>SUMIFS(Libro_Diario[[Cantidad ]],Libro_Diario[[Tipo ]],Gastos[[#Headers],[Gastos]],Libro_Diario[[Categoria ]],Gastos[[#This Row],[Gastos]],Libro_Diario[Fecha],"&gt;="&amp;'Libro Mayor'!EV$9,Libro_Diario[Fecha],"&lt;="&amp;EOMONTH('Libro Mayor'!EV$9,0))</f>
        <v>0</v>
      </c>
      <c r="EW31" s="24">
        <f>SUMIFS(Libro_Diario[[Cantidad ]],Libro_Diario[[Tipo ]],Gastos[[#Headers],[Gastos]],Libro_Diario[[Categoria ]],Gastos[[#This Row],[Gastos]],Libro_Diario[Fecha],"&gt;="&amp;'Libro Mayor'!EW$9,Libro_Diario[Fecha],"&lt;="&amp;EOMONTH('Libro Mayor'!EW$9,0))</f>
        <v>0</v>
      </c>
      <c r="EX31" s="24">
        <f>SUMIFS(Libro_Diario[[Cantidad ]],Libro_Diario[[Tipo ]],Gastos[[#Headers],[Gastos]],Libro_Diario[[Categoria ]],Gastos[[#This Row],[Gastos]],Libro_Diario[Fecha],"&gt;="&amp;'Libro Mayor'!EX$9,Libro_Diario[Fecha],"&lt;="&amp;EOMONTH('Libro Mayor'!EX$9,0))</f>
        <v>0</v>
      </c>
      <c r="EY31" s="24">
        <f>SUMIFS(Libro_Diario[[Cantidad ]],Libro_Diario[[Tipo ]],Gastos[[#Headers],[Gastos]],Libro_Diario[[Categoria ]],Gastos[[#This Row],[Gastos]],Libro_Diario[Fecha],"&gt;="&amp;'Libro Mayor'!EY$9,Libro_Diario[Fecha],"&lt;="&amp;EOMONTH('Libro Mayor'!EY$9,0))</f>
        <v>0</v>
      </c>
      <c r="EZ31" s="24">
        <f>SUMIFS(Libro_Diario[[Cantidad ]],Libro_Diario[[Tipo ]],Gastos[[#Headers],[Gastos]],Libro_Diario[[Categoria ]],Gastos[[#This Row],[Gastos]],Libro_Diario[Fecha],"&gt;="&amp;'Libro Mayor'!EZ$9,Libro_Diario[Fecha],"&lt;="&amp;EOMONTH('Libro Mayor'!EZ$9,0))</f>
        <v>0</v>
      </c>
      <c r="FA31" s="25">
        <f t="shared" si="22"/>
        <v>0</v>
      </c>
    </row>
    <row r="32" spans="3:157" x14ac:dyDescent="0.3">
      <c r="C32" s="16" t="s">
        <v>56</v>
      </c>
      <c r="D32" s="23"/>
      <c r="E32" s="24">
        <f>SUMIFS(Libro_Diario[[Cantidad ]],Libro_Diario[[Tipo ]],Gastos[[#Headers],[Gastos]],Libro_Diario[[Categoria ]],Gastos[[#This Row],[Gastos]],Libro_Diario[Fecha],"&gt;="&amp;'Libro Mayor'!E$9,Libro_Diario[Fecha],"&lt;="&amp;EOMONTH('Libro Mayor'!E$9,0))</f>
        <v>0</v>
      </c>
      <c r="F32" s="24">
        <f>SUMIFS(Libro_Diario[[Cantidad ]],Libro_Diario[[Tipo ]],Gastos[[#Headers],[Gastos]],Libro_Diario[[Categoria ]],Gastos[[#This Row],[Gastos]],Libro_Diario[Fecha],"&gt;="&amp;'Libro Mayor'!F$9,Libro_Diario[Fecha],"&lt;="&amp;EOMONTH('Libro Mayor'!F$9,0))</f>
        <v>0</v>
      </c>
      <c r="G32" s="24">
        <f>SUMIFS(Libro_Diario[[Cantidad ]],Libro_Diario[[Tipo ]],Gastos[[#Headers],[Gastos]],Libro_Diario[[Categoria ]],Gastos[[#This Row],[Gastos]],Libro_Diario[Fecha],"&gt;="&amp;'Libro Mayor'!G$9,Libro_Diario[Fecha],"&lt;="&amp;EOMONTH('Libro Mayor'!G$9,0))</f>
        <v>0</v>
      </c>
      <c r="H32" s="24">
        <f>SUMIFS(Libro_Diario[[Cantidad ]],Libro_Diario[[Tipo ]],Gastos[[#Headers],[Gastos]],Libro_Diario[[Categoria ]],Gastos[[#This Row],[Gastos]],Libro_Diario[Fecha],"&gt;="&amp;'Libro Mayor'!H$9,Libro_Diario[Fecha],"&lt;="&amp;EOMONTH('Libro Mayor'!H$9,0))</f>
        <v>0</v>
      </c>
      <c r="I32" s="24">
        <f>SUMIFS(Libro_Diario[[Cantidad ]],Libro_Diario[[Tipo ]],Gastos[[#Headers],[Gastos]],Libro_Diario[[Categoria ]],Gastos[[#This Row],[Gastos]],Libro_Diario[Fecha],"&gt;="&amp;'Libro Mayor'!I$9,Libro_Diario[Fecha],"&lt;="&amp;EOMONTH('Libro Mayor'!I$9,0))</f>
        <v>0</v>
      </c>
      <c r="J32" s="24">
        <f>SUMIFS(Libro_Diario[[Cantidad ]],Libro_Diario[[Tipo ]],Gastos[[#Headers],[Gastos]],Libro_Diario[[Categoria ]],Gastos[[#This Row],[Gastos]],Libro_Diario[Fecha],"&gt;="&amp;'Libro Mayor'!J$9,Libro_Diario[Fecha],"&lt;="&amp;EOMONTH('Libro Mayor'!J$9,0))</f>
        <v>0</v>
      </c>
      <c r="K32" s="24">
        <f>SUMIFS(Libro_Diario[[Cantidad ]],Libro_Diario[[Tipo ]],Gastos[[#Headers],[Gastos]],Libro_Diario[[Categoria ]],Gastos[[#This Row],[Gastos]],Libro_Diario[Fecha],"&gt;="&amp;'Libro Mayor'!K$9,Libro_Diario[Fecha],"&lt;="&amp;EOMONTH('Libro Mayor'!K$9,0))</f>
        <v>0</v>
      </c>
      <c r="L32" s="24">
        <f>SUMIFS(Libro_Diario[[Cantidad ]],Libro_Diario[[Tipo ]],Gastos[[#Headers],[Gastos]],Libro_Diario[[Categoria ]],Gastos[[#This Row],[Gastos]],Libro_Diario[Fecha],"&gt;="&amp;'Libro Mayor'!L$9,Libro_Diario[Fecha],"&lt;="&amp;EOMONTH('Libro Mayor'!L$9,0))</f>
        <v>0</v>
      </c>
      <c r="M32" s="24">
        <f>SUMIFS(Libro_Diario[[Cantidad ]],Libro_Diario[[Tipo ]],Gastos[[#Headers],[Gastos]],Libro_Diario[[Categoria ]],Gastos[[#This Row],[Gastos]],Libro_Diario[Fecha],"&gt;="&amp;'Libro Mayor'!M$9,Libro_Diario[Fecha],"&lt;="&amp;EOMONTH('Libro Mayor'!M$9,0))</f>
        <v>0</v>
      </c>
      <c r="N32" s="24">
        <f>SUMIFS(Libro_Diario[[Cantidad ]],Libro_Diario[[Tipo ]],Gastos[[#Headers],[Gastos]],Libro_Diario[[Categoria ]],Gastos[[#This Row],[Gastos]],Libro_Diario[Fecha],"&gt;="&amp;'Libro Mayor'!N$9,Libro_Diario[Fecha],"&lt;="&amp;EOMONTH('Libro Mayor'!N$9,0))</f>
        <v>0</v>
      </c>
      <c r="O32" s="24">
        <f>SUMIFS(Libro_Diario[[Cantidad ]],Libro_Diario[[Tipo ]],Gastos[[#Headers],[Gastos]],Libro_Diario[[Categoria ]],Gastos[[#This Row],[Gastos]],Libro_Diario[Fecha],"&gt;="&amp;'Libro Mayor'!O$9,Libro_Diario[Fecha],"&lt;="&amp;EOMONTH('Libro Mayor'!O$9,0))</f>
        <v>0</v>
      </c>
      <c r="P32" s="24">
        <f>SUMIFS(Libro_Diario[[Cantidad ]],Libro_Diario[[Tipo ]],Gastos[[#Headers],[Gastos]],Libro_Diario[[Categoria ]],Gastos[[#This Row],[Gastos]],Libro_Diario[Fecha],"&gt;="&amp;'Libro Mayor'!P$9,Libro_Diario[Fecha],"&lt;="&amp;EOMONTH('Libro Mayor'!P$9,0))</f>
        <v>0</v>
      </c>
      <c r="Q32" s="25">
        <f t="shared" si="23"/>
        <v>0</v>
      </c>
      <c r="S32" s="24">
        <f>SUMIFS(Libro_Diario[[Cantidad ]],Libro_Diario[[Tipo ]],Gastos[[#Headers],[Gastos]],Libro_Diario[[Categoria ]],Gastos[[#This Row],[Gastos]],Libro_Diario[Fecha],"&gt;="&amp;'Libro Mayor'!S$9,Libro_Diario[Fecha],"&lt;="&amp;EOMONTH('Libro Mayor'!S$9,0))</f>
        <v>0</v>
      </c>
      <c r="T32" s="24">
        <f>SUMIFS(Libro_Diario[[Cantidad ]],Libro_Diario[[Tipo ]],Gastos[[#Headers],[Gastos]],Libro_Diario[[Categoria ]],Gastos[[#This Row],[Gastos]],Libro_Diario[Fecha],"&gt;="&amp;'Libro Mayor'!T$9,Libro_Diario[Fecha],"&lt;="&amp;EOMONTH('Libro Mayor'!T$9,0))</f>
        <v>0</v>
      </c>
      <c r="U32" s="24">
        <f>SUMIFS(Libro_Diario[[Cantidad ]],Libro_Diario[[Tipo ]],Gastos[[#Headers],[Gastos]],Libro_Diario[[Categoria ]],Gastos[[#This Row],[Gastos]],Libro_Diario[Fecha],"&gt;="&amp;'Libro Mayor'!U$9,Libro_Diario[Fecha],"&lt;="&amp;EOMONTH('Libro Mayor'!U$9,0))</f>
        <v>0</v>
      </c>
      <c r="V32" s="24">
        <f>SUMIFS(Libro_Diario[[Cantidad ]],Libro_Diario[[Tipo ]],Gastos[[#Headers],[Gastos]],Libro_Diario[[Categoria ]],Gastos[[#This Row],[Gastos]],Libro_Diario[Fecha],"&gt;="&amp;'Libro Mayor'!V$9,Libro_Diario[Fecha],"&lt;="&amp;EOMONTH('Libro Mayor'!V$9,0))</f>
        <v>0</v>
      </c>
      <c r="W32" s="24">
        <f>SUMIFS(Libro_Diario[[Cantidad ]],Libro_Diario[[Tipo ]],Gastos[[#Headers],[Gastos]],Libro_Diario[[Categoria ]],Gastos[[#This Row],[Gastos]],Libro_Diario[Fecha],"&gt;="&amp;'Libro Mayor'!W$9,Libro_Diario[Fecha],"&lt;="&amp;EOMONTH('Libro Mayor'!W$9,0))</f>
        <v>0</v>
      </c>
      <c r="X32" s="24">
        <f>SUMIFS(Libro_Diario[[Cantidad ]],Libro_Diario[[Tipo ]],Gastos[[#Headers],[Gastos]],Libro_Diario[[Categoria ]],Gastos[[#This Row],[Gastos]],Libro_Diario[Fecha],"&gt;="&amp;'Libro Mayor'!X$9,Libro_Diario[Fecha],"&lt;="&amp;EOMONTH('Libro Mayor'!X$9,0))</f>
        <v>0</v>
      </c>
      <c r="Y32" s="24">
        <f>SUMIFS(Libro_Diario[[Cantidad ]],Libro_Diario[[Tipo ]],Gastos[[#Headers],[Gastos]],Libro_Diario[[Categoria ]],Gastos[[#This Row],[Gastos]],Libro_Diario[Fecha],"&gt;="&amp;'Libro Mayor'!Y$9,Libro_Diario[Fecha],"&lt;="&amp;EOMONTH('Libro Mayor'!Y$9,0))</f>
        <v>0</v>
      </c>
      <c r="Z32" s="24">
        <f>SUMIFS(Libro_Diario[[Cantidad ]],Libro_Diario[[Tipo ]],Gastos[[#Headers],[Gastos]],Libro_Diario[[Categoria ]],Gastos[[#This Row],[Gastos]],Libro_Diario[Fecha],"&gt;="&amp;'Libro Mayor'!Z$9,Libro_Diario[Fecha],"&lt;="&amp;EOMONTH('Libro Mayor'!Z$9,0))</f>
        <v>0</v>
      </c>
      <c r="AA32" s="24">
        <f>SUMIFS(Libro_Diario[[Cantidad ]],Libro_Diario[[Tipo ]],Gastos[[#Headers],[Gastos]],Libro_Diario[[Categoria ]],Gastos[[#This Row],[Gastos]],Libro_Diario[Fecha],"&gt;="&amp;'Libro Mayor'!AA$9,Libro_Diario[Fecha],"&lt;="&amp;EOMONTH('Libro Mayor'!AA$9,0))</f>
        <v>0</v>
      </c>
      <c r="AB32" s="24">
        <f>SUMIFS(Libro_Diario[[Cantidad ]],Libro_Diario[[Tipo ]],Gastos[[#Headers],[Gastos]],Libro_Diario[[Categoria ]],Gastos[[#This Row],[Gastos]],Libro_Diario[Fecha],"&gt;="&amp;'Libro Mayor'!AB$9,Libro_Diario[Fecha],"&lt;="&amp;EOMONTH('Libro Mayor'!AB$9,0))</f>
        <v>0</v>
      </c>
      <c r="AC32" s="24">
        <f>SUMIFS(Libro_Diario[[Cantidad ]],Libro_Diario[[Tipo ]],Gastos[[#Headers],[Gastos]],Libro_Diario[[Categoria ]],Gastos[[#This Row],[Gastos]],Libro_Diario[Fecha],"&gt;="&amp;'Libro Mayor'!AC$9,Libro_Diario[Fecha],"&lt;="&amp;EOMONTH('Libro Mayor'!AC$9,0))</f>
        <v>0</v>
      </c>
      <c r="AD32" s="24">
        <f>SUMIFS(Libro_Diario[Detalles],Libro_Diario[[Categoria ]],Gastos[[#Headers],[Gastos]],Libro_Diario[[Cantidad ]],Gastos[[#This Row],[Gastos]],Libro_Diario[[Tipo ]],"&gt;="&amp;'Libro Mayor'!AD$9,Libro_Diario[[Tipo ]],"&lt;="&amp;EOMONTH('Libro Mayor'!AD$9,0))</f>
        <v>0</v>
      </c>
      <c r="AE32" s="25">
        <f t="shared" ref="AE32:AE34" si="43">SUM(S32:AD32)</f>
        <v>0</v>
      </c>
      <c r="AG32" s="24">
        <f>SUMIFS(Libro_Diario[[Cantidad ]],Libro_Diario[[Tipo ]],Gastos[[#Headers],[Gastos]],Libro_Diario[[Categoria ]],Gastos[[#This Row],[Gastos]],Libro_Diario[Fecha],"&gt;="&amp;'Libro Mayor'!AG$9,Libro_Diario[Fecha],"&lt;="&amp;EOMONTH('Libro Mayor'!AG$9,0))</f>
        <v>0</v>
      </c>
      <c r="AH32" s="24">
        <f>SUMIFS(Libro_Diario[[Cantidad ]],Libro_Diario[[Tipo ]],Gastos[[#Headers],[Gastos]],Libro_Diario[[Categoria ]],Gastos[[#This Row],[Gastos]],Libro_Diario[Fecha],"&gt;="&amp;'Libro Mayor'!AH$9,Libro_Diario[Fecha],"&lt;="&amp;EOMONTH('Libro Mayor'!AH$9,0))</f>
        <v>0</v>
      </c>
      <c r="AI32" s="24">
        <f>SUMIFS(Libro_Diario[[Cantidad ]],Libro_Diario[[Tipo ]],Gastos[[#Headers],[Gastos]],Libro_Diario[[Categoria ]],Gastos[[#This Row],[Gastos]],Libro_Diario[Fecha],"&gt;="&amp;'Libro Mayor'!AI$9,Libro_Diario[Fecha],"&lt;="&amp;EOMONTH('Libro Mayor'!AI$9,0))</f>
        <v>0</v>
      </c>
      <c r="AJ32" s="24">
        <f>SUMIFS(Libro_Diario[[Cantidad ]],Libro_Diario[[Tipo ]],Gastos[[#Headers],[Gastos]],Libro_Diario[[Categoria ]],Gastos[[#This Row],[Gastos]],Libro_Diario[Fecha],"&gt;="&amp;'Libro Mayor'!AJ$9,Libro_Diario[Fecha],"&lt;="&amp;EOMONTH('Libro Mayor'!AJ$9,0))</f>
        <v>0</v>
      </c>
      <c r="AK32" s="24">
        <f>SUMIFS(Libro_Diario[[Cantidad ]],Libro_Diario[[Tipo ]],Gastos[[#Headers],[Gastos]],Libro_Diario[[Categoria ]],Gastos[[#This Row],[Gastos]],Libro_Diario[Fecha],"&gt;="&amp;'Libro Mayor'!AK$9,Libro_Diario[Fecha],"&lt;="&amp;EOMONTH('Libro Mayor'!AK$9,0))</f>
        <v>0</v>
      </c>
      <c r="AL32" s="24">
        <f>SUMIFS(Libro_Diario[[Cantidad ]],Libro_Diario[[Tipo ]],Gastos[[#Headers],[Gastos]],Libro_Diario[[Categoria ]],Gastos[[#This Row],[Gastos]],Libro_Diario[Fecha],"&gt;="&amp;'Libro Mayor'!AL$9,Libro_Diario[Fecha],"&lt;="&amp;EOMONTH('Libro Mayor'!AL$9,0))</f>
        <v>0</v>
      </c>
      <c r="AM32" s="24">
        <f>SUMIFS(Libro_Diario[[Cantidad ]],Libro_Diario[[Tipo ]],Gastos[[#Headers],[Gastos]],Libro_Diario[[Categoria ]],Gastos[[#This Row],[Gastos]],Libro_Diario[Fecha],"&gt;="&amp;'Libro Mayor'!AM$9,Libro_Diario[Fecha],"&lt;="&amp;EOMONTH('Libro Mayor'!AM$9,0))</f>
        <v>0</v>
      </c>
      <c r="AN32" s="24">
        <f>SUMIFS(Libro_Diario[[Cantidad ]],Libro_Diario[[Tipo ]],Gastos[[#Headers],[Gastos]],Libro_Diario[[Categoria ]],Gastos[[#This Row],[Gastos]],Libro_Diario[Fecha],"&gt;="&amp;'Libro Mayor'!AN$9,Libro_Diario[Fecha],"&lt;="&amp;EOMONTH('Libro Mayor'!AN$9,0))</f>
        <v>0</v>
      </c>
      <c r="AO32" s="24">
        <f>SUMIFS(Libro_Diario[[Cantidad ]],Libro_Diario[[Tipo ]],Gastos[[#Headers],[Gastos]],Libro_Diario[[Categoria ]],Gastos[[#This Row],[Gastos]],Libro_Diario[Fecha],"&gt;="&amp;'Libro Mayor'!AO$9,Libro_Diario[Fecha],"&lt;="&amp;EOMONTH('Libro Mayor'!AO$9,0))</f>
        <v>0</v>
      </c>
      <c r="AP32" s="24">
        <f>SUMIFS(Libro_Diario[[Cantidad ]],Libro_Diario[[Tipo ]],Gastos[[#Headers],[Gastos]],Libro_Diario[[Categoria ]],Gastos[[#This Row],[Gastos]],Libro_Diario[Fecha],"&gt;="&amp;'Libro Mayor'!AP$9,Libro_Diario[Fecha],"&lt;="&amp;EOMONTH('Libro Mayor'!AP$9,0))</f>
        <v>0</v>
      </c>
      <c r="AQ32" s="24">
        <f>SUMIFS(Libro_Diario[[Cantidad ]],Libro_Diario[[Tipo ]],Gastos[[#Headers],[Gastos]],Libro_Diario[[Categoria ]],Gastos[[#This Row],[Gastos]],Libro_Diario[Fecha],"&gt;="&amp;'Libro Mayor'!AQ$9,Libro_Diario[Fecha],"&lt;="&amp;EOMONTH('Libro Mayor'!AQ$9,0))</f>
        <v>0</v>
      </c>
      <c r="AR32" s="24">
        <f>SUMIFS(Libro_Diario[Detalles],Libro_Diario[[Categoria ]],Gastos[[#Headers],[Gastos]],Libro_Diario[[Cantidad ]],Gastos[[#This Row],[Gastos]],Libro_Diario[[Tipo ]],"&gt;="&amp;'Libro Mayor'!AR$9,Libro_Diario[[Tipo ]],"&lt;="&amp;EOMONTH('Libro Mayor'!AR$9,0))</f>
        <v>0</v>
      </c>
      <c r="AS32" s="25">
        <f t="shared" si="35"/>
        <v>0</v>
      </c>
      <c r="AU32" s="24">
        <f>SUMIFS(Libro_Diario[[Cantidad ]],Libro_Diario[[Tipo ]],Gastos[[#Headers],[Gastos]],Libro_Diario[[Categoria ]],Gastos[[#This Row],[Gastos]],Libro_Diario[Fecha],"&gt;="&amp;'Libro Mayor'!AU$9,Libro_Diario[Fecha],"&lt;="&amp;EOMONTH('Libro Mayor'!AU$9,0))</f>
        <v>0</v>
      </c>
      <c r="AV32" s="24">
        <f>SUMIFS(Libro_Diario[[Cantidad ]],Libro_Diario[[Tipo ]],Gastos[[#Headers],[Gastos]],Libro_Diario[[Categoria ]],Gastos[[#This Row],[Gastos]],Libro_Diario[Fecha],"&gt;="&amp;'Libro Mayor'!AV$9,Libro_Diario[Fecha],"&lt;="&amp;EOMONTH('Libro Mayor'!AV$9,0))</f>
        <v>0</v>
      </c>
      <c r="AW32" s="24">
        <f>SUMIFS(Libro_Diario[[Cantidad ]],Libro_Diario[[Tipo ]],Gastos[[#Headers],[Gastos]],Libro_Diario[[Categoria ]],Gastos[[#This Row],[Gastos]],Libro_Diario[Fecha],"&gt;="&amp;'Libro Mayor'!AW$9,Libro_Diario[Fecha],"&lt;="&amp;EOMONTH('Libro Mayor'!AW$9,0))</f>
        <v>0</v>
      </c>
      <c r="AX32" s="24">
        <f>SUMIFS(Libro_Diario[[Cantidad ]],Libro_Diario[[Tipo ]],Gastos[[#Headers],[Gastos]],Libro_Diario[[Categoria ]],Gastos[[#This Row],[Gastos]],Libro_Diario[Fecha],"&gt;="&amp;'Libro Mayor'!AX$9,Libro_Diario[Fecha],"&lt;="&amp;EOMONTH('Libro Mayor'!AX$9,0))</f>
        <v>0</v>
      </c>
      <c r="AY32" s="24">
        <f>SUMIFS(Libro_Diario[[Cantidad ]],Libro_Diario[[Tipo ]],Gastos[[#Headers],[Gastos]],Libro_Diario[[Categoria ]],Gastos[[#This Row],[Gastos]],Libro_Diario[Fecha],"&gt;="&amp;'Libro Mayor'!AY$9,Libro_Diario[Fecha],"&lt;="&amp;EOMONTH('Libro Mayor'!AY$9,0))</f>
        <v>0</v>
      </c>
      <c r="AZ32" s="24">
        <f>SUMIFS(Libro_Diario[[Cantidad ]],Libro_Diario[[Tipo ]],Gastos[[#Headers],[Gastos]],Libro_Diario[[Categoria ]],Gastos[[#This Row],[Gastos]],Libro_Diario[Fecha],"&gt;="&amp;'Libro Mayor'!AZ$9,Libro_Diario[Fecha],"&lt;="&amp;EOMONTH('Libro Mayor'!AZ$9,0))</f>
        <v>0</v>
      </c>
      <c r="BA32" s="24">
        <f>SUMIFS(Libro_Diario[[Cantidad ]],Libro_Diario[[Tipo ]],Gastos[[#Headers],[Gastos]],Libro_Diario[[Categoria ]],Gastos[[#This Row],[Gastos]],Libro_Diario[Fecha],"&gt;="&amp;'Libro Mayor'!BA$9,Libro_Diario[Fecha],"&lt;="&amp;EOMONTH('Libro Mayor'!BA$9,0))</f>
        <v>0</v>
      </c>
      <c r="BB32" s="24">
        <f>SUMIFS(Libro_Diario[[Cantidad ]],Libro_Diario[[Tipo ]],Gastos[[#Headers],[Gastos]],Libro_Diario[[Categoria ]],Gastos[[#This Row],[Gastos]],Libro_Diario[Fecha],"&gt;="&amp;'Libro Mayor'!BB$9,Libro_Diario[Fecha],"&lt;="&amp;EOMONTH('Libro Mayor'!BB$9,0))</f>
        <v>0</v>
      </c>
      <c r="BC32" s="24">
        <f>SUMIFS(Libro_Diario[[Cantidad ]],Libro_Diario[[Tipo ]],Gastos[[#Headers],[Gastos]],Libro_Diario[[Categoria ]],Gastos[[#This Row],[Gastos]],Libro_Diario[Fecha],"&gt;="&amp;'Libro Mayor'!BC$9,Libro_Diario[Fecha],"&lt;="&amp;EOMONTH('Libro Mayor'!BC$9,0))</f>
        <v>0</v>
      </c>
      <c r="BD32" s="24">
        <f>SUMIFS(Libro_Diario[[Cantidad ]],Libro_Diario[[Tipo ]],Gastos[[#Headers],[Gastos]],Libro_Diario[[Categoria ]],Gastos[[#This Row],[Gastos]],Libro_Diario[Fecha],"&gt;="&amp;'Libro Mayor'!BD$9,Libro_Diario[Fecha],"&lt;="&amp;EOMONTH('Libro Mayor'!BD$9,0))</f>
        <v>0</v>
      </c>
      <c r="BE32" s="24">
        <f>SUMIFS(Libro_Diario[[Cantidad ]],Libro_Diario[[Tipo ]],Gastos[[#Headers],[Gastos]],Libro_Diario[[Categoria ]],Gastos[[#This Row],[Gastos]],Libro_Diario[Fecha],"&gt;="&amp;'Libro Mayor'!BE$9,Libro_Diario[Fecha],"&lt;="&amp;EOMONTH('Libro Mayor'!BE$9,0))</f>
        <v>0</v>
      </c>
      <c r="BF32" s="24">
        <f>SUMIFS(Libro_Diario[Detalles],Libro_Diario[[Categoria ]],Gastos[[#Headers],[Gastos]],Libro_Diario[[Cantidad ]],Gastos[[#This Row],[Gastos]],Libro_Diario[[Tipo ]],"&gt;="&amp;'Libro Mayor'!BF$9,Libro_Diario[[Tipo ]],"&lt;="&amp;EOMONTH('Libro Mayor'!BF$9,0))</f>
        <v>0</v>
      </c>
      <c r="BG32" s="25">
        <f t="shared" si="36"/>
        <v>0</v>
      </c>
      <c r="BI32" s="24">
        <f>SUMIFS(Libro_Diario[[Cantidad ]],Libro_Diario[[Tipo ]],Gastos[[#Headers],[Gastos]],Libro_Diario[[Categoria ]],Gastos[[#This Row],[Gastos]],Libro_Diario[Fecha],"&gt;="&amp;'Libro Mayor'!BI$9,Libro_Diario[Fecha],"&lt;="&amp;EOMONTH('Libro Mayor'!BI$9,0))</f>
        <v>0</v>
      </c>
      <c r="BJ32" s="24">
        <f>SUMIFS(Libro_Diario[[Cantidad ]],Libro_Diario[[Tipo ]],Gastos[[#Headers],[Gastos]],Libro_Diario[[Categoria ]],Gastos[[#This Row],[Gastos]],Libro_Diario[Fecha],"&gt;="&amp;'Libro Mayor'!BJ$9,Libro_Diario[Fecha],"&lt;="&amp;EOMONTH('Libro Mayor'!BJ$9,0))</f>
        <v>0</v>
      </c>
      <c r="BK32" s="24">
        <f>SUMIFS(Libro_Diario[[Cantidad ]],Libro_Diario[[Tipo ]],Gastos[[#Headers],[Gastos]],Libro_Diario[[Categoria ]],Gastos[[#This Row],[Gastos]],Libro_Diario[Fecha],"&gt;="&amp;'Libro Mayor'!BK$9,Libro_Diario[Fecha],"&lt;="&amp;EOMONTH('Libro Mayor'!BK$9,0))</f>
        <v>0</v>
      </c>
      <c r="BL32" s="24">
        <f>SUMIFS(Libro_Diario[[Cantidad ]],Libro_Diario[[Tipo ]],Gastos[[#Headers],[Gastos]],Libro_Diario[[Categoria ]],Gastos[[#This Row],[Gastos]],Libro_Diario[Fecha],"&gt;="&amp;'Libro Mayor'!BL$9,Libro_Diario[Fecha],"&lt;="&amp;EOMONTH('Libro Mayor'!BL$9,0))</f>
        <v>0</v>
      </c>
      <c r="BM32" s="24">
        <f>SUMIFS(Libro_Diario[[Cantidad ]],Libro_Diario[[Tipo ]],Gastos[[#Headers],[Gastos]],Libro_Diario[[Categoria ]],Gastos[[#This Row],[Gastos]],Libro_Diario[Fecha],"&gt;="&amp;'Libro Mayor'!BM$9,Libro_Diario[Fecha],"&lt;="&amp;EOMONTH('Libro Mayor'!BM$9,0))</f>
        <v>0</v>
      </c>
      <c r="BN32" s="24">
        <f>SUMIFS(Libro_Diario[[Cantidad ]],Libro_Diario[[Tipo ]],Gastos[[#Headers],[Gastos]],Libro_Diario[[Categoria ]],Gastos[[#This Row],[Gastos]],Libro_Diario[Fecha],"&gt;="&amp;'Libro Mayor'!BN$9,Libro_Diario[Fecha],"&lt;="&amp;EOMONTH('Libro Mayor'!BN$9,0))</f>
        <v>0</v>
      </c>
      <c r="BO32" s="24">
        <f>SUMIFS(Libro_Diario[[Cantidad ]],Libro_Diario[[Tipo ]],Gastos[[#Headers],[Gastos]],Libro_Diario[[Categoria ]],Gastos[[#This Row],[Gastos]],Libro_Diario[Fecha],"&gt;="&amp;'Libro Mayor'!BO$9,Libro_Diario[Fecha],"&lt;="&amp;EOMONTH('Libro Mayor'!BO$9,0))</f>
        <v>0</v>
      </c>
      <c r="BP32" s="24">
        <f>SUMIFS(Libro_Diario[[Cantidad ]],Libro_Diario[[Tipo ]],Gastos[[#Headers],[Gastos]],Libro_Diario[[Categoria ]],Gastos[[#This Row],[Gastos]],Libro_Diario[Fecha],"&gt;="&amp;'Libro Mayor'!BP$9,Libro_Diario[Fecha],"&lt;="&amp;EOMONTH('Libro Mayor'!BP$9,0))</f>
        <v>0</v>
      </c>
      <c r="BQ32" s="24">
        <f>SUMIFS(Libro_Diario[[Cantidad ]],Libro_Diario[[Tipo ]],Gastos[[#Headers],[Gastos]],Libro_Diario[[Categoria ]],Gastos[[#This Row],[Gastos]],Libro_Diario[Fecha],"&gt;="&amp;'Libro Mayor'!BQ$9,Libro_Diario[Fecha],"&lt;="&amp;EOMONTH('Libro Mayor'!BQ$9,0))</f>
        <v>0</v>
      </c>
      <c r="BR32" s="24">
        <f>SUMIFS(Libro_Diario[[Cantidad ]],Libro_Diario[[Tipo ]],Gastos[[#Headers],[Gastos]],Libro_Diario[[Categoria ]],Gastos[[#This Row],[Gastos]],Libro_Diario[Fecha],"&gt;="&amp;'Libro Mayor'!BR$9,Libro_Diario[Fecha],"&lt;="&amp;EOMONTH('Libro Mayor'!BR$9,0))</f>
        <v>0</v>
      </c>
      <c r="BS32" s="24">
        <f>SUMIFS(Libro_Diario[[Cantidad ]],Libro_Diario[[Tipo ]],Gastos[[#Headers],[Gastos]],Libro_Diario[[Categoria ]],Gastos[[#This Row],[Gastos]],Libro_Diario[Fecha],"&gt;="&amp;'Libro Mayor'!BS$9,Libro_Diario[Fecha],"&lt;="&amp;EOMONTH('Libro Mayor'!BS$9,0))</f>
        <v>0</v>
      </c>
      <c r="BT32" s="24">
        <f>SUMIFS(Libro_Diario[Detalles],Libro_Diario[[Categoria ]],Gastos[[#Headers],[Gastos]],Libro_Diario[[Cantidad ]],Gastos[[#This Row],[Gastos]],Libro_Diario[[Tipo ]],"&gt;="&amp;'Libro Mayor'!BT$9,Libro_Diario[[Tipo ]],"&lt;="&amp;EOMONTH('Libro Mayor'!BT$9,0))</f>
        <v>0</v>
      </c>
      <c r="BU32" s="25">
        <f t="shared" si="37"/>
        <v>0</v>
      </c>
      <c r="BW32" s="24">
        <f>SUMIFS(Libro_Diario[[Cantidad ]],Libro_Diario[[Tipo ]],Gastos[[#Headers],[Gastos]],Libro_Diario[[Categoria ]],Gastos[[#This Row],[Gastos]],Libro_Diario[Fecha],"&gt;="&amp;'Libro Mayor'!BW$9,Libro_Diario[Fecha],"&lt;="&amp;EOMONTH('Libro Mayor'!BW$9,0))</f>
        <v>0</v>
      </c>
      <c r="BX32" s="24">
        <f>SUMIFS(Libro_Diario[[Cantidad ]],Libro_Diario[[Tipo ]],Gastos[[#Headers],[Gastos]],Libro_Diario[[Categoria ]],Gastos[[#This Row],[Gastos]],Libro_Diario[Fecha],"&gt;="&amp;'Libro Mayor'!BX$9,Libro_Diario[Fecha],"&lt;="&amp;EOMONTH('Libro Mayor'!BX$9,0))</f>
        <v>0</v>
      </c>
      <c r="BY32" s="24">
        <f>SUMIFS(Libro_Diario[[Cantidad ]],Libro_Diario[[Tipo ]],Gastos[[#Headers],[Gastos]],Libro_Diario[[Categoria ]],Gastos[[#This Row],[Gastos]],Libro_Diario[Fecha],"&gt;="&amp;'Libro Mayor'!BY$9,Libro_Diario[Fecha],"&lt;="&amp;EOMONTH('Libro Mayor'!BY$9,0))</f>
        <v>0</v>
      </c>
      <c r="BZ32" s="24">
        <f>SUMIFS(Libro_Diario[[Cantidad ]],Libro_Diario[[Tipo ]],Gastos[[#Headers],[Gastos]],Libro_Diario[[Categoria ]],Gastos[[#This Row],[Gastos]],Libro_Diario[Fecha],"&gt;="&amp;'Libro Mayor'!BZ$9,Libro_Diario[Fecha],"&lt;="&amp;EOMONTH('Libro Mayor'!BZ$9,0))</f>
        <v>0</v>
      </c>
      <c r="CA32" s="24">
        <f>SUMIFS(Libro_Diario[[Cantidad ]],Libro_Diario[[Tipo ]],Gastos[[#Headers],[Gastos]],Libro_Diario[[Categoria ]],Gastos[[#This Row],[Gastos]],Libro_Diario[Fecha],"&gt;="&amp;'Libro Mayor'!CA$9,Libro_Diario[Fecha],"&lt;="&amp;EOMONTH('Libro Mayor'!CA$9,0))</f>
        <v>0</v>
      </c>
      <c r="CB32" s="24">
        <f>SUMIFS(Libro_Diario[[Cantidad ]],Libro_Diario[[Tipo ]],Gastos[[#Headers],[Gastos]],Libro_Diario[[Categoria ]],Gastos[[#This Row],[Gastos]],Libro_Diario[Fecha],"&gt;="&amp;'Libro Mayor'!CB$9,Libro_Diario[Fecha],"&lt;="&amp;EOMONTH('Libro Mayor'!CB$9,0))</f>
        <v>0</v>
      </c>
      <c r="CC32" s="24">
        <f>SUMIFS(Libro_Diario[[Cantidad ]],Libro_Diario[[Tipo ]],Gastos[[#Headers],[Gastos]],Libro_Diario[[Categoria ]],Gastos[[#This Row],[Gastos]],Libro_Diario[Fecha],"&gt;="&amp;'Libro Mayor'!CC$9,Libro_Diario[Fecha],"&lt;="&amp;EOMONTH('Libro Mayor'!CC$9,0))</f>
        <v>0</v>
      </c>
      <c r="CD32" s="24">
        <f>SUMIFS(Libro_Diario[[Cantidad ]],Libro_Diario[[Tipo ]],Gastos[[#Headers],[Gastos]],Libro_Diario[[Categoria ]],Gastos[[#This Row],[Gastos]],Libro_Diario[Fecha],"&gt;="&amp;'Libro Mayor'!CD$9,Libro_Diario[Fecha],"&lt;="&amp;EOMONTH('Libro Mayor'!CD$9,0))</f>
        <v>0</v>
      </c>
      <c r="CE32" s="24">
        <f>SUMIFS(Libro_Diario[[Cantidad ]],Libro_Diario[[Tipo ]],Gastos[[#Headers],[Gastos]],Libro_Diario[[Categoria ]],Gastos[[#This Row],[Gastos]],Libro_Diario[Fecha],"&gt;="&amp;'Libro Mayor'!CE$9,Libro_Diario[Fecha],"&lt;="&amp;EOMONTH('Libro Mayor'!CE$9,0))</f>
        <v>0</v>
      </c>
      <c r="CF32" s="24">
        <f>SUMIFS(Libro_Diario[[Cantidad ]],Libro_Diario[[Tipo ]],Gastos[[#Headers],[Gastos]],Libro_Diario[[Categoria ]],Gastos[[#This Row],[Gastos]],Libro_Diario[Fecha],"&gt;="&amp;'Libro Mayor'!CF$9,Libro_Diario[Fecha],"&lt;="&amp;EOMONTH('Libro Mayor'!CF$9,0))</f>
        <v>0</v>
      </c>
      <c r="CG32" s="24">
        <f>SUMIFS(Libro_Diario[[Cantidad ]],Libro_Diario[[Tipo ]],Gastos[[#Headers],[Gastos]],Libro_Diario[[Categoria ]],Gastos[[#This Row],[Gastos]],Libro_Diario[Fecha],"&gt;="&amp;'Libro Mayor'!CG$9,Libro_Diario[Fecha],"&lt;="&amp;EOMONTH('Libro Mayor'!CG$9,0))</f>
        <v>0</v>
      </c>
      <c r="CH32" s="24">
        <f>SUMIFS(Libro_Diario[Detalles],Libro_Diario[[Categoria ]],Gastos[[#Headers],[Gastos]],Libro_Diario[[Cantidad ]],Gastos[[#This Row],[Gastos]],Libro_Diario[[Tipo ]],"&gt;="&amp;'Libro Mayor'!CH$9,Libro_Diario[[Tipo ]],"&lt;="&amp;EOMONTH('Libro Mayor'!CH$9,0))</f>
        <v>0</v>
      </c>
      <c r="CI32" s="25">
        <f t="shared" si="38"/>
        <v>0</v>
      </c>
      <c r="CK32" s="24">
        <f>SUMIFS(Libro_Diario[[Cantidad ]],Libro_Diario[[Tipo ]],Gastos[[#Headers],[Gastos]],Libro_Diario[[Categoria ]],Gastos[[#This Row],[Gastos]],Libro_Diario[Fecha],"&gt;="&amp;'Libro Mayor'!CK$9,Libro_Diario[Fecha],"&lt;="&amp;EOMONTH('Libro Mayor'!CK$9,0))</f>
        <v>0</v>
      </c>
      <c r="CL32" s="24">
        <f>SUMIFS(Libro_Diario[[Cantidad ]],Libro_Diario[[Tipo ]],Gastos[[#Headers],[Gastos]],Libro_Diario[[Categoria ]],Gastos[[#This Row],[Gastos]],Libro_Diario[Fecha],"&gt;="&amp;'Libro Mayor'!CL$9,Libro_Diario[Fecha],"&lt;="&amp;EOMONTH('Libro Mayor'!CL$9,0))</f>
        <v>0</v>
      </c>
      <c r="CM32" s="24">
        <f>SUMIFS(Libro_Diario[[Cantidad ]],Libro_Diario[[Tipo ]],Gastos[[#Headers],[Gastos]],Libro_Diario[[Categoria ]],Gastos[[#This Row],[Gastos]],Libro_Diario[Fecha],"&gt;="&amp;'Libro Mayor'!CM$9,Libro_Diario[Fecha],"&lt;="&amp;EOMONTH('Libro Mayor'!CM$9,0))</f>
        <v>0</v>
      </c>
      <c r="CN32" s="24">
        <f>SUMIFS(Libro_Diario[[Cantidad ]],Libro_Diario[[Tipo ]],Gastos[[#Headers],[Gastos]],Libro_Diario[[Categoria ]],Gastos[[#This Row],[Gastos]],Libro_Diario[Fecha],"&gt;="&amp;'Libro Mayor'!CN$9,Libro_Diario[Fecha],"&lt;="&amp;EOMONTH('Libro Mayor'!CN$9,0))</f>
        <v>0</v>
      </c>
      <c r="CO32" s="24">
        <f>SUMIFS(Libro_Diario[[Cantidad ]],Libro_Diario[[Tipo ]],Gastos[[#Headers],[Gastos]],Libro_Diario[[Categoria ]],Gastos[[#This Row],[Gastos]],Libro_Diario[Fecha],"&gt;="&amp;'Libro Mayor'!CO$9,Libro_Diario[Fecha],"&lt;="&amp;EOMONTH('Libro Mayor'!CO$9,0))</f>
        <v>0</v>
      </c>
      <c r="CP32" s="24">
        <f>SUMIFS(Libro_Diario[[Cantidad ]],Libro_Diario[[Tipo ]],Gastos[[#Headers],[Gastos]],Libro_Diario[[Categoria ]],Gastos[[#This Row],[Gastos]],Libro_Diario[Fecha],"&gt;="&amp;'Libro Mayor'!CP$9,Libro_Diario[Fecha],"&lt;="&amp;EOMONTH('Libro Mayor'!CP$9,0))</f>
        <v>0</v>
      </c>
      <c r="CQ32" s="24">
        <f>SUMIFS(Libro_Diario[[Cantidad ]],Libro_Diario[[Tipo ]],Gastos[[#Headers],[Gastos]],Libro_Diario[[Categoria ]],Gastos[[#This Row],[Gastos]],Libro_Diario[Fecha],"&gt;="&amp;'Libro Mayor'!CQ$9,Libro_Diario[Fecha],"&lt;="&amp;EOMONTH('Libro Mayor'!CQ$9,0))</f>
        <v>0</v>
      </c>
      <c r="CR32" s="24">
        <f>SUMIFS(Libro_Diario[[Cantidad ]],Libro_Diario[[Tipo ]],Gastos[[#Headers],[Gastos]],Libro_Diario[[Categoria ]],Gastos[[#This Row],[Gastos]],Libro_Diario[Fecha],"&gt;="&amp;'Libro Mayor'!CR$9,Libro_Diario[Fecha],"&lt;="&amp;EOMONTH('Libro Mayor'!CR$9,0))</f>
        <v>0</v>
      </c>
      <c r="CS32" s="24">
        <f>SUMIFS(Libro_Diario[[Cantidad ]],Libro_Diario[[Tipo ]],Gastos[[#Headers],[Gastos]],Libro_Diario[[Categoria ]],Gastos[[#This Row],[Gastos]],Libro_Diario[Fecha],"&gt;="&amp;'Libro Mayor'!CS$9,Libro_Diario[Fecha],"&lt;="&amp;EOMONTH('Libro Mayor'!CS$9,0))</f>
        <v>0</v>
      </c>
      <c r="CT32" s="24">
        <f>SUMIFS(Libro_Diario[[Cantidad ]],Libro_Diario[[Tipo ]],Gastos[[#Headers],[Gastos]],Libro_Diario[[Categoria ]],Gastos[[#This Row],[Gastos]],Libro_Diario[Fecha],"&gt;="&amp;'Libro Mayor'!CT$9,Libro_Diario[Fecha],"&lt;="&amp;EOMONTH('Libro Mayor'!CT$9,0))</f>
        <v>0</v>
      </c>
      <c r="CU32" s="24">
        <f>SUMIFS(Libro_Diario[[Cantidad ]],Libro_Diario[[Tipo ]],Gastos[[#Headers],[Gastos]],Libro_Diario[[Categoria ]],Gastos[[#This Row],[Gastos]],Libro_Diario[Fecha],"&gt;="&amp;'Libro Mayor'!CU$9,Libro_Diario[Fecha],"&lt;="&amp;EOMONTH('Libro Mayor'!CU$9,0))</f>
        <v>0</v>
      </c>
      <c r="CV32" s="24">
        <f>SUMIFS(Libro_Diario[Detalles],Libro_Diario[[Categoria ]],Gastos[[#Headers],[Gastos]],Libro_Diario[[Cantidad ]],Gastos[[#This Row],[Gastos]],Libro_Diario[[Tipo ]],"&gt;="&amp;'Libro Mayor'!CV$9,Libro_Diario[[Tipo ]],"&lt;="&amp;EOMONTH('Libro Mayor'!CV$9,0))</f>
        <v>0</v>
      </c>
      <c r="CW32" s="25">
        <f t="shared" si="39"/>
        <v>0</v>
      </c>
      <c r="CY32" s="24">
        <f>SUMIFS(Libro_Diario[[Cantidad ]],Libro_Diario[[Tipo ]],Gastos[[#Headers],[Gastos]],Libro_Diario[[Categoria ]],Gastos[[#This Row],[Gastos]],Libro_Diario[Fecha],"&gt;="&amp;'Libro Mayor'!CY$9,Libro_Diario[Fecha],"&lt;="&amp;EOMONTH('Libro Mayor'!CY$9,0))</f>
        <v>0</v>
      </c>
      <c r="CZ32" s="24">
        <f>SUMIFS(Libro_Diario[[Cantidad ]],Libro_Diario[[Tipo ]],Gastos[[#Headers],[Gastos]],Libro_Diario[[Categoria ]],Gastos[[#This Row],[Gastos]],Libro_Diario[Fecha],"&gt;="&amp;'Libro Mayor'!CZ$9,Libro_Diario[Fecha],"&lt;="&amp;EOMONTH('Libro Mayor'!CZ$9,0))</f>
        <v>0</v>
      </c>
      <c r="DA32" s="24">
        <f>SUMIFS(Libro_Diario[[Cantidad ]],Libro_Diario[[Tipo ]],Gastos[[#Headers],[Gastos]],Libro_Diario[[Categoria ]],Gastos[[#This Row],[Gastos]],Libro_Diario[Fecha],"&gt;="&amp;'Libro Mayor'!DA$9,Libro_Diario[Fecha],"&lt;="&amp;EOMONTH('Libro Mayor'!DA$9,0))</f>
        <v>0</v>
      </c>
      <c r="DB32" s="24">
        <f>SUMIFS(Libro_Diario[[Cantidad ]],Libro_Diario[[Tipo ]],Gastos[[#Headers],[Gastos]],Libro_Diario[[Categoria ]],Gastos[[#This Row],[Gastos]],Libro_Diario[Fecha],"&gt;="&amp;'Libro Mayor'!DB$9,Libro_Diario[Fecha],"&lt;="&amp;EOMONTH('Libro Mayor'!DB$9,0))</f>
        <v>0</v>
      </c>
      <c r="DC32" s="24">
        <f>SUMIFS(Libro_Diario[[Cantidad ]],Libro_Diario[[Tipo ]],Gastos[[#Headers],[Gastos]],Libro_Diario[[Categoria ]],Gastos[[#This Row],[Gastos]],Libro_Diario[Fecha],"&gt;="&amp;'Libro Mayor'!DC$9,Libro_Diario[Fecha],"&lt;="&amp;EOMONTH('Libro Mayor'!DC$9,0))</f>
        <v>0</v>
      </c>
      <c r="DD32" s="24">
        <f>SUMIFS(Libro_Diario[[Cantidad ]],Libro_Diario[[Tipo ]],Gastos[[#Headers],[Gastos]],Libro_Diario[[Categoria ]],Gastos[[#This Row],[Gastos]],Libro_Diario[Fecha],"&gt;="&amp;'Libro Mayor'!DD$9,Libro_Diario[Fecha],"&lt;="&amp;EOMONTH('Libro Mayor'!DD$9,0))</f>
        <v>0</v>
      </c>
      <c r="DE32" s="24">
        <f>SUMIFS(Libro_Diario[[Cantidad ]],Libro_Diario[[Tipo ]],Gastos[[#Headers],[Gastos]],Libro_Diario[[Categoria ]],Gastos[[#This Row],[Gastos]],Libro_Diario[Fecha],"&gt;="&amp;'Libro Mayor'!DE$9,Libro_Diario[Fecha],"&lt;="&amp;EOMONTH('Libro Mayor'!DE$9,0))</f>
        <v>0</v>
      </c>
      <c r="DF32" s="24">
        <f>SUMIFS(Libro_Diario[[Cantidad ]],Libro_Diario[[Tipo ]],Gastos[[#Headers],[Gastos]],Libro_Diario[[Categoria ]],Gastos[[#This Row],[Gastos]],Libro_Diario[Fecha],"&gt;="&amp;'Libro Mayor'!DF$9,Libro_Diario[Fecha],"&lt;="&amp;EOMONTH('Libro Mayor'!DF$9,0))</f>
        <v>0</v>
      </c>
      <c r="DG32" s="24">
        <f>SUMIFS(Libro_Diario[[Cantidad ]],Libro_Diario[[Tipo ]],Gastos[[#Headers],[Gastos]],Libro_Diario[[Categoria ]],Gastos[[#This Row],[Gastos]],Libro_Diario[Fecha],"&gt;="&amp;'Libro Mayor'!DG$9,Libro_Diario[Fecha],"&lt;="&amp;EOMONTH('Libro Mayor'!DG$9,0))</f>
        <v>0</v>
      </c>
      <c r="DH32" s="24">
        <f>SUMIFS(Libro_Diario[[Cantidad ]],Libro_Diario[[Tipo ]],Gastos[[#Headers],[Gastos]],Libro_Diario[[Categoria ]],Gastos[[#This Row],[Gastos]],Libro_Diario[Fecha],"&gt;="&amp;'Libro Mayor'!DH$9,Libro_Diario[Fecha],"&lt;="&amp;EOMONTH('Libro Mayor'!DH$9,0))</f>
        <v>0</v>
      </c>
      <c r="DI32" s="24">
        <f>SUMIFS(Libro_Diario[[Cantidad ]],Libro_Diario[[Tipo ]],Gastos[[#Headers],[Gastos]],Libro_Diario[[Categoria ]],Gastos[[#This Row],[Gastos]],Libro_Diario[Fecha],"&gt;="&amp;'Libro Mayor'!DI$9,Libro_Diario[Fecha],"&lt;="&amp;EOMONTH('Libro Mayor'!DI$9,0))</f>
        <v>0</v>
      </c>
      <c r="DJ32" s="24">
        <f>SUMIFS(Libro_Diario[Detalles],Libro_Diario[[Categoria ]],Gastos[[#Headers],[Gastos]],Libro_Diario[[Cantidad ]],Gastos[[#This Row],[Gastos]],Libro_Diario[[Tipo ]],"&gt;="&amp;'Libro Mayor'!DJ$9,Libro_Diario[[Tipo ]],"&lt;="&amp;EOMONTH('Libro Mayor'!DJ$9,0))</f>
        <v>0</v>
      </c>
      <c r="DK32" s="25">
        <f t="shared" si="40"/>
        <v>0</v>
      </c>
      <c r="DM32" s="24">
        <f>SUMIFS(Libro_Diario[[Cantidad ]],Libro_Diario[[Tipo ]],Gastos[[#Headers],[Gastos]],Libro_Diario[[Categoria ]],Gastos[[#This Row],[Gastos]],Libro_Diario[Fecha],"&gt;="&amp;'Libro Mayor'!DM$9,Libro_Diario[Fecha],"&lt;="&amp;EOMONTH('Libro Mayor'!DM$9,0))</f>
        <v>0</v>
      </c>
      <c r="DN32" s="24">
        <f>SUMIFS(Libro_Diario[[Cantidad ]],Libro_Diario[[Tipo ]],Gastos[[#Headers],[Gastos]],Libro_Diario[[Categoria ]],Gastos[[#This Row],[Gastos]],Libro_Diario[Fecha],"&gt;="&amp;'Libro Mayor'!DN$9,Libro_Diario[Fecha],"&lt;="&amp;EOMONTH('Libro Mayor'!DN$9,0))</f>
        <v>0</v>
      </c>
      <c r="DO32" s="24">
        <f>SUMIFS(Libro_Diario[[Cantidad ]],Libro_Diario[[Tipo ]],Gastos[[#Headers],[Gastos]],Libro_Diario[[Categoria ]],Gastos[[#This Row],[Gastos]],Libro_Diario[Fecha],"&gt;="&amp;'Libro Mayor'!DO$9,Libro_Diario[Fecha],"&lt;="&amp;EOMONTH('Libro Mayor'!DO$9,0))</f>
        <v>0</v>
      </c>
      <c r="DP32" s="24">
        <f>SUMIFS(Libro_Diario[[Cantidad ]],Libro_Diario[[Tipo ]],Gastos[[#Headers],[Gastos]],Libro_Diario[[Categoria ]],Gastos[[#This Row],[Gastos]],Libro_Diario[Fecha],"&gt;="&amp;'Libro Mayor'!DP$9,Libro_Diario[Fecha],"&lt;="&amp;EOMONTH('Libro Mayor'!DP$9,0))</f>
        <v>0</v>
      </c>
      <c r="DQ32" s="24">
        <f>SUMIFS(Libro_Diario[[Cantidad ]],Libro_Diario[[Tipo ]],Gastos[[#Headers],[Gastos]],Libro_Diario[[Categoria ]],Gastos[[#This Row],[Gastos]],Libro_Diario[Fecha],"&gt;="&amp;'Libro Mayor'!DQ$9,Libro_Diario[Fecha],"&lt;="&amp;EOMONTH('Libro Mayor'!DQ$9,0))</f>
        <v>0</v>
      </c>
      <c r="DR32" s="24">
        <f>SUMIFS(Libro_Diario[[Cantidad ]],Libro_Diario[[Tipo ]],Gastos[[#Headers],[Gastos]],Libro_Diario[[Categoria ]],Gastos[[#This Row],[Gastos]],Libro_Diario[Fecha],"&gt;="&amp;'Libro Mayor'!DR$9,Libro_Diario[Fecha],"&lt;="&amp;EOMONTH('Libro Mayor'!DR$9,0))</f>
        <v>0</v>
      </c>
      <c r="DS32" s="24">
        <f>SUMIFS(Libro_Diario[[Cantidad ]],Libro_Diario[[Tipo ]],Gastos[[#Headers],[Gastos]],Libro_Diario[[Categoria ]],Gastos[[#This Row],[Gastos]],Libro_Diario[Fecha],"&gt;="&amp;'Libro Mayor'!DS$9,Libro_Diario[Fecha],"&lt;="&amp;EOMONTH('Libro Mayor'!DS$9,0))</f>
        <v>0</v>
      </c>
      <c r="DT32" s="24">
        <f>SUMIFS(Libro_Diario[[Cantidad ]],Libro_Diario[[Tipo ]],Gastos[[#Headers],[Gastos]],Libro_Diario[[Categoria ]],Gastos[[#This Row],[Gastos]],Libro_Diario[Fecha],"&gt;="&amp;'Libro Mayor'!DT$9,Libro_Diario[Fecha],"&lt;="&amp;EOMONTH('Libro Mayor'!DT$9,0))</f>
        <v>0</v>
      </c>
      <c r="DU32" s="24">
        <f>SUMIFS(Libro_Diario[[Cantidad ]],Libro_Diario[[Tipo ]],Gastos[[#Headers],[Gastos]],Libro_Diario[[Categoria ]],Gastos[[#This Row],[Gastos]],Libro_Diario[Fecha],"&gt;="&amp;'Libro Mayor'!DU$9,Libro_Diario[Fecha],"&lt;="&amp;EOMONTH('Libro Mayor'!DU$9,0))</f>
        <v>0</v>
      </c>
      <c r="DV32" s="24">
        <f>SUMIFS(Libro_Diario[[Cantidad ]],Libro_Diario[[Tipo ]],Gastos[[#Headers],[Gastos]],Libro_Diario[[Categoria ]],Gastos[[#This Row],[Gastos]],Libro_Diario[Fecha],"&gt;="&amp;'Libro Mayor'!DV$9,Libro_Diario[Fecha],"&lt;="&amp;EOMONTH('Libro Mayor'!DV$9,0))</f>
        <v>0</v>
      </c>
      <c r="DW32" s="24">
        <f>SUMIFS(Libro_Diario[[Cantidad ]],Libro_Diario[[Tipo ]],Gastos[[#Headers],[Gastos]],Libro_Diario[[Categoria ]],Gastos[[#This Row],[Gastos]],Libro_Diario[Fecha],"&gt;="&amp;'Libro Mayor'!DW$9,Libro_Diario[Fecha],"&lt;="&amp;EOMONTH('Libro Mayor'!DW$9,0))</f>
        <v>0</v>
      </c>
      <c r="DX32" s="24">
        <f>SUMIFS(Libro_Diario[Detalles],Libro_Diario[[Categoria ]],Gastos[[#Headers],[Gastos]],Libro_Diario[[Cantidad ]],Gastos[[#This Row],[Gastos]],Libro_Diario[[Tipo ]],"&gt;="&amp;'Libro Mayor'!DX$9,Libro_Diario[[Tipo ]],"&lt;="&amp;EOMONTH('Libro Mayor'!DX$9,0))</f>
        <v>0</v>
      </c>
      <c r="DY32" s="25">
        <f t="shared" si="41"/>
        <v>0</v>
      </c>
      <c r="EA32" s="24">
        <f>SUMIFS(Libro_Diario[[Cantidad ]],Libro_Diario[[Tipo ]],Gastos[[#Headers],[Gastos]],Libro_Diario[[Categoria ]],Gastos[[#This Row],[Gastos]],Libro_Diario[Fecha],"&gt;="&amp;'Libro Mayor'!EA$9,Libro_Diario[Fecha],"&lt;="&amp;EOMONTH('Libro Mayor'!EA$9,0))</f>
        <v>0</v>
      </c>
      <c r="EB32" s="24">
        <f>SUMIFS(Libro_Diario[[Cantidad ]],Libro_Diario[[Tipo ]],Gastos[[#Headers],[Gastos]],Libro_Diario[[Categoria ]],Gastos[[#This Row],[Gastos]],Libro_Diario[Fecha],"&gt;="&amp;'Libro Mayor'!EB$9,Libro_Diario[Fecha],"&lt;="&amp;EOMONTH('Libro Mayor'!EB$9,0))</f>
        <v>0</v>
      </c>
      <c r="EC32" s="24">
        <f>SUMIFS(Libro_Diario[[Cantidad ]],Libro_Diario[[Tipo ]],Gastos[[#Headers],[Gastos]],Libro_Diario[[Categoria ]],Gastos[[#This Row],[Gastos]],Libro_Diario[Fecha],"&gt;="&amp;'Libro Mayor'!EC$9,Libro_Diario[Fecha],"&lt;="&amp;EOMONTH('Libro Mayor'!EC$9,0))</f>
        <v>0</v>
      </c>
      <c r="ED32" s="24">
        <f>SUMIFS(Libro_Diario[[Cantidad ]],Libro_Diario[[Tipo ]],Gastos[[#Headers],[Gastos]],Libro_Diario[[Categoria ]],Gastos[[#This Row],[Gastos]],Libro_Diario[Fecha],"&gt;="&amp;'Libro Mayor'!ED$9,Libro_Diario[Fecha],"&lt;="&amp;EOMONTH('Libro Mayor'!ED$9,0))</f>
        <v>0</v>
      </c>
      <c r="EE32" s="24">
        <f>SUMIFS(Libro_Diario[[Cantidad ]],Libro_Diario[[Tipo ]],Gastos[[#Headers],[Gastos]],Libro_Diario[[Categoria ]],Gastos[[#This Row],[Gastos]],Libro_Diario[Fecha],"&gt;="&amp;'Libro Mayor'!EE$9,Libro_Diario[Fecha],"&lt;="&amp;EOMONTH('Libro Mayor'!EE$9,0))</f>
        <v>0</v>
      </c>
      <c r="EF32" s="24">
        <f>SUMIFS(Libro_Diario[[Cantidad ]],Libro_Diario[[Tipo ]],Gastos[[#Headers],[Gastos]],Libro_Diario[[Categoria ]],Gastos[[#This Row],[Gastos]],Libro_Diario[Fecha],"&gt;="&amp;'Libro Mayor'!EF$9,Libro_Diario[Fecha],"&lt;="&amp;EOMONTH('Libro Mayor'!EF$9,0))</f>
        <v>0</v>
      </c>
      <c r="EG32" s="24">
        <f>SUMIFS(Libro_Diario[[Cantidad ]],Libro_Diario[[Tipo ]],Gastos[[#Headers],[Gastos]],Libro_Diario[[Categoria ]],Gastos[[#This Row],[Gastos]],Libro_Diario[Fecha],"&gt;="&amp;'Libro Mayor'!EG$9,Libro_Diario[Fecha],"&lt;="&amp;EOMONTH('Libro Mayor'!EG$9,0))</f>
        <v>0</v>
      </c>
      <c r="EH32" s="24">
        <f>SUMIFS(Libro_Diario[[Cantidad ]],Libro_Diario[[Tipo ]],Gastos[[#Headers],[Gastos]],Libro_Diario[[Categoria ]],Gastos[[#This Row],[Gastos]],Libro_Diario[Fecha],"&gt;="&amp;'Libro Mayor'!EH$9,Libro_Diario[Fecha],"&lt;="&amp;EOMONTH('Libro Mayor'!EH$9,0))</f>
        <v>0</v>
      </c>
      <c r="EI32" s="24">
        <f>SUMIFS(Libro_Diario[[Cantidad ]],Libro_Diario[[Tipo ]],Gastos[[#Headers],[Gastos]],Libro_Diario[[Categoria ]],Gastos[[#This Row],[Gastos]],Libro_Diario[Fecha],"&gt;="&amp;'Libro Mayor'!EI$9,Libro_Diario[Fecha],"&lt;="&amp;EOMONTH('Libro Mayor'!EI$9,0))</f>
        <v>0</v>
      </c>
      <c r="EJ32" s="24">
        <f>SUMIFS(Libro_Diario[[Cantidad ]],Libro_Diario[[Tipo ]],Gastos[[#Headers],[Gastos]],Libro_Diario[[Categoria ]],Gastos[[#This Row],[Gastos]],Libro_Diario[Fecha],"&gt;="&amp;'Libro Mayor'!EJ$9,Libro_Diario[Fecha],"&lt;="&amp;EOMONTH('Libro Mayor'!EJ$9,0))</f>
        <v>0</v>
      </c>
      <c r="EK32" s="24">
        <f>SUMIFS(Libro_Diario[[Cantidad ]],Libro_Diario[[Tipo ]],Gastos[[#Headers],[Gastos]],Libro_Diario[[Categoria ]],Gastos[[#This Row],[Gastos]],Libro_Diario[Fecha],"&gt;="&amp;'Libro Mayor'!EK$9,Libro_Diario[Fecha],"&lt;="&amp;EOMONTH('Libro Mayor'!EK$9,0))</f>
        <v>0</v>
      </c>
      <c r="EL32" s="24">
        <f>SUMIFS(Libro_Diario[Detalles],Libro_Diario[[Categoria ]],Gastos[[#Headers],[Gastos]],Libro_Diario[[Cantidad ]],Gastos[[#This Row],[Gastos]],Libro_Diario[[Tipo ]],"&gt;="&amp;'Libro Mayor'!EL$9,Libro_Diario[[Tipo ]],"&lt;="&amp;EOMONTH('Libro Mayor'!EL$9,0))</f>
        <v>0</v>
      </c>
      <c r="EM32" s="25">
        <f t="shared" si="42"/>
        <v>0</v>
      </c>
      <c r="EO32" s="24">
        <f>SUMIFS(Libro_Diario[[Cantidad ]],Libro_Diario[[Tipo ]],Gastos[[#Headers],[Gastos]],Libro_Diario[[Categoria ]],Gastos[[#This Row],[Gastos]],Libro_Diario[Fecha],"&gt;="&amp;'Libro Mayor'!EO$9,Libro_Diario[Fecha],"&lt;="&amp;EOMONTH('Libro Mayor'!EO$9,0))</f>
        <v>0</v>
      </c>
      <c r="EP32" s="24">
        <f>SUMIFS(Libro_Diario[[Cantidad ]],Libro_Diario[[Tipo ]],Gastos[[#Headers],[Gastos]],Libro_Diario[[Categoria ]],Gastos[[#This Row],[Gastos]],Libro_Diario[Fecha],"&gt;="&amp;'Libro Mayor'!EP$9,Libro_Diario[Fecha],"&lt;="&amp;EOMONTH('Libro Mayor'!EP$9,0))</f>
        <v>0</v>
      </c>
      <c r="EQ32" s="24">
        <f>SUMIFS(Libro_Diario[[Cantidad ]],Libro_Diario[[Tipo ]],Gastos[[#Headers],[Gastos]],Libro_Diario[[Categoria ]],Gastos[[#This Row],[Gastos]],Libro_Diario[Fecha],"&gt;="&amp;'Libro Mayor'!EQ$9,Libro_Diario[Fecha],"&lt;="&amp;EOMONTH('Libro Mayor'!EQ$9,0))</f>
        <v>0</v>
      </c>
      <c r="ER32" s="24">
        <f>SUMIFS(Libro_Diario[[Cantidad ]],Libro_Diario[[Tipo ]],Gastos[[#Headers],[Gastos]],Libro_Diario[[Categoria ]],Gastos[[#This Row],[Gastos]],Libro_Diario[Fecha],"&gt;="&amp;'Libro Mayor'!ER$9,Libro_Diario[Fecha],"&lt;="&amp;EOMONTH('Libro Mayor'!ER$9,0))</f>
        <v>0</v>
      </c>
      <c r="ES32" s="24">
        <f>SUMIFS(Libro_Diario[[Cantidad ]],Libro_Diario[[Tipo ]],Gastos[[#Headers],[Gastos]],Libro_Diario[[Categoria ]],Gastos[[#This Row],[Gastos]],Libro_Diario[Fecha],"&gt;="&amp;'Libro Mayor'!ES$9,Libro_Diario[Fecha],"&lt;="&amp;EOMONTH('Libro Mayor'!ES$9,0))</f>
        <v>0</v>
      </c>
      <c r="ET32" s="24">
        <f>SUMIFS(Libro_Diario[[Cantidad ]],Libro_Diario[[Tipo ]],Gastos[[#Headers],[Gastos]],Libro_Diario[[Categoria ]],Gastos[[#This Row],[Gastos]],Libro_Diario[Fecha],"&gt;="&amp;'Libro Mayor'!ET$9,Libro_Diario[Fecha],"&lt;="&amp;EOMONTH('Libro Mayor'!ET$9,0))</f>
        <v>0</v>
      </c>
      <c r="EU32" s="24">
        <f>SUMIFS(Libro_Diario[[Cantidad ]],Libro_Diario[[Tipo ]],Gastos[[#Headers],[Gastos]],Libro_Diario[[Categoria ]],Gastos[[#This Row],[Gastos]],Libro_Diario[Fecha],"&gt;="&amp;'Libro Mayor'!EU$9,Libro_Diario[Fecha],"&lt;="&amp;EOMONTH('Libro Mayor'!EU$9,0))</f>
        <v>0</v>
      </c>
      <c r="EV32" s="24">
        <f>SUMIFS(Libro_Diario[[Cantidad ]],Libro_Diario[[Tipo ]],Gastos[[#Headers],[Gastos]],Libro_Diario[[Categoria ]],Gastos[[#This Row],[Gastos]],Libro_Diario[Fecha],"&gt;="&amp;'Libro Mayor'!EV$9,Libro_Diario[Fecha],"&lt;="&amp;EOMONTH('Libro Mayor'!EV$9,0))</f>
        <v>0</v>
      </c>
      <c r="EW32" s="24">
        <f>SUMIFS(Libro_Diario[[Cantidad ]],Libro_Diario[[Tipo ]],Gastos[[#Headers],[Gastos]],Libro_Diario[[Categoria ]],Gastos[[#This Row],[Gastos]],Libro_Diario[Fecha],"&gt;="&amp;'Libro Mayor'!EW$9,Libro_Diario[Fecha],"&lt;="&amp;EOMONTH('Libro Mayor'!EW$9,0))</f>
        <v>0</v>
      </c>
      <c r="EX32" s="24">
        <f>SUMIFS(Libro_Diario[[Cantidad ]],Libro_Diario[[Tipo ]],Gastos[[#Headers],[Gastos]],Libro_Diario[[Categoria ]],Gastos[[#This Row],[Gastos]],Libro_Diario[Fecha],"&gt;="&amp;'Libro Mayor'!EX$9,Libro_Diario[Fecha],"&lt;="&amp;EOMONTH('Libro Mayor'!EX$9,0))</f>
        <v>0</v>
      </c>
      <c r="EY32" s="24">
        <f>SUMIFS(Libro_Diario[[Cantidad ]],Libro_Diario[[Tipo ]],Gastos[[#Headers],[Gastos]],Libro_Diario[[Categoria ]],Gastos[[#This Row],[Gastos]],Libro_Diario[Fecha],"&gt;="&amp;'Libro Mayor'!EY$9,Libro_Diario[Fecha],"&lt;="&amp;EOMONTH('Libro Mayor'!EY$9,0))</f>
        <v>0</v>
      </c>
      <c r="EZ32" s="24">
        <f>SUMIFS(Libro_Diario[[Cantidad ]],Libro_Diario[[Tipo ]],Gastos[[#Headers],[Gastos]],Libro_Diario[[Categoria ]],Gastos[[#This Row],[Gastos]],Libro_Diario[Fecha],"&gt;="&amp;'Libro Mayor'!EZ$9,Libro_Diario[Fecha],"&lt;="&amp;EOMONTH('Libro Mayor'!EZ$9,0))</f>
        <v>0</v>
      </c>
      <c r="FA32" s="25">
        <f t="shared" si="22"/>
        <v>0</v>
      </c>
    </row>
    <row r="33" spans="3:157" x14ac:dyDescent="0.3">
      <c r="C33" s="16" t="s">
        <v>88</v>
      </c>
      <c r="D33" s="23"/>
      <c r="E33" s="24">
        <f>SUMIFS(Libro_Diario[[Cantidad ]],Libro_Diario[[Tipo ]],Gastos[[#Headers],[Gastos]],Libro_Diario[[Categoria ]],Gastos[[#This Row],[Gastos]],Libro_Diario[Fecha],"&gt;="&amp;'Libro Mayor'!E$9,Libro_Diario[Fecha],"&lt;="&amp;EOMONTH('Libro Mayor'!E$9,0))</f>
        <v>0</v>
      </c>
      <c r="F33" s="24">
        <f>SUMIFS(Libro_Diario[[Cantidad ]],Libro_Diario[[Tipo ]],Gastos[[#Headers],[Gastos]],Libro_Diario[[Categoria ]],Gastos[[#This Row],[Gastos]],Libro_Diario[Fecha],"&gt;="&amp;'Libro Mayor'!F$9,Libro_Diario[Fecha],"&lt;="&amp;EOMONTH('Libro Mayor'!F$9,0))</f>
        <v>0</v>
      </c>
      <c r="G33" s="24">
        <f>SUMIFS(Libro_Diario[[Cantidad ]],Libro_Diario[[Tipo ]],Gastos[[#Headers],[Gastos]],Libro_Diario[[Categoria ]],Gastos[[#This Row],[Gastos]],Libro_Diario[Fecha],"&gt;="&amp;'Libro Mayor'!G$9,Libro_Diario[Fecha],"&lt;="&amp;EOMONTH('Libro Mayor'!G$9,0))</f>
        <v>0</v>
      </c>
      <c r="H33" s="24">
        <f>SUMIFS(Libro_Diario[[Cantidad ]],Libro_Diario[[Tipo ]],Gastos[[#Headers],[Gastos]],Libro_Diario[[Categoria ]],Gastos[[#This Row],[Gastos]],Libro_Diario[Fecha],"&gt;="&amp;'Libro Mayor'!H$9,Libro_Diario[Fecha],"&lt;="&amp;EOMONTH('Libro Mayor'!H$9,0))</f>
        <v>0</v>
      </c>
      <c r="I33" s="24">
        <f>SUMIFS(Libro_Diario[[Cantidad ]],Libro_Diario[[Tipo ]],Gastos[[#Headers],[Gastos]],Libro_Diario[[Categoria ]],Gastos[[#This Row],[Gastos]],Libro_Diario[Fecha],"&gt;="&amp;'Libro Mayor'!I$9,Libro_Diario[Fecha],"&lt;="&amp;EOMONTH('Libro Mayor'!I$9,0))</f>
        <v>0</v>
      </c>
      <c r="J33" s="24">
        <f>SUMIFS(Libro_Diario[[Cantidad ]],Libro_Diario[[Tipo ]],Gastos[[#Headers],[Gastos]],Libro_Diario[[Categoria ]],Gastos[[#This Row],[Gastos]],Libro_Diario[Fecha],"&gt;="&amp;'Libro Mayor'!J$9,Libro_Diario[Fecha],"&lt;="&amp;EOMONTH('Libro Mayor'!J$9,0))</f>
        <v>0</v>
      </c>
      <c r="K33" s="24">
        <f>SUMIFS(Libro_Diario[[Cantidad ]],Libro_Diario[[Tipo ]],Gastos[[#Headers],[Gastos]],Libro_Diario[[Categoria ]],Gastos[[#This Row],[Gastos]],Libro_Diario[Fecha],"&gt;="&amp;'Libro Mayor'!K$9,Libro_Diario[Fecha],"&lt;="&amp;EOMONTH('Libro Mayor'!K$9,0))</f>
        <v>0</v>
      </c>
      <c r="L33" s="24">
        <f>SUMIFS(Libro_Diario[[Cantidad ]],Libro_Diario[[Tipo ]],Gastos[[#Headers],[Gastos]],Libro_Diario[[Categoria ]],Gastos[[#This Row],[Gastos]],Libro_Diario[Fecha],"&gt;="&amp;'Libro Mayor'!L$9,Libro_Diario[Fecha],"&lt;="&amp;EOMONTH('Libro Mayor'!L$9,0))</f>
        <v>0</v>
      </c>
      <c r="M33" s="24">
        <f>SUMIFS(Libro_Diario[[Cantidad ]],Libro_Diario[[Tipo ]],Gastos[[#Headers],[Gastos]],Libro_Diario[[Categoria ]],Gastos[[#This Row],[Gastos]],Libro_Diario[Fecha],"&gt;="&amp;'Libro Mayor'!M$9,Libro_Diario[Fecha],"&lt;="&amp;EOMONTH('Libro Mayor'!M$9,0))</f>
        <v>0</v>
      </c>
      <c r="N33" s="24">
        <f>SUMIFS(Libro_Diario[[Cantidad ]],Libro_Diario[[Tipo ]],Gastos[[#Headers],[Gastos]],Libro_Diario[[Categoria ]],Gastos[[#This Row],[Gastos]],Libro_Diario[Fecha],"&gt;="&amp;'Libro Mayor'!N$9,Libro_Diario[Fecha],"&lt;="&amp;EOMONTH('Libro Mayor'!N$9,0))</f>
        <v>0</v>
      </c>
      <c r="O33" s="24">
        <f>SUMIFS(Libro_Diario[[Cantidad ]],Libro_Diario[[Tipo ]],Gastos[[#Headers],[Gastos]],Libro_Diario[[Categoria ]],Gastos[[#This Row],[Gastos]],Libro_Diario[Fecha],"&gt;="&amp;'Libro Mayor'!O$9,Libro_Diario[Fecha],"&lt;="&amp;EOMONTH('Libro Mayor'!O$9,0))</f>
        <v>0</v>
      </c>
      <c r="P33" s="24">
        <f>SUMIFS(Libro_Diario[[Cantidad ]],Libro_Diario[[Tipo ]],Gastos[[#Headers],[Gastos]],Libro_Diario[[Categoria ]],Gastos[[#This Row],[Gastos]],Libro_Diario[Fecha],"&gt;="&amp;'Libro Mayor'!P$9,Libro_Diario[Fecha],"&lt;="&amp;EOMONTH('Libro Mayor'!P$9,0))</f>
        <v>0</v>
      </c>
      <c r="Q33" s="25">
        <f t="shared" si="23"/>
        <v>0</v>
      </c>
      <c r="S33" s="24">
        <f>SUMIFS(Libro_Diario[[Cantidad ]],Libro_Diario[[Tipo ]],Gastos[[#Headers],[Gastos]],Libro_Diario[[Categoria ]],Gastos[[#This Row],[Gastos]],Libro_Diario[Fecha],"&gt;="&amp;'Libro Mayor'!S$9,Libro_Diario[Fecha],"&lt;="&amp;EOMONTH('Libro Mayor'!S$9,0))</f>
        <v>0</v>
      </c>
      <c r="T33" s="24">
        <f>SUMIFS(Libro_Diario[[Cantidad ]],Libro_Diario[[Tipo ]],Gastos[[#Headers],[Gastos]],Libro_Diario[[Categoria ]],Gastos[[#This Row],[Gastos]],Libro_Diario[Fecha],"&gt;="&amp;'Libro Mayor'!T$9,Libro_Diario[Fecha],"&lt;="&amp;EOMONTH('Libro Mayor'!T$9,0))</f>
        <v>0</v>
      </c>
      <c r="U33" s="24">
        <f>SUMIFS(Libro_Diario[[Cantidad ]],Libro_Diario[[Tipo ]],Gastos[[#Headers],[Gastos]],Libro_Diario[[Categoria ]],Gastos[[#This Row],[Gastos]],Libro_Diario[Fecha],"&gt;="&amp;'Libro Mayor'!U$9,Libro_Diario[Fecha],"&lt;="&amp;EOMONTH('Libro Mayor'!U$9,0))</f>
        <v>0</v>
      </c>
      <c r="V33" s="24">
        <f>SUMIFS(Libro_Diario[[Cantidad ]],Libro_Diario[[Tipo ]],Gastos[[#Headers],[Gastos]],Libro_Diario[[Categoria ]],Gastos[[#This Row],[Gastos]],Libro_Diario[Fecha],"&gt;="&amp;'Libro Mayor'!V$9,Libro_Diario[Fecha],"&lt;="&amp;EOMONTH('Libro Mayor'!V$9,0))</f>
        <v>0</v>
      </c>
      <c r="W33" s="24">
        <f>SUMIFS(Libro_Diario[[Cantidad ]],Libro_Diario[[Tipo ]],Gastos[[#Headers],[Gastos]],Libro_Diario[[Categoria ]],Gastos[[#This Row],[Gastos]],Libro_Diario[Fecha],"&gt;="&amp;'Libro Mayor'!W$9,Libro_Diario[Fecha],"&lt;="&amp;EOMONTH('Libro Mayor'!W$9,0))</f>
        <v>0</v>
      </c>
      <c r="X33" s="24">
        <f>SUMIFS(Libro_Diario[[Cantidad ]],Libro_Diario[[Tipo ]],Gastos[[#Headers],[Gastos]],Libro_Diario[[Categoria ]],Gastos[[#This Row],[Gastos]],Libro_Diario[Fecha],"&gt;="&amp;'Libro Mayor'!X$9,Libro_Diario[Fecha],"&lt;="&amp;EOMONTH('Libro Mayor'!X$9,0))</f>
        <v>0</v>
      </c>
      <c r="Y33" s="24">
        <f>SUMIFS(Libro_Diario[[Cantidad ]],Libro_Diario[[Tipo ]],Gastos[[#Headers],[Gastos]],Libro_Diario[[Categoria ]],Gastos[[#This Row],[Gastos]],Libro_Diario[Fecha],"&gt;="&amp;'Libro Mayor'!Y$9,Libro_Diario[Fecha],"&lt;="&amp;EOMONTH('Libro Mayor'!Y$9,0))</f>
        <v>0</v>
      </c>
      <c r="Z33" s="24">
        <f>SUMIFS(Libro_Diario[[Cantidad ]],Libro_Diario[[Tipo ]],Gastos[[#Headers],[Gastos]],Libro_Diario[[Categoria ]],Gastos[[#This Row],[Gastos]],Libro_Diario[Fecha],"&gt;="&amp;'Libro Mayor'!Z$9,Libro_Diario[Fecha],"&lt;="&amp;EOMONTH('Libro Mayor'!Z$9,0))</f>
        <v>0</v>
      </c>
      <c r="AA33" s="24">
        <f>SUMIFS(Libro_Diario[[Cantidad ]],Libro_Diario[[Tipo ]],Gastos[[#Headers],[Gastos]],Libro_Diario[[Categoria ]],Gastos[[#This Row],[Gastos]],Libro_Diario[Fecha],"&gt;="&amp;'Libro Mayor'!AA$9,Libro_Diario[Fecha],"&lt;="&amp;EOMONTH('Libro Mayor'!AA$9,0))</f>
        <v>0</v>
      </c>
      <c r="AB33" s="24">
        <f>SUMIFS(Libro_Diario[[Cantidad ]],Libro_Diario[[Tipo ]],Gastos[[#Headers],[Gastos]],Libro_Diario[[Categoria ]],Gastos[[#This Row],[Gastos]],Libro_Diario[Fecha],"&gt;="&amp;'Libro Mayor'!AB$9,Libro_Diario[Fecha],"&lt;="&amp;EOMONTH('Libro Mayor'!AB$9,0))</f>
        <v>0</v>
      </c>
      <c r="AC33" s="24">
        <f>SUMIFS(Libro_Diario[[Cantidad ]],Libro_Diario[[Tipo ]],Gastos[[#Headers],[Gastos]],Libro_Diario[[Categoria ]],Gastos[[#This Row],[Gastos]],Libro_Diario[Fecha],"&gt;="&amp;'Libro Mayor'!AC$9,Libro_Diario[Fecha],"&lt;="&amp;EOMONTH('Libro Mayor'!AC$9,0))</f>
        <v>0</v>
      </c>
      <c r="AD33" s="24">
        <f>SUMIFS(Libro_Diario[Detalles],Libro_Diario[[Categoria ]],Gastos[[#Headers],[Gastos]],Libro_Diario[[Cantidad ]],Gastos[[#This Row],[Gastos]],Libro_Diario[[Tipo ]],"&gt;="&amp;'Libro Mayor'!AD$9,Libro_Diario[[Tipo ]],"&lt;="&amp;EOMONTH('Libro Mayor'!AD$9,0))</f>
        <v>0</v>
      </c>
      <c r="AE33" s="25">
        <f t="shared" ref="AE33" si="44">SUM(S33:AD33)</f>
        <v>0</v>
      </c>
      <c r="AG33" s="24">
        <f>SUMIFS(Libro_Diario[[Cantidad ]],Libro_Diario[[Tipo ]],Gastos[[#Headers],[Gastos]],Libro_Diario[[Categoria ]],Gastos[[#This Row],[Gastos]],Libro_Diario[Fecha],"&gt;="&amp;'Libro Mayor'!AG$9,Libro_Diario[Fecha],"&lt;="&amp;EOMONTH('Libro Mayor'!AG$9,0))</f>
        <v>0</v>
      </c>
      <c r="AH33" s="24">
        <f>SUMIFS(Libro_Diario[[Cantidad ]],Libro_Diario[[Tipo ]],Gastos[[#Headers],[Gastos]],Libro_Diario[[Categoria ]],Gastos[[#This Row],[Gastos]],Libro_Diario[Fecha],"&gt;="&amp;'Libro Mayor'!AH$9,Libro_Diario[Fecha],"&lt;="&amp;EOMONTH('Libro Mayor'!AH$9,0))</f>
        <v>0</v>
      </c>
      <c r="AI33" s="24">
        <f>SUMIFS(Libro_Diario[[Cantidad ]],Libro_Diario[[Tipo ]],Gastos[[#Headers],[Gastos]],Libro_Diario[[Categoria ]],Gastos[[#This Row],[Gastos]],Libro_Diario[Fecha],"&gt;="&amp;'Libro Mayor'!AI$9,Libro_Diario[Fecha],"&lt;="&amp;EOMONTH('Libro Mayor'!AI$9,0))</f>
        <v>0</v>
      </c>
      <c r="AJ33" s="24">
        <f>SUMIFS(Libro_Diario[[Cantidad ]],Libro_Diario[[Tipo ]],Gastos[[#Headers],[Gastos]],Libro_Diario[[Categoria ]],Gastos[[#This Row],[Gastos]],Libro_Diario[Fecha],"&gt;="&amp;'Libro Mayor'!AJ$9,Libro_Diario[Fecha],"&lt;="&amp;EOMONTH('Libro Mayor'!AJ$9,0))</f>
        <v>0</v>
      </c>
      <c r="AK33" s="24">
        <f>SUMIFS(Libro_Diario[[Cantidad ]],Libro_Diario[[Tipo ]],Gastos[[#Headers],[Gastos]],Libro_Diario[[Categoria ]],Gastos[[#This Row],[Gastos]],Libro_Diario[Fecha],"&gt;="&amp;'Libro Mayor'!AK$9,Libro_Diario[Fecha],"&lt;="&amp;EOMONTH('Libro Mayor'!AK$9,0))</f>
        <v>0</v>
      </c>
      <c r="AL33" s="24">
        <f>SUMIFS(Libro_Diario[[Cantidad ]],Libro_Diario[[Tipo ]],Gastos[[#Headers],[Gastos]],Libro_Diario[[Categoria ]],Gastos[[#This Row],[Gastos]],Libro_Diario[Fecha],"&gt;="&amp;'Libro Mayor'!AL$9,Libro_Diario[Fecha],"&lt;="&amp;EOMONTH('Libro Mayor'!AL$9,0))</f>
        <v>0</v>
      </c>
      <c r="AM33" s="24">
        <f>SUMIFS(Libro_Diario[[Cantidad ]],Libro_Diario[[Tipo ]],Gastos[[#Headers],[Gastos]],Libro_Diario[[Categoria ]],Gastos[[#This Row],[Gastos]],Libro_Diario[Fecha],"&gt;="&amp;'Libro Mayor'!AM$9,Libro_Diario[Fecha],"&lt;="&amp;EOMONTH('Libro Mayor'!AM$9,0))</f>
        <v>0</v>
      </c>
      <c r="AN33" s="24">
        <f>SUMIFS(Libro_Diario[[Cantidad ]],Libro_Diario[[Tipo ]],Gastos[[#Headers],[Gastos]],Libro_Diario[[Categoria ]],Gastos[[#This Row],[Gastos]],Libro_Diario[Fecha],"&gt;="&amp;'Libro Mayor'!AN$9,Libro_Diario[Fecha],"&lt;="&amp;EOMONTH('Libro Mayor'!AN$9,0))</f>
        <v>0</v>
      </c>
      <c r="AO33" s="24">
        <f>SUMIFS(Libro_Diario[[Cantidad ]],Libro_Diario[[Tipo ]],Gastos[[#Headers],[Gastos]],Libro_Diario[[Categoria ]],Gastos[[#This Row],[Gastos]],Libro_Diario[Fecha],"&gt;="&amp;'Libro Mayor'!AO$9,Libro_Diario[Fecha],"&lt;="&amp;EOMONTH('Libro Mayor'!AO$9,0))</f>
        <v>0</v>
      </c>
      <c r="AP33" s="24">
        <f>SUMIFS(Libro_Diario[[Cantidad ]],Libro_Diario[[Tipo ]],Gastos[[#Headers],[Gastos]],Libro_Diario[[Categoria ]],Gastos[[#This Row],[Gastos]],Libro_Diario[Fecha],"&gt;="&amp;'Libro Mayor'!AP$9,Libro_Diario[Fecha],"&lt;="&amp;EOMONTH('Libro Mayor'!AP$9,0))</f>
        <v>0</v>
      </c>
      <c r="AQ33" s="24">
        <f>SUMIFS(Libro_Diario[[Cantidad ]],Libro_Diario[[Tipo ]],Gastos[[#Headers],[Gastos]],Libro_Diario[[Categoria ]],Gastos[[#This Row],[Gastos]],Libro_Diario[Fecha],"&gt;="&amp;'Libro Mayor'!AQ$9,Libro_Diario[Fecha],"&lt;="&amp;EOMONTH('Libro Mayor'!AQ$9,0))</f>
        <v>0</v>
      </c>
      <c r="AR33" s="24">
        <f>SUMIFS(Libro_Diario[Detalles],Libro_Diario[[Categoria ]],Gastos[[#Headers],[Gastos]],Libro_Diario[[Cantidad ]],Gastos[[#This Row],[Gastos]],Libro_Diario[[Tipo ]],"&gt;="&amp;'Libro Mayor'!AR$9,Libro_Diario[[Tipo ]],"&lt;="&amp;EOMONTH('Libro Mayor'!AR$9,0))</f>
        <v>0</v>
      </c>
      <c r="AS33" s="25">
        <f t="shared" ref="AS33" si="45">SUM(AG33:AR33)</f>
        <v>0</v>
      </c>
      <c r="AU33" s="24">
        <f>SUMIFS(Libro_Diario[[Cantidad ]],Libro_Diario[[Tipo ]],Gastos[[#Headers],[Gastos]],Libro_Diario[[Categoria ]],Gastos[[#This Row],[Gastos]],Libro_Diario[Fecha],"&gt;="&amp;'Libro Mayor'!AU$9,Libro_Diario[Fecha],"&lt;="&amp;EOMONTH('Libro Mayor'!AU$9,0))</f>
        <v>0</v>
      </c>
      <c r="AV33" s="24">
        <f>SUMIFS(Libro_Diario[[Cantidad ]],Libro_Diario[[Tipo ]],Gastos[[#Headers],[Gastos]],Libro_Diario[[Categoria ]],Gastos[[#This Row],[Gastos]],Libro_Diario[Fecha],"&gt;="&amp;'Libro Mayor'!AV$9,Libro_Diario[Fecha],"&lt;="&amp;EOMONTH('Libro Mayor'!AV$9,0))</f>
        <v>0</v>
      </c>
      <c r="AW33" s="24">
        <f>SUMIFS(Libro_Diario[[Cantidad ]],Libro_Diario[[Tipo ]],Gastos[[#Headers],[Gastos]],Libro_Diario[[Categoria ]],Gastos[[#This Row],[Gastos]],Libro_Diario[Fecha],"&gt;="&amp;'Libro Mayor'!AW$9,Libro_Diario[Fecha],"&lt;="&amp;EOMONTH('Libro Mayor'!AW$9,0))</f>
        <v>0</v>
      </c>
      <c r="AX33" s="24">
        <f>SUMIFS(Libro_Diario[[Cantidad ]],Libro_Diario[[Tipo ]],Gastos[[#Headers],[Gastos]],Libro_Diario[[Categoria ]],Gastos[[#This Row],[Gastos]],Libro_Diario[Fecha],"&gt;="&amp;'Libro Mayor'!AX$9,Libro_Diario[Fecha],"&lt;="&amp;EOMONTH('Libro Mayor'!AX$9,0))</f>
        <v>0</v>
      </c>
      <c r="AY33" s="24">
        <f>SUMIFS(Libro_Diario[[Cantidad ]],Libro_Diario[[Tipo ]],Gastos[[#Headers],[Gastos]],Libro_Diario[[Categoria ]],Gastos[[#This Row],[Gastos]],Libro_Diario[Fecha],"&gt;="&amp;'Libro Mayor'!AY$9,Libro_Diario[Fecha],"&lt;="&amp;EOMONTH('Libro Mayor'!AY$9,0))</f>
        <v>0</v>
      </c>
      <c r="AZ33" s="24">
        <f>SUMIFS(Libro_Diario[[Cantidad ]],Libro_Diario[[Tipo ]],Gastos[[#Headers],[Gastos]],Libro_Diario[[Categoria ]],Gastos[[#This Row],[Gastos]],Libro_Diario[Fecha],"&gt;="&amp;'Libro Mayor'!AZ$9,Libro_Diario[Fecha],"&lt;="&amp;EOMONTH('Libro Mayor'!AZ$9,0))</f>
        <v>0</v>
      </c>
      <c r="BA33" s="24">
        <f>SUMIFS(Libro_Diario[[Cantidad ]],Libro_Diario[[Tipo ]],Gastos[[#Headers],[Gastos]],Libro_Diario[[Categoria ]],Gastos[[#This Row],[Gastos]],Libro_Diario[Fecha],"&gt;="&amp;'Libro Mayor'!BA$9,Libro_Diario[Fecha],"&lt;="&amp;EOMONTH('Libro Mayor'!BA$9,0))</f>
        <v>0</v>
      </c>
      <c r="BB33" s="24">
        <f>SUMIFS(Libro_Diario[[Cantidad ]],Libro_Diario[[Tipo ]],Gastos[[#Headers],[Gastos]],Libro_Diario[[Categoria ]],Gastos[[#This Row],[Gastos]],Libro_Diario[Fecha],"&gt;="&amp;'Libro Mayor'!BB$9,Libro_Diario[Fecha],"&lt;="&amp;EOMONTH('Libro Mayor'!BB$9,0))</f>
        <v>0</v>
      </c>
      <c r="BC33" s="24">
        <f>SUMIFS(Libro_Diario[[Cantidad ]],Libro_Diario[[Tipo ]],Gastos[[#Headers],[Gastos]],Libro_Diario[[Categoria ]],Gastos[[#This Row],[Gastos]],Libro_Diario[Fecha],"&gt;="&amp;'Libro Mayor'!BC$9,Libro_Diario[Fecha],"&lt;="&amp;EOMONTH('Libro Mayor'!BC$9,0))</f>
        <v>0</v>
      </c>
      <c r="BD33" s="24">
        <f>SUMIFS(Libro_Diario[[Cantidad ]],Libro_Diario[[Tipo ]],Gastos[[#Headers],[Gastos]],Libro_Diario[[Categoria ]],Gastos[[#This Row],[Gastos]],Libro_Diario[Fecha],"&gt;="&amp;'Libro Mayor'!BD$9,Libro_Diario[Fecha],"&lt;="&amp;EOMONTH('Libro Mayor'!BD$9,0))</f>
        <v>0</v>
      </c>
      <c r="BE33" s="24">
        <f>SUMIFS(Libro_Diario[[Cantidad ]],Libro_Diario[[Tipo ]],Gastos[[#Headers],[Gastos]],Libro_Diario[[Categoria ]],Gastos[[#This Row],[Gastos]],Libro_Diario[Fecha],"&gt;="&amp;'Libro Mayor'!BE$9,Libro_Diario[Fecha],"&lt;="&amp;EOMONTH('Libro Mayor'!BE$9,0))</f>
        <v>0</v>
      </c>
      <c r="BF33" s="24">
        <f>SUMIFS(Libro_Diario[Detalles],Libro_Diario[[Categoria ]],Gastos[[#Headers],[Gastos]],Libro_Diario[[Cantidad ]],Gastos[[#This Row],[Gastos]],Libro_Diario[[Tipo ]],"&gt;="&amp;'Libro Mayor'!BF$9,Libro_Diario[[Tipo ]],"&lt;="&amp;EOMONTH('Libro Mayor'!BF$9,0))</f>
        <v>0</v>
      </c>
      <c r="BG33" s="25">
        <f t="shared" ref="BG33" si="46">SUM(AU33:BF33)</f>
        <v>0</v>
      </c>
      <c r="BI33" s="24">
        <f>SUMIFS(Libro_Diario[[Cantidad ]],Libro_Diario[[Tipo ]],Gastos[[#Headers],[Gastos]],Libro_Diario[[Categoria ]],Gastos[[#This Row],[Gastos]],Libro_Diario[Fecha],"&gt;="&amp;'Libro Mayor'!BI$9,Libro_Diario[Fecha],"&lt;="&amp;EOMONTH('Libro Mayor'!BI$9,0))</f>
        <v>0</v>
      </c>
      <c r="BJ33" s="24">
        <f>SUMIFS(Libro_Diario[[Cantidad ]],Libro_Diario[[Tipo ]],Gastos[[#Headers],[Gastos]],Libro_Diario[[Categoria ]],Gastos[[#This Row],[Gastos]],Libro_Diario[Fecha],"&gt;="&amp;'Libro Mayor'!BJ$9,Libro_Diario[Fecha],"&lt;="&amp;EOMONTH('Libro Mayor'!BJ$9,0))</f>
        <v>0</v>
      </c>
      <c r="BK33" s="24">
        <f>SUMIFS(Libro_Diario[[Cantidad ]],Libro_Diario[[Tipo ]],Gastos[[#Headers],[Gastos]],Libro_Diario[[Categoria ]],Gastos[[#This Row],[Gastos]],Libro_Diario[Fecha],"&gt;="&amp;'Libro Mayor'!BK$9,Libro_Diario[Fecha],"&lt;="&amp;EOMONTH('Libro Mayor'!BK$9,0))</f>
        <v>0</v>
      </c>
      <c r="BL33" s="24">
        <f>SUMIFS(Libro_Diario[[Cantidad ]],Libro_Diario[[Tipo ]],Gastos[[#Headers],[Gastos]],Libro_Diario[[Categoria ]],Gastos[[#This Row],[Gastos]],Libro_Diario[Fecha],"&gt;="&amp;'Libro Mayor'!BL$9,Libro_Diario[Fecha],"&lt;="&amp;EOMONTH('Libro Mayor'!BL$9,0))</f>
        <v>0</v>
      </c>
      <c r="BM33" s="24">
        <f>SUMIFS(Libro_Diario[[Cantidad ]],Libro_Diario[[Tipo ]],Gastos[[#Headers],[Gastos]],Libro_Diario[[Categoria ]],Gastos[[#This Row],[Gastos]],Libro_Diario[Fecha],"&gt;="&amp;'Libro Mayor'!BM$9,Libro_Diario[Fecha],"&lt;="&amp;EOMONTH('Libro Mayor'!BM$9,0))</f>
        <v>0</v>
      </c>
      <c r="BN33" s="24">
        <f>SUMIFS(Libro_Diario[[Cantidad ]],Libro_Diario[[Tipo ]],Gastos[[#Headers],[Gastos]],Libro_Diario[[Categoria ]],Gastos[[#This Row],[Gastos]],Libro_Diario[Fecha],"&gt;="&amp;'Libro Mayor'!BN$9,Libro_Diario[Fecha],"&lt;="&amp;EOMONTH('Libro Mayor'!BN$9,0))</f>
        <v>0</v>
      </c>
      <c r="BO33" s="24">
        <f>SUMIFS(Libro_Diario[[Cantidad ]],Libro_Diario[[Tipo ]],Gastos[[#Headers],[Gastos]],Libro_Diario[[Categoria ]],Gastos[[#This Row],[Gastos]],Libro_Diario[Fecha],"&gt;="&amp;'Libro Mayor'!BO$9,Libro_Diario[Fecha],"&lt;="&amp;EOMONTH('Libro Mayor'!BO$9,0))</f>
        <v>0</v>
      </c>
      <c r="BP33" s="24">
        <f>SUMIFS(Libro_Diario[[Cantidad ]],Libro_Diario[[Tipo ]],Gastos[[#Headers],[Gastos]],Libro_Diario[[Categoria ]],Gastos[[#This Row],[Gastos]],Libro_Diario[Fecha],"&gt;="&amp;'Libro Mayor'!BP$9,Libro_Diario[Fecha],"&lt;="&amp;EOMONTH('Libro Mayor'!BP$9,0))</f>
        <v>0</v>
      </c>
      <c r="BQ33" s="24">
        <f>SUMIFS(Libro_Diario[[Cantidad ]],Libro_Diario[[Tipo ]],Gastos[[#Headers],[Gastos]],Libro_Diario[[Categoria ]],Gastos[[#This Row],[Gastos]],Libro_Diario[Fecha],"&gt;="&amp;'Libro Mayor'!BQ$9,Libro_Diario[Fecha],"&lt;="&amp;EOMONTH('Libro Mayor'!BQ$9,0))</f>
        <v>0</v>
      </c>
      <c r="BR33" s="24">
        <f>SUMIFS(Libro_Diario[[Cantidad ]],Libro_Diario[[Tipo ]],Gastos[[#Headers],[Gastos]],Libro_Diario[[Categoria ]],Gastos[[#This Row],[Gastos]],Libro_Diario[Fecha],"&gt;="&amp;'Libro Mayor'!BR$9,Libro_Diario[Fecha],"&lt;="&amp;EOMONTH('Libro Mayor'!BR$9,0))</f>
        <v>0</v>
      </c>
      <c r="BS33" s="24">
        <f>SUMIFS(Libro_Diario[[Cantidad ]],Libro_Diario[[Tipo ]],Gastos[[#Headers],[Gastos]],Libro_Diario[[Categoria ]],Gastos[[#This Row],[Gastos]],Libro_Diario[Fecha],"&gt;="&amp;'Libro Mayor'!BS$9,Libro_Diario[Fecha],"&lt;="&amp;EOMONTH('Libro Mayor'!BS$9,0))</f>
        <v>0</v>
      </c>
      <c r="BT33" s="24">
        <f>SUMIFS(Libro_Diario[Detalles],Libro_Diario[[Categoria ]],Gastos[[#Headers],[Gastos]],Libro_Diario[[Cantidad ]],Gastos[[#This Row],[Gastos]],Libro_Diario[[Tipo ]],"&gt;="&amp;'Libro Mayor'!BT$9,Libro_Diario[[Tipo ]],"&lt;="&amp;EOMONTH('Libro Mayor'!BT$9,0))</f>
        <v>0</v>
      </c>
      <c r="BU33" s="25">
        <f t="shared" ref="BU33" si="47">SUM(BI33:BT33)</f>
        <v>0</v>
      </c>
      <c r="BW33" s="24">
        <f>SUMIFS(Libro_Diario[[Cantidad ]],Libro_Diario[[Tipo ]],Gastos[[#Headers],[Gastos]],Libro_Diario[[Categoria ]],Gastos[[#This Row],[Gastos]],Libro_Diario[Fecha],"&gt;="&amp;'Libro Mayor'!BW$9,Libro_Diario[Fecha],"&lt;="&amp;EOMONTH('Libro Mayor'!BW$9,0))</f>
        <v>0</v>
      </c>
      <c r="BX33" s="24">
        <f>SUMIFS(Libro_Diario[[Cantidad ]],Libro_Diario[[Tipo ]],Gastos[[#Headers],[Gastos]],Libro_Diario[[Categoria ]],Gastos[[#This Row],[Gastos]],Libro_Diario[Fecha],"&gt;="&amp;'Libro Mayor'!BX$9,Libro_Diario[Fecha],"&lt;="&amp;EOMONTH('Libro Mayor'!BX$9,0))</f>
        <v>0</v>
      </c>
      <c r="BY33" s="24">
        <f>SUMIFS(Libro_Diario[[Cantidad ]],Libro_Diario[[Tipo ]],Gastos[[#Headers],[Gastos]],Libro_Diario[[Categoria ]],Gastos[[#This Row],[Gastos]],Libro_Diario[Fecha],"&gt;="&amp;'Libro Mayor'!BY$9,Libro_Diario[Fecha],"&lt;="&amp;EOMONTH('Libro Mayor'!BY$9,0))</f>
        <v>0</v>
      </c>
      <c r="BZ33" s="24">
        <f>SUMIFS(Libro_Diario[[Cantidad ]],Libro_Diario[[Tipo ]],Gastos[[#Headers],[Gastos]],Libro_Diario[[Categoria ]],Gastos[[#This Row],[Gastos]],Libro_Diario[Fecha],"&gt;="&amp;'Libro Mayor'!BZ$9,Libro_Diario[Fecha],"&lt;="&amp;EOMONTH('Libro Mayor'!BZ$9,0))</f>
        <v>0</v>
      </c>
      <c r="CA33" s="24">
        <f>SUMIFS(Libro_Diario[[Cantidad ]],Libro_Diario[[Tipo ]],Gastos[[#Headers],[Gastos]],Libro_Diario[[Categoria ]],Gastos[[#This Row],[Gastos]],Libro_Diario[Fecha],"&gt;="&amp;'Libro Mayor'!CA$9,Libro_Diario[Fecha],"&lt;="&amp;EOMONTH('Libro Mayor'!CA$9,0))</f>
        <v>0</v>
      </c>
      <c r="CB33" s="24">
        <f>SUMIFS(Libro_Diario[[Cantidad ]],Libro_Diario[[Tipo ]],Gastos[[#Headers],[Gastos]],Libro_Diario[[Categoria ]],Gastos[[#This Row],[Gastos]],Libro_Diario[Fecha],"&gt;="&amp;'Libro Mayor'!CB$9,Libro_Diario[Fecha],"&lt;="&amp;EOMONTH('Libro Mayor'!CB$9,0))</f>
        <v>0</v>
      </c>
      <c r="CC33" s="24">
        <f>SUMIFS(Libro_Diario[[Cantidad ]],Libro_Diario[[Tipo ]],Gastos[[#Headers],[Gastos]],Libro_Diario[[Categoria ]],Gastos[[#This Row],[Gastos]],Libro_Diario[Fecha],"&gt;="&amp;'Libro Mayor'!CC$9,Libro_Diario[Fecha],"&lt;="&amp;EOMONTH('Libro Mayor'!CC$9,0))</f>
        <v>0</v>
      </c>
      <c r="CD33" s="24">
        <f>SUMIFS(Libro_Diario[[Cantidad ]],Libro_Diario[[Tipo ]],Gastos[[#Headers],[Gastos]],Libro_Diario[[Categoria ]],Gastos[[#This Row],[Gastos]],Libro_Diario[Fecha],"&gt;="&amp;'Libro Mayor'!CD$9,Libro_Diario[Fecha],"&lt;="&amp;EOMONTH('Libro Mayor'!CD$9,0))</f>
        <v>0</v>
      </c>
      <c r="CE33" s="24">
        <f>SUMIFS(Libro_Diario[[Cantidad ]],Libro_Diario[[Tipo ]],Gastos[[#Headers],[Gastos]],Libro_Diario[[Categoria ]],Gastos[[#This Row],[Gastos]],Libro_Diario[Fecha],"&gt;="&amp;'Libro Mayor'!CE$9,Libro_Diario[Fecha],"&lt;="&amp;EOMONTH('Libro Mayor'!CE$9,0))</f>
        <v>0</v>
      </c>
      <c r="CF33" s="24">
        <f>SUMIFS(Libro_Diario[[Cantidad ]],Libro_Diario[[Tipo ]],Gastos[[#Headers],[Gastos]],Libro_Diario[[Categoria ]],Gastos[[#This Row],[Gastos]],Libro_Diario[Fecha],"&gt;="&amp;'Libro Mayor'!CF$9,Libro_Diario[Fecha],"&lt;="&amp;EOMONTH('Libro Mayor'!CF$9,0))</f>
        <v>0</v>
      </c>
      <c r="CG33" s="24">
        <f>SUMIFS(Libro_Diario[[Cantidad ]],Libro_Diario[[Tipo ]],Gastos[[#Headers],[Gastos]],Libro_Diario[[Categoria ]],Gastos[[#This Row],[Gastos]],Libro_Diario[Fecha],"&gt;="&amp;'Libro Mayor'!CG$9,Libro_Diario[Fecha],"&lt;="&amp;EOMONTH('Libro Mayor'!CG$9,0))</f>
        <v>0</v>
      </c>
      <c r="CH33" s="24">
        <f>SUMIFS(Libro_Diario[Detalles],Libro_Diario[[Categoria ]],Gastos[[#Headers],[Gastos]],Libro_Diario[[Cantidad ]],Gastos[[#This Row],[Gastos]],Libro_Diario[[Tipo ]],"&gt;="&amp;'Libro Mayor'!CH$9,Libro_Diario[[Tipo ]],"&lt;="&amp;EOMONTH('Libro Mayor'!CH$9,0))</f>
        <v>0</v>
      </c>
      <c r="CI33" s="25">
        <f t="shared" ref="CI33" si="48">SUM(BW33:CH33)</f>
        <v>0</v>
      </c>
      <c r="CK33" s="24">
        <f>SUMIFS(Libro_Diario[[Cantidad ]],Libro_Diario[[Tipo ]],Gastos[[#Headers],[Gastos]],Libro_Diario[[Categoria ]],Gastos[[#This Row],[Gastos]],Libro_Diario[Fecha],"&gt;="&amp;'Libro Mayor'!CK$9,Libro_Diario[Fecha],"&lt;="&amp;EOMONTH('Libro Mayor'!CK$9,0))</f>
        <v>0</v>
      </c>
      <c r="CL33" s="24">
        <f>SUMIFS(Libro_Diario[[Cantidad ]],Libro_Diario[[Tipo ]],Gastos[[#Headers],[Gastos]],Libro_Diario[[Categoria ]],Gastos[[#This Row],[Gastos]],Libro_Diario[Fecha],"&gt;="&amp;'Libro Mayor'!CL$9,Libro_Diario[Fecha],"&lt;="&amp;EOMONTH('Libro Mayor'!CL$9,0))</f>
        <v>0</v>
      </c>
      <c r="CM33" s="24">
        <f>SUMIFS(Libro_Diario[[Cantidad ]],Libro_Diario[[Tipo ]],Gastos[[#Headers],[Gastos]],Libro_Diario[[Categoria ]],Gastos[[#This Row],[Gastos]],Libro_Diario[Fecha],"&gt;="&amp;'Libro Mayor'!CM$9,Libro_Diario[Fecha],"&lt;="&amp;EOMONTH('Libro Mayor'!CM$9,0))</f>
        <v>0</v>
      </c>
      <c r="CN33" s="24">
        <f>SUMIFS(Libro_Diario[[Cantidad ]],Libro_Diario[[Tipo ]],Gastos[[#Headers],[Gastos]],Libro_Diario[[Categoria ]],Gastos[[#This Row],[Gastos]],Libro_Diario[Fecha],"&gt;="&amp;'Libro Mayor'!CN$9,Libro_Diario[Fecha],"&lt;="&amp;EOMONTH('Libro Mayor'!CN$9,0))</f>
        <v>0</v>
      </c>
      <c r="CO33" s="24">
        <f>SUMIFS(Libro_Diario[[Cantidad ]],Libro_Diario[[Tipo ]],Gastos[[#Headers],[Gastos]],Libro_Diario[[Categoria ]],Gastos[[#This Row],[Gastos]],Libro_Diario[Fecha],"&gt;="&amp;'Libro Mayor'!CO$9,Libro_Diario[Fecha],"&lt;="&amp;EOMONTH('Libro Mayor'!CO$9,0))</f>
        <v>0</v>
      </c>
      <c r="CP33" s="24">
        <f>SUMIFS(Libro_Diario[[Cantidad ]],Libro_Diario[[Tipo ]],Gastos[[#Headers],[Gastos]],Libro_Diario[[Categoria ]],Gastos[[#This Row],[Gastos]],Libro_Diario[Fecha],"&gt;="&amp;'Libro Mayor'!CP$9,Libro_Diario[Fecha],"&lt;="&amp;EOMONTH('Libro Mayor'!CP$9,0))</f>
        <v>0</v>
      </c>
      <c r="CQ33" s="24">
        <f>SUMIFS(Libro_Diario[[Cantidad ]],Libro_Diario[[Tipo ]],Gastos[[#Headers],[Gastos]],Libro_Diario[[Categoria ]],Gastos[[#This Row],[Gastos]],Libro_Diario[Fecha],"&gt;="&amp;'Libro Mayor'!CQ$9,Libro_Diario[Fecha],"&lt;="&amp;EOMONTH('Libro Mayor'!CQ$9,0))</f>
        <v>0</v>
      </c>
      <c r="CR33" s="24">
        <f>SUMIFS(Libro_Diario[[Cantidad ]],Libro_Diario[[Tipo ]],Gastos[[#Headers],[Gastos]],Libro_Diario[[Categoria ]],Gastos[[#This Row],[Gastos]],Libro_Diario[Fecha],"&gt;="&amp;'Libro Mayor'!CR$9,Libro_Diario[Fecha],"&lt;="&amp;EOMONTH('Libro Mayor'!CR$9,0))</f>
        <v>0</v>
      </c>
      <c r="CS33" s="24">
        <f>SUMIFS(Libro_Diario[[Cantidad ]],Libro_Diario[[Tipo ]],Gastos[[#Headers],[Gastos]],Libro_Diario[[Categoria ]],Gastos[[#This Row],[Gastos]],Libro_Diario[Fecha],"&gt;="&amp;'Libro Mayor'!CS$9,Libro_Diario[Fecha],"&lt;="&amp;EOMONTH('Libro Mayor'!CS$9,0))</f>
        <v>0</v>
      </c>
      <c r="CT33" s="24">
        <f>SUMIFS(Libro_Diario[[Cantidad ]],Libro_Diario[[Tipo ]],Gastos[[#Headers],[Gastos]],Libro_Diario[[Categoria ]],Gastos[[#This Row],[Gastos]],Libro_Diario[Fecha],"&gt;="&amp;'Libro Mayor'!CT$9,Libro_Diario[Fecha],"&lt;="&amp;EOMONTH('Libro Mayor'!CT$9,0))</f>
        <v>0</v>
      </c>
      <c r="CU33" s="24">
        <f>SUMIFS(Libro_Diario[[Cantidad ]],Libro_Diario[[Tipo ]],Gastos[[#Headers],[Gastos]],Libro_Diario[[Categoria ]],Gastos[[#This Row],[Gastos]],Libro_Diario[Fecha],"&gt;="&amp;'Libro Mayor'!CU$9,Libro_Diario[Fecha],"&lt;="&amp;EOMONTH('Libro Mayor'!CU$9,0))</f>
        <v>0</v>
      </c>
      <c r="CV33" s="24">
        <f>SUMIFS(Libro_Diario[Detalles],Libro_Diario[[Categoria ]],Gastos[[#Headers],[Gastos]],Libro_Diario[[Cantidad ]],Gastos[[#This Row],[Gastos]],Libro_Diario[[Tipo ]],"&gt;="&amp;'Libro Mayor'!CV$9,Libro_Diario[[Tipo ]],"&lt;="&amp;EOMONTH('Libro Mayor'!CV$9,0))</f>
        <v>0</v>
      </c>
      <c r="CW33" s="25">
        <f t="shared" ref="CW33" si="49">SUM(CK33:CV33)</f>
        <v>0</v>
      </c>
      <c r="CY33" s="24">
        <f>SUMIFS(Libro_Diario[[Cantidad ]],Libro_Diario[[Tipo ]],Gastos[[#Headers],[Gastos]],Libro_Diario[[Categoria ]],Gastos[[#This Row],[Gastos]],Libro_Diario[Fecha],"&gt;="&amp;'Libro Mayor'!CY$9,Libro_Diario[Fecha],"&lt;="&amp;EOMONTH('Libro Mayor'!CY$9,0))</f>
        <v>0</v>
      </c>
      <c r="CZ33" s="24">
        <f>SUMIFS(Libro_Diario[[Cantidad ]],Libro_Diario[[Tipo ]],Gastos[[#Headers],[Gastos]],Libro_Diario[[Categoria ]],Gastos[[#This Row],[Gastos]],Libro_Diario[Fecha],"&gt;="&amp;'Libro Mayor'!CZ$9,Libro_Diario[Fecha],"&lt;="&amp;EOMONTH('Libro Mayor'!CZ$9,0))</f>
        <v>0</v>
      </c>
      <c r="DA33" s="24">
        <f>SUMIFS(Libro_Diario[[Cantidad ]],Libro_Diario[[Tipo ]],Gastos[[#Headers],[Gastos]],Libro_Diario[[Categoria ]],Gastos[[#This Row],[Gastos]],Libro_Diario[Fecha],"&gt;="&amp;'Libro Mayor'!DA$9,Libro_Diario[Fecha],"&lt;="&amp;EOMONTH('Libro Mayor'!DA$9,0))</f>
        <v>0</v>
      </c>
      <c r="DB33" s="24">
        <f>SUMIFS(Libro_Diario[[Cantidad ]],Libro_Diario[[Tipo ]],Gastos[[#Headers],[Gastos]],Libro_Diario[[Categoria ]],Gastos[[#This Row],[Gastos]],Libro_Diario[Fecha],"&gt;="&amp;'Libro Mayor'!DB$9,Libro_Diario[Fecha],"&lt;="&amp;EOMONTH('Libro Mayor'!DB$9,0))</f>
        <v>0</v>
      </c>
      <c r="DC33" s="24">
        <f>SUMIFS(Libro_Diario[[Cantidad ]],Libro_Diario[[Tipo ]],Gastos[[#Headers],[Gastos]],Libro_Diario[[Categoria ]],Gastos[[#This Row],[Gastos]],Libro_Diario[Fecha],"&gt;="&amp;'Libro Mayor'!DC$9,Libro_Diario[Fecha],"&lt;="&amp;EOMONTH('Libro Mayor'!DC$9,0))</f>
        <v>0</v>
      </c>
      <c r="DD33" s="24">
        <f>SUMIFS(Libro_Diario[[Cantidad ]],Libro_Diario[[Tipo ]],Gastos[[#Headers],[Gastos]],Libro_Diario[[Categoria ]],Gastos[[#This Row],[Gastos]],Libro_Diario[Fecha],"&gt;="&amp;'Libro Mayor'!DD$9,Libro_Diario[Fecha],"&lt;="&amp;EOMONTH('Libro Mayor'!DD$9,0))</f>
        <v>0</v>
      </c>
      <c r="DE33" s="24">
        <f>SUMIFS(Libro_Diario[[Cantidad ]],Libro_Diario[[Tipo ]],Gastos[[#Headers],[Gastos]],Libro_Diario[[Categoria ]],Gastos[[#This Row],[Gastos]],Libro_Diario[Fecha],"&gt;="&amp;'Libro Mayor'!DE$9,Libro_Diario[Fecha],"&lt;="&amp;EOMONTH('Libro Mayor'!DE$9,0))</f>
        <v>0</v>
      </c>
      <c r="DF33" s="24">
        <f>SUMIFS(Libro_Diario[[Cantidad ]],Libro_Diario[[Tipo ]],Gastos[[#Headers],[Gastos]],Libro_Diario[[Categoria ]],Gastos[[#This Row],[Gastos]],Libro_Diario[Fecha],"&gt;="&amp;'Libro Mayor'!DF$9,Libro_Diario[Fecha],"&lt;="&amp;EOMONTH('Libro Mayor'!DF$9,0))</f>
        <v>0</v>
      </c>
      <c r="DG33" s="24">
        <f>SUMIFS(Libro_Diario[[Cantidad ]],Libro_Diario[[Tipo ]],Gastos[[#Headers],[Gastos]],Libro_Diario[[Categoria ]],Gastos[[#This Row],[Gastos]],Libro_Diario[Fecha],"&gt;="&amp;'Libro Mayor'!DG$9,Libro_Diario[Fecha],"&lt;="&amp;EOMONTH('Libro Mayor'!DG$9,0))</f>
        <v>0</v>
      </c>
      <c r="DH33" s="24">
        <f>SUMIFS(Libro_Diario[[Cantidad ]],Libro_Diario[[Tipo ]],Gastos[[#Headers],[Gastos]],Libro_Diario[[Categoria ]],Gastos[[#This Row],[Gastos]],Libro_Diario[Fecha],"&gt;="&amp;'Libro Mayor'!DH$9,Libro_Diario[Fecha],"&lt;="&amp;EOMONTH('Libro Mayor'!DH$9,0))</f>
        <v>0</v>
      </c>
      <c r="DI33" s="24">
        <f>SUMIFS(Libro_Diario[[Cantidad ]],Libro_Diario[[Tipo ]],Gastos[[#Headers],[Gastos]],Libro_Diario[[Categoria ]],Gastos[[#This Row],[Gastos]],Libro_Diario[Fecha],"&gt;="&amp;'Libro Mayor'!DI$9,Libro_Diario[Fecha],"&lt;="&amp;EOMONTH('Libro Mayor'!DI$9,0))</f>
        <v>0</v>
      </c>
      <c r="DJ33" s="24">
        <f>SUMIFS(Libro_Diario[Detalles],Libro_Diario[[Categoria ]],Gastos[[#Headers],[Gastos]],Libro_Diario[[Cantidad ]],Gastos[[#This Row],[Gastos]],Libro_Diario[[Tipo ]],"&gt;="&amp;'Libro Mayor'!DJ$9,Libro_Diario[[Tipo ]],"&lt;="&amp;EOMONTH('Libro Mayor'!DJ$9,0))</f>
        <v>0</v>
      </c>
      <c r="DK33" s="25">
        <f t="shared" ref="DK33" si="50">SUM(CY33:DJ33)</f>
        <v>0</v>
      </c>
      <c r="DM33" s="24">
        <f>SUMIFS(Libro_Diario[[Cantidad ]],Libro_Diario[[Tipo ]],Gastos[[#Headers],[Gastos]],Libro_Diario[[Categoria ]],Gastos[[#This Row],[Gastos]],Libro_Diario[Fecha],"&gt;="&amp;'Libro Mayor'!DM$9,Libro_Diario[Fecha],"&lt;="&amp;EOMONTH('Libro Mayor'!DM$9,0))</f>
        <v>0</v>
      </c>
      <c r="DN33" s="24">
        <f>SUMIFS(Libro_Diario[[Cantidad ]],Libro_Diario[[Tipo ]],Gastos[[#Headers],[Gastos]],Libro_Diario[[Categoria ]],Gastos[[#This Row],[Gastos]],Libro_Diario[Fecha],"&gt;="&amp;'Libro Mayor'!DN$9,Libro_Diario[Fecha],"&lt;="&amp;EOMONTH('Libro Mayor'!DN$9,0))</f>
        <v>0</v>
      </c>
      <c r="DO33" s="24">
        <f>SUMIFS(Libro_Diario[[Cantidad ]],Libro_Diario[[Tipo ]],Gastos[[#Headers],[Gastos]],Libro_Diario[[Categoria ]],Gastos[[#This Row],[Gastos]],Libro_Diario[Fecha],"&gt;="&amp;'Libro Mayor'!DO$9,Libro_Diario[Fecha],"&lt;="&amp;EOMONTH('Libro Mayor'!DO$9,0))</f>
        <v>0</v>
      </c>
      <c r="DP33" s="24">
        <f>SUMIFS(Libro_Diario[[Cantidad ]],Libro_Diario[[Tipo ]],Gastos[[#Headers],[Gastos]],Libro_Diario[[Categoria ]],Gastos[[#This Row],[Gastos]],Libro_Diario[Fecha],"&gt;="&amp;'Libro Mayor'!DP$9,Libro_Diario[Fecha],"&lt;="&amp;EOMONTH('Libro Mayor'!DP$9,0))</f>
        <v>0</v>
      </c>
      <c r="DQ33" s="24">
        <f>SUMIFS(Libro_Diario[[Cantidad ]],Libro_Diario[[Tipo ]],Gastos[[#Headers],[Gastos]],Libro_Diario[[Categoria ]],Gastos[[#This Row],[Gastos]],Libro_Diario[Fecha],"&gt;="&amp;'Libro Mayor'!DQ$9,Libro_Diario[Fecha],"&lt;="&amp;EOMONTH('Libro Mayor'!DQ$9,0))</f>
        <v>0</v>
      </c>
      <c r="DR33" s="24">
        <f>SUMIFS(Libro_Diario[[Cantidad ]],Libro_Diario[[Tipo ]],Gastos[[#Headers],[Gastos]],Libro_Diario[[Categoria ]],Gastos[[#This Row],[Gastos]],Libro_Diario[Fecha],"&gt;="&amp;'Libro Mayor'!DR$9,Libro_Diario[Fecha],"&lt;="&amp;EOMONTH('Libro Mayor'!DR$9,0))</f>
        <v>0</v>
      </c>
      <c r="DS33" s="24">
        <f>SUMIFS(Libro_Diario[[Cantidad ]],Libro_Diario[[Tipo ]],Gastos[[#Headers],[Gastos]],Libro_Diario[[Categoria ]],Gastos[[#This Row],[Gastos]],Libro_Diario[Fecha],"&gt;="&amp;'Libro Mayor'!DS$9,Libro_Diario[Fecha],"&lt;="&amp;EOMONTH('Libro Mayor'!DS$9,0))</f>
        <v>0</v>
      </c>
      <c r="DT33" s="24">
        <f>SUMIFS(Libro_Diario[[Cantidad ]],Libro_Diario[[Tipo ]],Gastos[[#Headers],[Gastos]],Libro_Diario[[Categoria ]],Gastos[[#This Row],[Gastos]],Libro_Diario[Fecha],"&gt;="&amp;'Libro Mayor'!DT$9,Libro_Diario[Fecha],"&lt;="&amp;EOMONTH('Libro Mayor'!DT$9,0))</f>
        <v>0</v>
      </c>
      <c r="DU33" s="24">
        <f>SUMIFS(Libro_Diario[[Cantidad ]],Libro_Diario[[Tipo ]],Gastos[[#Headers],[Gastos]],Libro_Diario[[Categoria ]],Gastos[[#This Row],[Gastos]],Libro_Diario[Fecha],"&gt;="&amp;'Libro Mayor'!DU$9,Libro_Diario[Fecha],"&lt;="&amp;EOMONTH('Libro Mayor'!DU$9,0))</f>
        <v>0</v>
      </c>
      <c r="DV33" s="24">
        <f>SUMIFS(Libro_Diario[[Cantidad ]],Libro_Diario[[Tipo ]],Gastos[[#Headers],[Gastos]],Libro_Diario[[Categoria ]],Gastos[[#This Row],[Gastos]],Libro_Diario[Fecha],"&gt;="&amp;'Libro Mayor'!DV$9,Libro_Diario[Fecha],"&lt;="&amp;EOMONTH('Libro Mayor'!DV$9,0))</f>
        <v>0</v>
      </c>
      <c r="DW33" s="24">
        <f>SUMIFS(Libro_Diario[[Cantidad ]],Libro_Diario[[Tipo ]],Gastos[[#Headers],[Gastos]],Libro_Diario[[Categoria ]],Gastos[[#This Row],[Gastos]],Libro_Diario[Fecha],"&gt;="&amp;'Libro Mayor'!DW$9,Libro_Diario[Fecha],"&lt;="&amp;EOMONTH('Libro Mayor'!DW$9,0))</f>
        <v>0</v>
      </c>
      <c r="DX33" s="24">
        <f>SUMIFS(Libro_Diario[Detalles],Libro_Diario[[Categoria ]],Gastos[[#Headers],[Gastos]],Libro_Diario[[Cantidad ]],Gastos[[#This Row],[Gastos]],Libro_Diario[[Tipo ]],"&gt;="&amp;'Libro Mayor'!DX$9,Libro_Diario[[Tipo ]],"&lt;="&amp;EOMONTH('Libro Mayor'!DX$9,0))</f>
        <v>0</v>
      </c>
      <c r="DY33" s="25">
        <f t="shared" ref="DY33" si="51">SUM(DM33:DX33)</f>
        <v>0</v>
      </c>
      <c r="EA33" s="24">
        <f>SUMIFS(Libro_Diario[[Cantidad ]],Libro_Diario[[Tipo ]],Gastos[[#Headers],[Gastos]],Libro_Diario[[Categoria ]],Gastos[[#This Row],[Gastos]],Libro_Diario[Fecha],"&gt;="&amp;'Libro Mayor'!EA$9,Libro_Diario[Fecha],"&lt;="&amp;EOMONTH('Libro Mayor'!EA$9,0))</f>
        <v>0</v>
      </c>
      <c r="EB33" s="24">
        <f>SUMIFS(Libro_Diario[[Cantidad ]],Libro_Diario[[Tipo ]],Gastos[[#Headers],[Gastos]],Libro_Diario[[Categoria ]],Gastos[[#This Row],[Gastos]],Libro_Diario[Fecha],"&gt;="&amp;'Libro Mayor'!EB$9,Libro_Diario[Fecha],"&lt;="&amp;EOMONTH('Libro Mayor'!EB$9,0))</f>
        <v>0</v>
      </c>
      <c r="EC33" s="24">
        <f>SUMIFS(Libro_Diario[[Cantidad ]],Libro_Diario[[Tipo ]],Gastos[[#Headers],[Gastos]],Libro_Diario[[Categoria ]],Gastos[[#This Row],[Gastos]],Libro_Diario[Fecha],"&gt;="&amp;'Libro Mayor'!EC$9,Libro_Diario[Fecha],"&lt;="&amp;EOMONTH('Libro Mayor'!EC$9,0))</f>
        <v>0</v>
      </c>
      <c r="ED33" s="24">
        <f>SUMIFS(Libro_Diario[[Cantidad ]],Libro_Diario[[Tipo ]],Gastos[[#Headers],[Gastos]],Libro_Diario[[Categoria ]],Gastos[[#This Row],[Gastos]],Libro_Diario[Fecha],"&gt;="&amp;'Libro Mayor'!ED$9,Libro_Diario[Fecha],"&lt;="&amp;EOMONTH('Libro Mayor'!ED$9,0))</f>
        <v>0</v>
      </c>
      <c r="EE33" s="24">
        <f>SUMIFS(Libro_Diario[[Cantidad ]],Libro_Diario[[Tipo ]],Gastos[[#Headers],[Gastos]],Libro_Diario[[Categoria ]],Gastos[[#This Row],[Gastos]],Libro_Diario[Fecha],"&gt;="&amp;'Libro Mayor'!EE$9,Libro_Diario[Fecha],"&lt;="&amp;EOMONTH('Libro Mayor'!EE$9,0))</f>
        <v>0</v>
      </c>
      <c r="EF33" s="24">
        <f>SUMIFS(Libro_Diario[[Cantidad ]],Libro_Diario[[Tipo ]],Gastos[[#Headers],[Gastos]],Libro_Diario[[Categoria ]],Gastos[[#This Row],[Gastos]],Libro_Diario[Fecha],"&gt;="&amp;'Libro Mayor'!EF$9,Libro_Diario[Fecha],"&lt;="&amp;EOMONTH('Libro Mayor'!EF$9,0))</f>
        <v>0</v>
      </c>
      <c r="EG33" s="24">
        <f>SUMIFS(Libro_Diario[[Cantidad ]],Libro_Diario[[Tipo ]],Gastos[[#Headers],[Gastos]],Libro_Diario[[Categoria ]],Gastos[[#This Row],[Gastos]],Libro_Diario[Fecha],"&gt;="&amp;'Libro Mayor'!EG$9,Libro_Diario[Fecha],"&lt;="&amp;EOMONTH('Libro Mayor'!EG$9,0))</f>
        <v>0</v>
      </c>
      <c r="EH33" s="24">
        <f>SUMIFS(Libro_Diario[[Cantidad ]],Libro_Diario[[Tipo ]],Gastos[[#Headers],[Gastos]],Libro_Diario[[Categoria ]],Gastos[[#This Row],[Gastos]],Libro_Diario[Fecha],"&gt;="&amp;'Libro Mayor'!EH$9,Libro_Diario[Fecha],"&lt;="&amp;EOMONTH('Libro Mayor'!EH$9,0))</f>
        <v>0</v>
      </c>
      <c r="EI33" s="24">
        <f>SUMIFS(Libro_Diario[[Cantidad ]],Libro_Diario[[Tipo ]],Gastos[[#Headers],[Gastos]],Libro_Diario[[Categoria ]],Gastos[[#This Row],[Gastos]],Libro_Diario[Fecha],"&gt;="&amp;'Libro Mayor'!EI$9,Libro_Diario[Fecha],"&lt;="&amp;EOMONTH('Libro Mayor'!EI$9,0))</f>
        <v>0</v>
      </c>
      <c r="EJ33" s="24">
        <f>SUMIFS(Libro_Diario[[Cantidad ]],Libro_Diario[[Tipo ]],Gastos[[#Headers],[Gastos]],Libro_Diario[[Categoria ]],Gastos[[#This Row],[Gastos]],Libro_Diario[Fecha],"&gt;="&amp;'Libro Mayor'!EJ$9,Libro_Diario[Fecha],"&lt;="&amp;EOMONTH('Libro Mayor'!EJ$9,0))</f>
        <v>0</v>
      </c>
      <c r="EK33" s="24">
        <f>SUMIFS(Libro_Diario[[Cantidad ]],Libro_Diario[[Tipo ]],Gastos[[#Headers],[Gastos]],Libro_Diario[[Categoria ]],Gastos[[#This Row],[Gastos]],Libro_Diario[Fecha],"&gt;="&amp;'Libro Mayor'!EK$9,Libro_Diario[Fecha],"&lt;="&amp;EOMONTH('Libro Mayor'!EK$9,0))</f>
        <v>0</v>
      </c>
      <c r="EL33" s="24">
        <f>SUMIFS(Libro_Diario[Detalles],Libro_Diario[[Categoria ]],Gastos[[#Headers],[Gastos]],Libro_Diario[[Cantidad ]],Gastos[[#This Row],[Gastos]],Libro_Diario[[Tipo ]],"&gt;="&amp;'Libro Mayor'!EL$9,Libro_Diario[[Tipo ]],"&lt;="&amp;EOMONTH('Libro Mayor'!EL$9,0))</f>
        <v>0</v>
      </c>
      <c r="EM33" s="25">
        <f t="shared" ref="EM33" si="52">SUM(EA33:EL33)</f>
        <v>0</v>
      </c>
      <c r="EO33" s="24">
        <f>SUMIFS(Libro_Diario[[Cantidad ]],Libro_Diario[[Tipo ]],Gastos[[#Headers],[Gastos]],Libro_Diario[[Categoria ]],Gastos[[#This Row],[Gastos]],Libro_Diario[Fecha],"&gt;="&amp;'Libro Mayor'!EO$9,Libro_Diario[Fecha],"&lt;="&amp;EOMONTH('Libro Mayor'!EO$9,0))</f>
        <v>0</v>
      </c>
      <c r="EP33" s="24">
        <f>SUMIFS(Libro_Diario[[Cantidad ]],Libro_Diario[[Tipo ]],Gastos[[#Headers],[Gastos]],Libro_Diario[[Categoria ]],Gastos[[#This Row],[Gastos]],Libro_Diario[Fecha],"&gt;="&amp;'Libro Mayor'!EP$9,Libro_Diario[Fecha],"&lt;="&amp;EOMONTH('Libro Mayor'!EP$9,0))</f>
        <v>0</v>
      </c>
      <c r="EQ33" s="24">
        <f>SUMIFS(Libro_Diario[[Cantidad ]],Libro_Diario[[Tipo ]],Gastos[[#Headers],[Gastos]],Libro_Diario[[Categoria ]],Gastos[[#This Row],[Gastos]],Libro_Diario[Fecha],"&gt;="&amp;'Libro Mayor'!EQ$9,Libro_Diario[Fecha],"&lt;="&amp;EOMONTH('Libro Mayor'!EQ$9,0))</f>
        <v>0</v>
      </c>
      <c r="ER33" s="24">
        <f>SUMIFS(Libro_Diario[[Cantidad ]],Libro_Diario[[Tipo ]],Gastos[[#Headers],[Gastos]],Libro_Diario[[Categoria ]],Gastos[[#This Row],[Gastos]],Libro_Diario[Fecha],"&gt;="&amp;'Libro Mayor'!ER$9,Libro_Diario[Fecha],"&lt;="&amp;EOMONTH('Libro Mayor'!ER$9,0))</f>
        <v>0</v>
      </c>
      <c r="ES33" s="24">
        <f>SUMIFS(Libro_Diario[[Cantidad ]],Libro_Diario[[Tipo ]],Gastos[[#Headers],[Gastos]],Libro_Diario[[Categoria ]],Gastos[[#This Row],[Gastos]],Libro_Diario[Fecha],"&gt;="&amp;'Libro Mayor'!ES$9,Libro_Diario[Fecha],"&lt;="&amp;EOMONTH('Libro Mayor'!ES$9,0))</f>
        <v>0</v>
      </c>
      <c r="ET33" s="24">
        <f>SUMIFS(Libro_Diario[[Cantidad ]],Libro_Diario[[Tipo ]],Gastos[[#Headers],[Gastos]],Libro_Diario[[Categoria ]],Gastos[[#This Row],[Gastos]],Libro_Diario[Fecha],"&gt;="&amp;'Libro Mayor'!ET$9,Libro_Diario[Fecha],"&lt;="&amp;EOMONTH('Libro Mayor'!ET$9,0))</f>
        <v>0</v>
      </c>
      <c r="EU33" s="24">
        <f>SUMIFS(Libro_Diario[[Cantidad ]],Libro_Diario[[Tipo ]],Gastos[[#Headers],[Gastos]],Libro_Diario[[Categoria ]],Gastos[[#This Row],[Gastos]],Libro_Diario[Fecha],"&gt;="&amp;'Libro Mayor'!EU$9,Libro_Diario[Fecha],"&lt;="&amp;EOMONTH('Libro Mayor'!EU$9,0))</f>
        <v>0</v>
      </c>
      <c r="EV33" s="24">
        <f>SUMIFS(Libro_Diario[[Cantidad ]],Libro_Diario[[Tipo ]],Gastos[[#Headers],[Gastos]],Libro_Diario[[Categoria ]],Gastos[[#This Row],[Gastos]],Libro_Diario[Fecha],"&gt;="&amp;'Libro Mayor'!EV$9,Libro_Diario[Fecha],"&lt;="&amp;EOMONTH('Libro Mayor'!EV$9,0))</f>
        <v>0</v>
      </c>
      <c r="EW33" s="24">
        <f>SUMIFS(Libro_Diario[[Cantidad ]],Libro_Diario[[Tipo ]],Gastos[[#Headers],[Gastos]],Libro_Diario[[Categoria ]],Gastos[[#This Row],[Gastos]],Libro_Diario[Fecha],"&gt;="&amp;'Libro Mayor'!EW$9,Libro_Diario[Fecha],"&lt;="&amp;EOMONTH('Libro Mayor'!EW$9,0))</f>
        <v>0</v>
      </c>
      <c r="EX33" s="24">
        <f>SUMIFS(Libro_Diario[[Cantidad ]],Libro_Diario[[Tipo ]],Gastos[[#Headers],[Gastos]],Libro_Diario[[Categoria ]],Gastos[[#This Row],[Gastos]],Libro_Diario[Fecha],"&gt;="&amp;'Libro Mayor'!EX$9,Libro_Diario[Fecha],"&lt;="&amp;EOMONTH('Libro Mayor'!EX$9,0))</f>
        <v>0</v>
      </c>
      <c r="EY33" s="24">
        <f>SUMIFS(Libro_Diario[[Cantidad ]],Libro_Diario[[Tipo ]],Gastos[[#Headers],[Gastos]],Libro_Diario[[Categoria ]],Gastos[[#This Row],[Gastos]],Libro_Diario[Fecha],"&gt;="&amp;'Libro Mayor'!EY$9,Libro_Diario[Fecha],"&lt;="&amp;EOMONTH('Libro Mayor'!EY$9,0))</f>
        <v>0</v>
      </c>
      <c r="EZ33" s="24">
        <f>SUMIFS(Libro_Diario[[Cantidad ]],Libro_Diario[[Tipo ]],Gastos[[#Headers],[Gastos]],Libro_Diario[[Categoria ]],Gastos[[#This Row],[Gastos]],Libro_Diario[Fecha],"&gt;="&amp;'Libro Mayor'!EZ$9,Libro_Diario[Fecha],"&lt;="&amp;EOMONTH('Libro Mayor'!EZ$9,0))</f>
        <v>0</v>
      </c>
      <c r="FA33" s="25">
        <f t="shared" ref="FA33" si="53">SUM(EO33:EZ33)</f>
        <v>0</v>
      </c>
    </row>
    <row r="34" spans="3:157" x14ac:dyDescent="0.3">
      <c r="C34" s="17" t="s">
        <v>15</v>
      </c>
      <c r="D34" s="23"/>
      <c r="E34" s="24">
        <f>SUMIFS(Libro_Diario[[Cantidad ]],Libro_Diario[[Tipo ]],Gastos[[#Headers],[Gastos]],Libro_Diario[[Categoria ]],Gastos[[#This Row],[Gastos]],Libro_Diario[Fecha],"&gt;="&amp;'Libro Mayor'!E$9,Libro_Diario[Fecha],"&lt;="&amp;EOMONTH('Libro Mayor'!E$9,0))</f>
        <v>0</v>
      </c>
      <c r="F34" s="24">
        <f>SUMIFS(Libro_Diario[[Cantidad ]],Libro_Diario[[Tipo ]],Gastos[[#Headers],[Gastos]],Libro_Diario[[Categoria ]],Gastos[[#This Row],[Gastos]],Libro_Diario[Fecha],"&gt;="&amp;'Libro Mayor'!F$9,Libro_Diario[Fecha],"&lt;="&amp;EOMONTH('Libro Mayor'!F$9,0))</f>
        <v>0</v>
      </c>
      <c r="G34" s="24">
        <f>SUMIFS(Libro_Diario[[Cantidad ]],Libro_Diario[[Tipo ]],Gastos[[#Headers],[Gastos]],Libro_Diario[[Categoria ]],Gastos[[#This Row],[Gastos]],Libro_Diario[Fecha],"&gt;="&amp;'Libro Mayor'!G$9,Libro_Diario[Fecha],"&lt;="&amp;EOMONTH('Libro Mayor'!G$9,0))</f>
        <v>0</v>
      </c>
      <c r="H34" s="24">
        <f>SUMIFS(Libro_Diario[[Cantidad ]],Libro_Diario[[Tipo ]],Gastos[[#Headers],[Gastos]],Libro_Diario[[Categoria ]],Gastos[[#This Row],[Gastos]],Libro_Diario[Fecha],"&gt;="&amp;'Libro Mayor'!H$9,Libro_Diario[Fecha],"&lt;="&amp;EOMONTH('Libro Mayor'!H$9,0))</f>
        <v>0</v>
      </c>
      <c r="I34" s="24">
        <f>SUMIFS(Libro_Diario[[Cantidad ]],Libro_Diario[[Tipo ]],Gastos[[#Headers],[Gastos]],Libro_Diario[[Categoria ]],Gastos[[#This Row],[Gastos]],Libro_Diario[Fecha],"&gt;="&amp;'Libro Mayor'!I$9,Libro_Diario[Fecha],"&lt;="&amp;EOMONTH('Libro Mayor'!I$9,0))</f>
        <v>0</v>
      </c>
      <c r="J34" s="24">
        <f>SUMIFS(Libro_Diario[[Cantidad ]],Libro_Diario[[Tipo ]],Gastos[[#Headers],[Gastos]],Libro_Diario[[Categoria ]],Gastos[[#This Row],[Gastos]],Libro_Diario[Fecha],"&gt;="&amp;'Libro Mayor'!J$9,Libro_Diario[Fecha],"&lt;="&amp;EOMONTH('Libro Mayor'!J$9,0))</f>
        <v>0</v>
      </c>
      <c r="K34" s="24">
        <f>SUMIFS(Libro_Diario[[Cantidad ]],Libro_Diario[[Tipo ]],Gastos[[#Headers],[Gastos]],Libro_Diario[[Categoria ]],Gastos[[#This Row],[Gastos]],Libro_Diario[Fecha],"&gt;="&amp;'Libro Mayor'!K$9,Libro_Diario[Fecha],"&lt;="&amp;EOMONTH('Libro Mayor'!K$9,0))</f>
        <v>0</v>
      </c>
      <c r="L34" s="24">
        <f>SUMIFS(Libro_Diario[[Cantidad ]],Libro_Diario[[Tipo ]],Gastos[[#Headers],[Gastos]],Libro_Diario[[Categoria ]],Gastos[[#This Row],[Gastos]],Libro_Diario[Fecha],"&gt;="&amp;'Libro Mayor'!L$9,Libro_Diario[Fecha],"&lt;="&amp;EOMONTH('Libro Mayor'!L$9,0))</f>
        <v>0</v>
      </c>
      <c r="M34" s="24">
        <f>SUMIFS(Libro_Diario[[Cantidad ]],Libro_Diario[[Tipo ]],Gastos[[#Headers],[Gastos]],Libro_Diario[[Categoria ]],Gastos[[#This Row],[Gastos]],Libro_Diario[Fecha],"&gt;="&amp;'Libro Mayor'!M$9,Libro_Diario[Fecha],"&lt;="&amp;EOMONTH('Libro Mayor'!M$9,0))</f>
        <v>0</v>
      </c>
      <c r="N34" s="24">
        <f>SUMIFS(Libro_Diario[[Cantidad ]],Libro_Diario[[Tipo ]],Gastos[[#Headers],[Gastos]],Libro_Diario[[Categoria ]],Gastos[[#This Row],[Gastos]],Libro_Diario[Fecha],"&gt;="&amp;'Libro Mayor'!N$9,Libro_Diario[Fecha],"&lt;="&amp;EOMONTH('Libro Mayor'!N$9,0))</f>
        <v>0</v>
      </c>
      <c r="O34" s="24">
        <f>SUMIFS(Libro_Diario[[Cantidad ]],Libro_Diario[[Tipo ]],Gastos[[#Headers],[Gastos]],Libro_Diario[[Categoria ]],Gastos[[#This Row],[Gastos]],Libro_Diario[Fecha],"&gt;="&amp;'Libro Mayor'!O$9,Libro_Diario[Fecha],"&lt;="&amp;EOMONTH('Libro Mayor'!O$9,0))</f>
        <v>0</v>
      </c>
      <c r="P34" s="24">
        <f>SUMIFS(Libro_Diario[[Cantidad ]],Libro_Diario[[Tipo ]],Gastos[[#Headers],[Gastos]],Libro_Diario[[Categoria ]],Gastos[[#This Row],[Gastos]],Libro_Diario[Fecha],"&gt;="&amp;'Libro Mayor'!P$9,Libro_Diario[Fecha],"&lt;="&amp;EOMONTH('Libro Mayor'!P$9,0))</f>
        <v>0</v>
      </c>
      <c r="Q34" s="25">
        <f t="shared" si="23"/>
        <v>0</v>
      </c>
      <c r="S34" s="24">
        <f>SUMIFS(Libro_Diario[[Cantidad ]],Libro_Diario[[Tipo ]],Gastos[[#Headers],[Gastos]],Libro_Diario[[Categoria ]],Gastos[[#This Row],[Gastos]],Libro_Diario[Fecha],"&gt;="&amp;'Libro Mayor'!S$9,Libro_Diario[Fecha],"&lt;="&amp;EOMONTH('Libro Mayor'!S$9,0))</f>
        <v>0</v>
      </c>
      <c r="T34" s="24">
        <f>SUMIFS(Libro_Diario[[Cantidad ]],Libro_Diario[[Tipo ]],Gastos[[#Headers],[Gastos]],Libro_Diario[[Categoria ]],Gastos[[#This Row],[Gastos]],Libro_Diario[Fecha],"&gt;="&amp;'Libro Mayor'!T$9,Libro_Diario[Fecha],"&lt;="&amp;EOMONTH('Libro Mayor'!T$9,0))</f>
        <v>0</v>
      </c>
      <c r="U34" s="24">
        <f>SUMIFS(Libro_Diario[[Cantidad ]],Libro_Diario[[Tipo ]],Gastos[[#Headers],[Gastos]],Libro_Diario[[Categoria ]],Gastos[[#This Row],[Gastos]],Libro_Diario[Fecha],"&gt;="&amp;'Libro Mayor'!U$9,Libro_Diario[Fecha],"&lt;="&amp;EOMONTH('Libro Mayor'!U$9,0))</f>
        <v>0</v>
      </c>
      <c r="V34" s="24">
        <f>SUMIFS(Libro_Diario[[Cantidad ]],Libro_Diario[[Tipo ]],Gastos[[#Headers],[Gastos]],Libro_Diario[[Categoria ]],Gastos[[#This Row],[Gastos]],Libro_Diario[Fecha],"&gt;="&amp;'Libro Mayor'!V$9,Libro_Diario[Fecha],"&lt;="&amp;EOMONTH('Libro Mayor'!V$9,0))</f>
        <v>0</v>
      </c>
      <c r="W34" s="24">
        <f>SUMIFS(Libro_Diario[[Cantidad ]],Libro_Diario[[Tipo ]],Gastos[[#Headers],[Gastos]],Libro_Diario[[Categoria ]],Gastos[[#This Row],[Gastos]],Libro_Diario[Fecha],"&gt;="&amp;'Libro Mayor'!W$9,Libro_Diario[Fecha],"&lt;="&amp;EOMONTH('Libro Mayor'!W$9,0))</f>
        <v>0</v>
      </c>
      <c r="X34" s="24">
        <f>SUMIFS(Libro_Diario[[Cantidad ]],Libro_Diario[[Tipo ]],Gastos[[#Headers],[Gastos]],Libro_Diario[[Categoria ]],Gastos[[#This Row],[Gastos]],Libro_Diario[Fecha],"&gt;="&amp;'Libro Mayor'!X$9,Libro_Diario[Fecha],"&lt;="&amp;EOMONTH('Libro Mayor'!X$9,0))</f>
        <v>0</v>
      </c>
      <c r="Y34" s="24">
        <f>SUMIFS(Libro_Diario[[Cantidad ]],Libro_Diario[[Tipo ]],Gastos[[#Headers],[Gastos]],Libro_Diario[[Categoria ]],Gastos[[#This Row],[Gastos]],Libro_Diario[Fecha],"&gt;="&amp;'Libro Mayor'!Y$9,Libro_Diario[Fecha],"&lt;="&amp;EOMONTH('Libro Mayor'!Y$9,0))</f>
        <v>0</v>
      </c>
      <c r="Z34" s="24">
        <f>SUMIFS(Libro_Diario[[Cantidad ]],Libro_Diario[[Tipo ]],Gastos[[#Headers],[Gastos]],Libro_Diario[[Categoria ]],Gastos[[#This Row],[Gastos]],Libro_Diario[Fecha],"&gt;="&amp;'Libro Mayor'!Z$9,Libro_Diario[Fecha],"&lt;="&amp;EOMONTH('Libro Mayor'!Z$9,0))</f>
        <v>0</v>
      </c>
      <c r="AA34" s="24">
        <f>SUMIFS(Libro_Diario[[Cantidad ]],Libro_Diario[[Tipo ]],Gastos[[#Headers],[Gastos]],Libro_Diario[[Categoria ]],Gastos[[#This Row],[Gastos]],Libro_Diario[Fecha],"&gt;="&amp;'Libro Mayor'!AA$9,Libro_Diario[Fecha],"&lt;="&amp;EOMONTH('Libro Mayor'!AA$9,0))</f>
        <v>0</v>
      </c>
      <c r="AB34" s="24">
        <f>SUMIFS(Libro_Diario[[Cantidad ]],Libro_Diario[[Tipo ]],Gastos[[#Headers],[Gastos]],Libro_Diario[[Categoria ]],Gastos[[#This Row],[Gastos]],Libro_Diario[Fecha],"&gt;="&amp;'Libro Mayor'!AB$9,Libro_Diario[Fecha],"&lt;="&amp;EOMONTH('Libro Mayor'!AB$9,0))</f>
        <v>0</v>
      </c>
      <c r="AC34" s="24">
        <f>SUMIFS(Libro_Diario[[Cantidad ]],Libro_Diario[[Tipo ]],Gastos[[#Headers],[Gastos]],Libro_Diario[[Categoria ]],Gastos[[#This Row],[Gastos]],Libro_Diario[Fecha],"&gt;="&amp;'Libro Mayor'!AC$9,Libro_Diario[Fecha],"&lt;="&amp;EOMONTH('Libro Mayor'!AC$9,0))</f>
        <v>0</v>
      </c>
      <c r="AD34" s="24">
        <f>SUMIFS(Libro_Diario[Detalles],Libro_Diario[[Categoria ]],Gastos[[#Headers],[Gastos]],Libro_Diario[[Cantidad ]],Gastos[[#This Row],[Gastos]],Libro_Diario[[Tipo ]],"&gt;="&amp;'Libro Mayor'!AD$9,Libro_Diario[[Tipo ]],"&lt;="&amp;EOMONTH('Libro Mayor'!AD$9,0))</f>
        <v>0</v>
      </c>
      <c r="AE34" s="25">
        <f t="shared" si="43"/>
        <v>0</v>
      </c>
      <c r="AG34" s="24">
        <f>SUMIFS(Libro_Diario[[Cantidad ]],Libro_Diario[[Tipo ]],Gastos[[#Headers],[Gastos]],Libro_Diario[[Categoria ]],Gastos[[#This Row],[Gastos]],Libro_Diario[Fecha],"&gt;="&amp;'Libro Mayor'!AG$9,Libro_Diario[Fecha],"&lt;="&amp;EOMONTH('Libro Mayor'!AG$9,0))</f>
        <v>0</v>
      </c>
      <c r="AH34" s="24">
        <f>SUMIFS(Libro_Diario[[Cantidad ]],Libro_Diario[[Tipo ]],Gastos[[#Headers],[Gastos]],Libro_Diario[[Categoria ]],Gastos[[#This Row],[Gastos]],Libro_Diario[Fecha],"&gt;="&amp;'Libro Mayor'!AH$9,Libro_Diario[Fecha],"&lt;="&amp;EOMONTH('Libro Mayor'!AH$9,0))</f>
        <v>0</v>
      </c>
      <c r="AI34" s="24">
        <f>SUMIFS(Libro_Diario[[Cantidad ]],Libro_Diario[[Tipo ]],Gastos[[#Headers],[Gastos]],Libro_Diario[[Categoria ]],Gastos[[#This Row],[Gastos]],Libro_Diario[Fecha],"&gt;="&amp;'Libro Mayor'!AI$9,Libro_Diario[Fecha],"&lt;="&amp;EOMONTH('Libro Mayor'!AI$9,0))</f>
        <v>0</v>
      </c>
      <c r="AJ34" s="24">
        <f>SUMIFS(Libro_Diario[[Cantidad ]],Libro_Diario[[Tipo ]],Gastos[[#Headers],[Gastos]],Libro_Diario[[Categoria ]],Gastos[[#This Row],[Gastos]],Libro_Diario[Fecha],"&gt;="&amp;'Libro Mayor'!AJ$9,Libro_Diario[Fecha],"&lt;="&amp;EOMONTH('Libro Mayor'!AJ$9,0))</f>
        <v>0</v>
      </c>
      <c r="AK34" s="24">
        <f>SUMIFS(Libro_Diario[[Cantidad ]],Libro_Diario[[Tipo ]],Gastos[[#Headers],[Gastos]],Libro_Diario[[Categoria ]],Gastos[[#This Row],[Gastos]],Libro_Diario[Fecha],"&gt;="&amp;'Libro Mayor'!AK$9,Libro_Diario[Fecha],"&lt;="&amp;EOMONTH('Libro Mayor'!AK$9,0))</f>
        <v>0</v>
      </c>
      <c r="AL34" s="24">
        <f>SUMIFS(Libro_Diario[[Cantidad ]],Libro_Diario[[Tipo ]],Gastos[[#Headers],[Gastos]],Libro_Diario[[Categoria ]],Gastos[[#This Row],[Gastos]],Libro_Diario[Fecha],"&gt;="&amp;'Libro Mayor'!AL$9,Libro_Diario[Fecha],"&lt;="&amp;EOMONTH('Libro Mayor'!AL$9,0))</f>
        <v>0</v>
      </c>
      <c r="AM34" s="24">
        <f>SUMIFS(Libro_Diario[[Cantidad ]],Libro_Diario[[Tipo ]],Gastos[[#Headers],[Gastos]],Libro_Diario[[Categoria ]],Gastos[[#This Row],[Gastos]],Libro_Diario[Fecha],"&gt;="&amp;'Libro Mayor'!AM$9,Libro_Diario[Fecha],"&lt;="&amp;EOMONTH('Libro Mayor'!AM$9,0))</f>
        <v>0</v>
      </c>
      <c r="AN34" s="24">
        <f>SUMIFS(Libro_Diario[[Cantidad ]],Libro_Diario[[Tipo ]],Gastos[[#Headers],[Gastos]],Libro_Diario[[Categoria ]],Gastos[[#This Row],[Gastos]],Libro_Diario[Fecha],"&gt;="&amp;'Libro Mayor'!AN$9,Libro_Diario[Fecha],"&lt;="&amp;EOMONTH('Libro Mayor'!AN$9,0))</f>
        <v>0</v>
      </c>
      <c r="AO34" s="24">
        <f>SUMIFS(Libro_Diario[[Cantidad ]],Libro_Diario[[Tipo ]],Gastos[[#Headers],[Gastos]],Libro_Diario[[Categoria ]],Gastos[[#This Row],[Gastos]],Libro_Diario[Fecha],"&gt;="&amp;'Libro Mayor'!AO$9,Libro_Diario[Fecha],"&lt;="&amp;EOMONTH('Libro Mayor'!AO$9,0))</f>
        <v>0</v>
      </c>
      <c r="AP34" s="24">
        <f>SUMIFS(Libro_Diario[[Cantidad ]],Libro_Diario[[Tipo ]],Gastos[[#Headers],[Gastos]],Libro_Diario[[Categoria ]],Gastos[[#This Row],[Gastos]],Libro_Diario[Fecha],"&gt;="&amp;'Libro Mayor'!AP$9,Libro_Diario[Fecha],"&lt;="&amp;EOMONTH('Libro Mayor'!AP$9,0))</f>
        <v>0</v>
      </c>
      <c r="AQ34" s="24">
        <f>SUMIFS(Libro_Diario[[Cantidad ]],Libro_Diario[[Tipo ]],Gastos[[#Headers],[Gastos]],Libro_Diario[[Categoria ]],Gastos[[#This Row],[Gastos]],Libro_Diario[Fecha],"&gt;="&amp;'Libro Mayor'!AQ$9,Libro_Diario[Fecha],"&lt;="&amp;EOMONTH('Libro Mayor'!AQ$9,0))</f>
        <v>0</v>
      </c>
      <c r="AR34" s="24">
        <f>SUMIFS(Libro_Diario[Detalles],Libro_Diario[[Categoria ]],Gastos[[#Headers],[Gastos]],Libro_Diario[[Cantidad ]],Gastos[[#This Row],[Gastos]],Libro_Diario[[Tipo ]],"&gt;="&amp;'Libro Mayor'!AR$9,Libro_Diario[[Tipo ]],"&lt;="&amp;EOMONTH('Libro Mayor'!AR$9,0))</f>
        <v>0</v>
      </c>
      <c r="AS34" s="25">
        <f t="shared" si="35"/>
        <v>0</v>
      </c>
      <c r="AU34" s="24">
        <f>SUMIFS(Libro_Diario[[Cantidad ]],Libro_Diario[[Tipo ]],Gastos[[#Headers],[Gastos]],Libro_Diario[[Categoria ]],Gastos[[#This Row],[Gastos]],Libro_Diario[Fecha],"&gt;="&amp;'Libro Mayor'!AU$9,Libro_Diario[Fecha],"&lt;="&amp;EOMONTH('Libro Mayor'!AU$9,0))</f>
        <v>0</v>
      </c>
      <c r="AV34" s="24">
        <f>SUMIFS(Libro_Diario[[Cantidad ]],Libro_Diario[[Tipo ]],Gastos[[#Headers],[Gastos]],Libro_Diario[[Categoria ]],Gastos[[#This Row],[Gastos]],Libro_Diario[Fecha],"&gt;="&amp;'Libro Mayor'!AV$9,Libro_Diario[Fecha],"&lt;="&amp;EOMONTH('Libro Mayor'!AV$9,0))</f>
        <v>0</v>
      </c>
      <c r="AW34" s="24">
        <f>SUMIFS(Libro_Diario[[Cantidad ]],Libro_Diario[[Tipo ]],Gastos[[#Headers],[Gastos]],Libro_Diario[[Categoria ]],Gastos[[#This Row],[Gastos]],Libro_Diario[Fecha],"&gt;="&amp;'Libro Mayor'!AW$9,Libro_Diario[Fecha],"&lt;="&amp;EOMONTH('Libro Mayor'!AW$9,0))</f>
        <v>0</v>
      </c>
      <c r="AX34" s="24">
        <f>SUMIFS(Libro_Diario[[Cantidad ]],Libro_Diario[[Tipo ]],Gastos[[#Headers],[Gastos]],Libro_Diario[[Categoria ]],Gastos[[#This Row],[Gastos]],Libro_Diario[Fecha],"&gt;="&amp;'Libro Mayor'!AX$9,Libro_Diario[Fecha],"&lt;="&amp;EOMONTH('Libro Mayor'!AX$9,0))</f>
        <v>0</v>
      </c>
      <c r="AY34" s="24">
        <f>SUMIFS(Libro_Diario[[Cantidad ]],Libro_Diario[[Tipo ]],Gastos[[#Headers],[Gastos]],Libro_Diario[[Categoria ]],Gastos[[#This Row],[Gastos]],Libro_Diario[Fecha],"&gt;="&amp;'Libro Mayor'!AY$9,Libro_Diario[Fecha],"&lt;="&amp;EOMONTH('Libro Mayor'!AY$9,0))</f>
        <v>0</v>
      </c>
      <c r="AZ34" s="24">
        <f>SUMIFS(Libro_Diario[[Cantidad ]],Libro_Diario[[Tipo ]],Gastos[[#Headers],[Gastos]],Libro_Diario[[Categoria ]],Gastos[[#This Row],[Gastos]],Libro_Diario[Fecha],"&gt;="&amp;'Libro Mayor'!AZ$9,Libro_Diario[Fecha],"&lt;="&amp;EOMONTH('Libro Mayor'!AZ$9,0))</f>
        <v>0</v>
      </c>
      <c r="BA34" s="24">
        <f>SUMIFS(Libro_Diario[[Cantidad ]],Libro_Diario[[Tipo ]],Gastos[[#Headers],[Gastos]],Libro_Diario[[Categoria ]],Gastos[[#This Row],[Gastos]],Libro_Diario[Fecha],"&gt;="&amp;'Libro Mayor'!BA$9,Libro_Diario[Fecha],"&lt;="&amp;EOMONTH('Libro Mayor'!BA$9,0))</f>
        <v>0</v>
      </c>
      <c r="BB34" s="24">
        <f>SUMIFS(Libro_Diario[[Cantidad ]],Libro_Diario[[Tipo ]],Gastos[[#Headers],[Gastos]],Libro_Diario[[Categoria ]],Gastos[[#This Row],[Gastos]],Libro_Diario[Fecha],"&gt;="&amp;'Libro Mayor'!BB$9,Libro_Diario[Fecha],"&lt;="&amp;EOMONTH('Libro Mayor'!BB$9,0))</f>
        <v>0</v>
      </c>
      <c r="BC34" s="24">
        <f>SUMIFS(Libro_Diario[[Cantidad ]],Libro_Diario[[Tipo ]],Gastos[[#Headers],[Gastos]],Libro_Diario[[Categoria ]],Gastos[[#This Row],[Gastos]],Libro_Diario[Fecha],"&gt;="&amp;'Libro Mayor'!BC$9,Libro_Diario[Fecha],"&lt;="&amp;EOMONTH('Libro Mayor'!BC$9,0))</f>
        <v>0</v>
      </c>
      <c r="BD34" s="24">
        <f>SUMIFS(Libro_Diario[[Cantidad ]],Libro_Diario[[Tipo ]],Gastos[[#Headers],[Gastos]],Libro_Diario[[Categoria ]],Gastos[[#This Row],[Gastos]],Libro_Diario[Fecha],"&gt;="&amp;'Libro Mayor'!BD$9,Libro_Diario[Fecha],"&lt;="&amp;EOMONTH('Libro Mayor'!BD$9,0))</f>
        <v>0</v>
      </c>
      <c r="BE34" s="24">
        <f>SUMIFS(Libro_Diario[[Cantidad ]],Libro_Diario[[Tipo ]],Gastos[[#Headers],[Gastos]],Libro_Diario[[Categoria ]],Gastos[[#This Row],[Gastos]],Libro_Diario[Fecha],"&gt;="&amp;'Libro Mayor'!BE$9,Libro_Diario[Fecha],"&lt;="&amp;EOMONTH('Libro Mayor'!BE$9,0))</f>
        <v>0</v>
      </c>
      <c r="BF34" s="24">
        <f>SUMIFS(Libro_Diario[Detalles],Libro_Diario[[Categoria ]],Gastos[[#Headers],[Gastos]],Libro_Diario[[Cantidad ]],Gastos[[#This Row],[Gastos]],Libro_Diario[[Tipo ]],"&gt;="&amp;'Libro Mayor'!BF$9,Libro_Diario[[Tipo ]],"&lt;="&amp;EOMONTH('Libro Mayor'!BF$9,0))</f>
        <v>0</v>
      </c>
      <c r="BG34" s="25">
        <f t="shared" si="36"/>
        <v>0</v>
      </c>
      <c r="BI34" s="24">
        <f>SUMIFS(Libro_Diario[[Cantidad ]],Libro_Diario[[Tipo ]],Gastos[[#Headers],[Gastos]],Libro_Diario[[Categoria ]],Gastos[[#This Row],[Gastos]],Libro_Diario[Fecha],"&gt;="&amp;'Libro Mayor'!BI$9,Libro_Diario[Fecha],"&lt;="&amp;EOMONTH('Libro Mayor'!BI$9,0))</f>
        <v>0</v>
      </c>
      <c r="BJ34" s="24">
        <f>SUMIFS(Libro_Diario[[Cantidad ]],Libro_Diario[[Tipo ]],Gastos[[#Headers],[Gastos]],Libro_Diario[[Categoria ]],Gastos[[#This Row],[Gastos]],Libro_Diario[Fecha],"&gt;="&amp;'Libro Mayor'!BJ$9,Libro_Diario[Fecha],"&lt;="&amp;EOMONTH('Libro Mayor'!BJ$9,0))</f>
        <v>0</v>
      </c>
      <c r="BK34" s="24">
        <f>SUMIFS(Libro_Diario[[Cantidad ]],Libro_Diario[[Tipo ]],Gastos[[#Headers],[Gastos]],Libro_Diario[[Categoria ]],Gastos[[#This Row],[Gastos]],Libro_Diario[Fecha],"&gt;="&amp;'Libro Mayor'!BK$9,Libro_Diario[Fecha],"&lt;="&amp;EOMONTH('Libro Mayor'!BK$9,0))</f>
        <v>0</v>
      </c>
      <c r="BL34" s="24">
        <f>SUMIFS(Libro_Diario[[Cantidad ]],Libro_Diario[[Tipo ]],Gastos[[#Headers],[Gastos]],Libro_Diario[[Categoria ]],Gastos[[#This Row],[Gastos]],Libro_Diario[Fecha],"&gt;="&amp;'Libro Mayor'!BL$9,Libro_Diario[Fecha],"&lt;="&amp;EOMONTH('Libro Mayor'!BL$9,0))</f>
        <v>0</v>
      </c>
      <c r="BM34" s="24">
        <f>SUMIFS(Libro_Diario[[Cantidad ]],Libro_Diario[[Tipo ]],Gastos[[#Headers],[Gastos]],Libro_Diario[[Categoria ]],Gastos[[#This Row],[Gastos]],Libro_Diario[Fecha],"&gt;="&amp;'Libro Mayor'!BM$9,Libro_Diario[Fecha],"&lt;="&amp;EOMONTH('Libro Mayor'!BM$9,0))</f>
        <v>0</v>
      </c>
      <c r="BN34" s="24">
        <f>SUMIFS(Libro_Diario[[Cantidad ]],Libro_Diario[[Tipo ]],Gastos[[#Headers],[Gastos]],Libro_Diario[[Categoria ]],Gastos[[#This Row],[Gastos]],Libro_Diario[Fecha],"&gt;="&amp;'Libro Mayor'!BN$9,Libro_Diario[Fecha],"&lt;="&amp;EOMONTH('Libro Mayor'!BN$9,0))</f>
        <v>0</v>
      </c>
      <c r="BO34" s="24">
        <f>SUMIFS(Libro_Diario[[Cantidad ]],Libro_Diario[[Tipo ]],Gastos[[#Headers],[Gastos]],Libro_Diario[[Categoria ]],Gastos[[#This Row],[Gastos]],Libro_Diario[Fecha],"&gt;="&amp;'Libro Mayor'!BO$9,Libro_Diario[Fecha],"&lt;="&amp;EOMONTH('Libro Mayor'!BO$9,0))</f>
        <v>0</v>
      </c>
      <c r="BP34" s="24">
        <f>SUMIFS(Libro_Diario[[Cantidad ]],Libro_Diario[[Tipo ]],Gastos[[#Headers],[Gastos]],Libro_Diario[[Categoria ]],Gastos[[#This Row],[Gastos]],Libro_Diario[Fecha],"&gt;="&amp;'Libro Mayor'!BP$9,Libro_Diario[Fecha],"&lt;="&amp;EOMONTH('Libro Mayor'!BP$9,0))</f>
        <v>0</v>
      </c>
      <c r="BQ34" s="24">
        <f>SUMIFS(Libro_Diario[[Cantidad ]],Libro_Diario[[Tipo ]],Gastos[[#Headers],[Gastos]],Libro_Diario[[Categoria ]],Gastos[[#This Row],[Gastos]],Libro_Diario[Fecha],"&gt;="&amp;'Libro Mayor'!BQ$9,Libro_Diario[Fecha],"&lt;="&amp;EOMONTH('Libro Mayor'!BQ$9,0))</f>
        <v>0</v>
      </c>
      <c r="BR34" s="24">
        <f>SUMIFS(Libro_Diario[[Cantidad ]],Libro_Diario[[Tipo ]],Gastos[[#Headers],[Gastos]],Libro_Diario[[Categoria ]],Gastos[[#This Row],[Gastos]],Libro_Diario[Fecha],"&gt;="&amp;'Libro Mayor'!BR$9,Libro_Diario[Fecha],"&lt;="&amp;EOMONTH('Libro Mayor'!BR$9,0))</f>
        <v>0</v>
      </c>
      <c r="BS34" s="24">
        <f>SUMIFS(Libro_Diario[[Cantidad ]],Libro_Diario[[Tipo ]],Gastos[[#Headers],[Gastos]],Libro_Diario[[Categoria ]],Gastos[[#This Row],[Gastos]],Libro_Diario[Fecha],"&gt;="&amp;'Libro Mayor'!BS$9,Libro_Diario[Fecha],"&lt;="&amp;EOMONTH('Libro Mayor'!BS$9,0))</f>
        <v>0</v>
      </c>
      <c r="BT34" s="24">
        <f>SUMIFS(Libro_Diario[Detalles],Libro_Diario[[Categoria ]],Gastos[[#Headers],[Gastos]],Libro_Diario[[Cantidad ]],Gastos[[#This Row],[Gastos]],Libro_Diario[[Tipo ]],"&gt;="&amp;'Libro Mayor'!BT$9,Libro_Diario[[Tipo ]],"&lt;="&amp;EOMONTH('Libro Mayor'!BT$9,0))</f>
        <v>0</v>
      </c>
      <c r="BU34" s="25">
        <f t="shared" si="37"/>
        <v>0</v>
      </c>
      <c r="BW34" s="24">
        <f>SUMIFS(Libro_Diario[[Cantidad ]],Libro_Diario[[Tipo ]],Gastos[[#Headers],[Gastos]],Libro_Diario[[Categoria ]],Gastos[[#This Row],[Gastos]],Libro_Diario[Fecha],"&gt;="&amp;'Libro Mayor'!BW$9,Libro_Diario[Fecha],"&lt;="&amp;EOMONTH('Libro Mayor'!BW$9,0))</f>
        <v>0</v>
      </c>
      <c r="BX34" s="24">
        <f>SUMIFS(Libro_Diario[[Cantidad ]],Libro_Diario[[Tipo ]],Gastos[[#Headers],[Gastos]],Libro_Diario[[Categoria ]],Gastos[[#This Row],[Gastos]],Libro_Diario[Fecha],"&gt;="&amp;'Libro Mayor'!BX$9,Libro_Diario[Fecha],"&lt;="&amp;EOMONTH('Libro Mayor'!BX$9,0))</f>
        <v>0</v>
      </c>
      <c r="BY34" s="24">
        <f>SUMIFS(Libro_Diario[[Cantidad ]],Libro_Diario[[Tipo ]],Gastos[[#Headers],[Gastos]],Libro_Diario[[Categoria ]],Gastos[[#This Row],[Gastos]],Libro_Diario[Fecha],"&gt;="&amp;'Libro Mayor'!BY$9,Libro_Diario[Fecha],"&lt;="&amp;EOMONTH('Libro Mayor'!BY$9,0))</f>
        <v>0</v>
      </c>
      <c r="BZ34" s="24">
        <f>SUMIFS(Libro_Diario[[Cantidad ]],Libro_Diario[[Tipo ]],Gastos[[#Headers],[Gastos]],Libro_Diario[[Categoria ]],Gastos[[#This Row],[Gastos]],Libro_Diario[Fecha],"&gt;="&amp;'Libro Mayor'!BZ$9,Libro_Diario[Fecha],"&lt;="&amp;EOMONTH('Libro Mayor'!BZ$9,0))</f>
        <v>0</v>
      </c>
      <c r="CA34" s="24">
        <f>SUMIFS(Libro_Diario[[Cantidad ]],Libro_Diario[[Tipo ]],Gastos[[#Headers],[Gastos]],Libro_Diario[[Categoria ]],Gastos[[#This Row],[Gastos]],Libro_Diario[Fecha],"&gt;="&amp;'Libro Mayor'!CA$9,Libro_Diario[Fecha],"&lt;="&amp;EOMONTH('Libro Mayor'!CA$9,0))</f>
        <v>0</v>
      </c>
      <c r="CB34" s="24">
        <f>SUMIFS(Libro_Diario[[Cantidad ]],Libro_Diario[[Tipo ]],Gastos[[#Headers],[Gastos]],Libro_Diario[[Categoria ]],Gastos[[#This Row],[Gastos]],Libro_Diario[Fecha],"&gt;="&amp;'Libro Mayor'!CB$9,Libro_Diario[Fecha],"&lt;="&amp;EOMONTH('Libro Mayor'!CB$9,0))</f>
        <v>0</v>
      </c>
      <c r="CC34" s="24">
        <f>SUMIFS(Libro_Diario[[Cantidad ]],Libro_Diario[[Tipo ]],Gastos[[#Headers],[Gastos]],Libro_Diario[[Categoria ]],Gastos[[#This Row],[Gastos]],Libro_Diario[Fecha],"&gt;="&amp;'Libro Mayor'!CC$9,Libro_Diario[Fecha],"&lt;="&amp;EOMONTH('Libro Mayor'!CC$9,0))</f>
        <v>0</v>
      </c>
      <c r="CD34" s="24">
        <f>SUMIFS(Libro_Diario[[Cantidad ]],Libro_Diario[[Tipo ]],Gastos[[#Headers],[Gastos]],Libro_Diario[[Categoria ]],Gastos[[#This Row],[Gastos]],Libro_Diario[Fecha],"&gt;="&amp;'Libro Mayor'!CD$9,Libro_Diario[Fecha],"&lt;="&amp;EOMONTH('Libro Mayor'!CD$9,0))</f>
        <v>0</v>
      </c>
      <c r="CE34" s="24">
        <f>SUMIFS(Libro_Diario[[Cantidad ]],Libro_Diario[[Tipo ]],Gastos[[#Headers],[Gastos]],Libro_Diario[[Categoria ]],Gastos[[#This Row],[Gastos]],Libro_Diario[Fecha],"&gt;="&amp;'Libro Mayor'!CE$9,Libro_Diario[Fecha],"&lt;="&amp;EOMONTH('Libro Mayor'!CE$9,0))</f>
        <v>0</v>
      </c>
      <c r="CF34" s="24">
        <f>SUMIFS(Libro_Diario[[Cantidad ]],Libro_Diario[[Tipo ]],Gastos[[#Headers],[Gastos]],Libro_Diario[[Categoria ]],Gastos[[#This Row],[Gastos]],Libro_Diario[Fecha],"&gt;="&amp;'Libro Mayor'!CF$9,Libro_Diario[Fecha],"&lt;="&amp;EOMONTH('Libro Mayor'!CF$9,0))</f>
        <v>0</v>
      </c>
      <c r="CG34" s="24">
        <f>SUMIFS(Libro_Diario[[Cantidad ]],Libro_Diario[[Tipo ]],Gastos[[#Headers],[Gastos]],Libro_Diario[[Categoria ]],Gastos[[#This Row],[Gastos]],Libro_Diario[Fecha],"&gt;="&amp;'Libro Mayor'!CG$9,Libro_Diario[Fecha],"&lt;="&amp;EOMONTH('Libro Mayor'!CG$9,0))</f>
        <v>0</v>
      </c>
      <c r="CH34" s="24">
        <f>SUMIFS(Libro_Diario[Detalles],Libro_Diario[[Categoria ]],Gastos[[#Headers],[Gastos]],Libro_Diario[[Cantidad ]],Gastos[[#This Row],[Gastos]],Libro_Diario[[Tipo ]],"&gt;="&amp;'Libro Mayor'!CH$9,Libro_Diario[[Tipo ]],"&lt;="&amp;EOMONTH('Libro Mayor'!CH$9,0))</f>
        <v>0</v>
      </c>
      <c r="CI34" s="25">
        <f t="shared" si="38"/>
        <v>0</v>
      </c>
      <c r="CK34" s="24">
        <f>SUMIFS(Libro_Diario[[Cantidad ]],Libro_Diario[[Tipo ]],Gastos[[#Headers],[Gastos]],Libro_Diario[[Categoria ]],Gastos[[#This Row],[Gastos]],Libro_Diario[Fecha],"&gt;="&amp;'Libro Mayor'!CK$9,Libro_Diario[Fecha],"&lt;="&amp;EOMONTH('Libro Mayor'!CK$9,0))</f>
        <v>0</v>
      </c>
      <c r="CL34" s="24">
        <f>SUMIFS(Libro_Diario[[Cantidad ]],Libro_Diario[[Tipo ]],Gastos[[#Headers],[Gastos]],Libro_Diario[[Categoria ]],Gastos[[#This Row],[Gastos]],Libro_Diario[Fecha],"&gt;="&amp;'Libro Mayor'!CL$9,Libro_Diario[Fecha],"&lt;="&amp;EOMONTH('Libro Mayor'!CL$9,0))</f>
        <v>0</v>
      </c>
      <c r="CM34" s="24">
        <f>SUMIFS(Libro_Diario[[Cantidad ]],Libro_Diario[[Tipo ]],Gastos[[#Headers],[Gastos]],Libro_Diario[[Categoria ]],Gastos[[#This Row],[Gastos]],Libro_Diario[Fecha],"&gt;="&amp;'Libro Mayor'!CM$9,Libro_Diario[Fecha],"&lt;="&amp;EOMONTH('Libro Mayor'!CM$9,0))</f>
        <v>0</v>
      </c>
      <c r="CN34" s="24">
        <f>SUMIFS(Libro_Diario[[Cantidad ]],Libro_Diario[[Tipo ]],Gastos[[#Headers],[Gastos]],Libro_Diario[[Categoria ]],Gastos[[#This Row],[Gastos]],Libro_Diario[Fecha],"&gt;="&amp;'Libro Mayor'!CN$9,Libro_Diario[Fecha],"&lt;="&amp;EOMONTH('Libro Mayor'!CN$9,0))</f>
        <v>0</v>
      </c>
      <c r="CO34" s="24">
        <f>SUMIFS(Libro_Diario[[Cantidad ]],Libro_Diario[[Tipo ]],Gastos[[#Headers],[Gastos]],Libro_Diario[[Categoria ]],Gastos[[#This Row],[Gastos]],Libro_Diario[Fecha],"&gt;="&amp;'Libro Mayor'!CO$9,Libro_Diario[Fecha],"&lt;="&amp;EOMONTH('Libro Mayor'!CO$9,0))</f>
        <v>0</v>
      </c>
      <c r="CP34" s="24">
        <f>SUMIFS(Libro_Diario[[Cantidad ]],Libro_Diario[[Tipo ]],Gastos[[#Headers],[Gastos]],Libro_Diario[[Categoria ]],Gastos[[#This Row],[Gastos]],Libro_Diario[Fecha],"&gt;="&amp;'Libro Mayor'!CP$9,Libro_Diario[Fecha],"&lt;="&amp;EOMONTH('Libro Mayor'!CP$9,0))</f>
        <v>0</v>
      </c>
      <c r="CQ34" s="24">
        <f>SUMIFS(Libro_Diario[[Cantidad ]],Libro_Diario[[Tipo ]],Gastos[[#Headers],[Gastos]],Libro_Diario[[Categoria ]],Gastos[[#This Row],[Gastos]],Libro_Diario[Fecha],"&gt;="&amp;'Libro Mayor'!CQ$9,Libro_Diario[Fecha],"&lt;="&amp;EOMONTH('Libro Mayor'!CQ$9,0))</f>
        <v>0</v>
      </c>
      <c r="CR34" s="24">
        <f>SUMIFS(Libro_Diario[[Cantidad ]],Libro_Diario[[Tipo ]],Gastos[[#Headers],[Gastos]],Libro_Diario[[Categoria ]],Gastos[[#This Row],[Gastos]],Libro_Diario[Fecha],"&gt;="&amp;'Libro Mayor'!CR$9,Libro_Diario[Fecha],"&lt;="&amp;EOMONTH('Libro Mayor'!CR$9,0))</f>
        <v>0</v>
      </c>
      <c r="CS34" s="24">
        <f>SUMIFS(Libro_Diario[[Cantidad ]],Libro_Diario[[Tipo ]],Gastos[[#Headers],[Gastos]],Libro_Diario[[Categoria ]],Gastos[[#This Row],[Gastos]],Libro_Diario[Fecha],"&gt;="&amp;'Libro Mayor'!CS$9,Libro_Diario[Fecha],"&lt;="&amp;EOMONTH('Libro Mayor'!CS$9,0))</f>
        <v>0</v>
      </c>
      <c r="CT34" s="24">
        <f>SUMIFS(Libro_Diario[[Cantidad ]],Libro_Diario[[Tipo ]],Gastos[[#Headers],[Gastos]],Libro_Diario[[Categoria ]],Gastos[[#This Row],[Gastos]],Libro_Diario[Fecha],"&gt;="&amp;'Libro Mayor'!CT$9,Libro_Diario[Fecha],"&lt;="&amp;EOMONTH('Libro Mayor'!CT$9,0))</f>
        <v>0</v>
      </c>
      <c r="CU34" s="24">
        <f>SUMIFS(Libro_Diario[[Cantidad ]],Libro_Diario[[Tipo ]],Gastos[[#Headers],[Gastos]],Libro_Diario[[Categoria ]],Gastos[[#This Row],[Gastos]],Libro_Diario[Fecha],"&gt;="&amp;'Libro Mayor'!CU$9,Libro_Diario[Fecha],"&lt;="&amp;EOMONTH('Libro Mayor'!CU$9,0))</f>
        <v>0</v>
      </c>
      <c r="CV34" s="24">
        <f>SUMIFS(Libro_Diario[Detalles],Libro_Diario[[Categoria ]],Gastos[[#Headers],[Gastos]],Libro_Diario[[Cantidad ]],Gastos[[#This Row],[Gastos]],Libro_Diario[[Tipo ]],"&gt;="&amp;'Libro Mayor'!CV$9,Libro_Diario[[Tipo ]],"&lt;="&amp;EOMONTH('Libro Mayor'!CV$9,0))</f>
        <v>0</v>
      </c>
      <c r="CW34" s="25">
        <f t="shared" si="39"/>
        <v>0</v>
      </c>
      <c r="CY34" s="24">
        <f>SUMIFS(Libro_Diario[[Cantidad ]],Libro_Diario[[Tipo ]],Gastos[[#Headers],[Gastos]],Libro_Diario[[Categoria ]],Gastos[[#This Row],[Gastos]],Libro_Diario[Fecha],"&gt;="&amp;'Libro Mayor'!CY$9,Libro_Diario[Fecha],"&lt;="&amp;EOMONTH('Libro Mayor'!CY$9,0))</f>
        <v>0</v>
      </c>
      <c r="CZ34" s="24">
        <f>SUMIFS(Libro_Diario[[Cantidad ]],Libro_Diario[[Tipo ]],Gastos[[#Headers],[Gastos]],Libro_Diario[[Categoria ]],Gastos[[#This Row],[Gastos]],Libro_Diario[Fecha],"&gt;="&amp;'Libro Mayor'!CZ$9,Libro_Diario[Fecha],"&lt;="&amp;EOMONTH('Libro Mayor'!CZ$9,0))</f>
        <v>0</v>
      </c>
      <c r="DA34" s="24">
        <f>SUMIFS(Libro_Diario[[Cantidad ]],Libro_Diario[[Tipo ]],Gastos[[#Headers],[Gastos]],Libro_Diario[[Categoria ]],Gastos[[#This Row],[Gastos]],Libro_Diario[Fecha],"&gt;="&amp;'Libro Mayor'!DA$9,Libro_Diario[Fecha],"&lt;="&amp;EOMONTH('Libro Mayor'!DA$9,0))</f>
        <v>0</v>
      </c>
      <c r="DB34" s="24">
        <f>SUMIFS(Libro_Diario[[Cantidad ]],Libro_Diario[[Tipo ]],Gastos[[#Headers],[Gastos]],Libro_Diario[[Categoria ]],Gastos[[#This Row],[Gastos]],Libro_Diario[Fecha],"&gt;="&amp;'Libro Mayor'!DB$9,Libro_Diario[Fecha],"&lt;="&amp;EOMONTH('Libro Mayor'!DB$9,0))</f>
        <v>0</v>
      </c>
      <c r="DC34" s="24">
        <f>SUMIFS(Libro_Diario[[Cantidad ]],Libro_Diario[[Tipo ]],Gastos[[#Headers],[Gastos]],Libro_Diario[[Categoria ]],Gastos[[#This Row],[Gastos]],Libro_Diario[Fecha],"&gt;="&amp;'Libro Mayor'!DC$9,Libro_Diario[Fecha],"&lt;="&amp;EOMONTH('Libro Mayor'!DC$9,0))</f>
        <v>0</v>
      </c>
      <c r="DD34" s="24">
        <f>SUMIFS(Libro_Diario[[Cantidad ]],Libro_Diario[[Tipo ]],Gastos[[#Headers],[Gastos]],Libro_Diario[[Categoria ]],Gastos[[#This Row],[Gastos]],Libro_Diario[Fecha],"&gt;="&amp;'Libro Mayor'!DD$9,Libro_Diario[Fecha],"&lt;="&amp;EOMONTH('Libro Mayor'!DD$9,0))</f>
        <v>0</v>
      </c>
      <c r="DE34" s="24">
        <f>SUMIFS(Libro_Diario[[Cantidad ]],Libro_Diario[[Tipo ]],Gastos[[#Headers],[Gastos]],Libro_Diario[[Categoria ]],Gastos[[#This Row],[Gastos]],Libro_Diario[Fecha],"&gt;="&amp;'Libro Mayor'!DE$9,Libro_Diario[Fecha],"&lt;="&amp;EOMONTH('Libro Mayor'!DE$9,0))</f>
        <v>0</v>
      </c>
      <c r="DF34" s="24">
        <f>SUMIFS(Libro_Diario[[Cantidad ]],Libro_Diario[[Tipo ]],Gastos[[#Headers],[Gastos]],Libro_Diario[[Categoria ]],Gastos[[#This Row],[Gastos]],Libro_Diario[Fecha],"&gt;="&amp;'Libro Mayor'!DF$9,Libro_Diario[Fecha],"&lt;="&amp;EOMONTH('Libro Mayor'!DF$9,0))</f>
        <v>0</v>
      </c>
      <c r="DG34" s="24">
        <f>SUMIFS(Libro_Diario[[Cantidad ]],Libro_Diario[[Tipo ]],Gastos[[#Headers],[Gastos]],Libro_Diario[[Categoria ]],Gastos[[#This Row],[Gastos]],Libro_Diario[Fecha],"&gt;="&amp;'Libro Mayor'!DG$9,Libro_Diario[Fecha],"&lt;="&amp;EOMONTH('Libro Mayor'!DG$9,0))</f>
        <v>0</v>
      </c>
      <c r="DH34" s="24">
        <f>SUMIFS(Libro_Diario[[Cantidad ]],Libro_Diario[[Tipo ]],Gastos[[#Headers],[Gastos]],Libro_Diario[[Categoria ]],Gastos[[#This Row],[Gastos]],Libro_Diario[Fecha],"&gt;="&amp;'Libro Mayor'!DH$9,Libro_Diario[Fecha],"&lt;="&amp;EOMONTH('Libro Mayor'!DH$9,0))</f>
        <v>0</v>
      </c>
      <c r="DI34" s="24">
        <f>SUMIFS(Libro_Diario[[Cantidad ]],Libro_Diario[[Tipo ]],Gastos[[#Headers],[Gastos]],Libro_Diario[[Categoria ]],Gastos[[#This Row],[Gastos]],Libro_Diario[Fecha],"&gt;="&amp;'Libro Mayor'!DI$9,Libro_Diario[Fecha],"&lt;="&amp;EOMONTH('Libro Mayor'!DI$9,0))</f>
        <v>0</v>
      </c>
      <c r="DJ34" s="24">
        <f>SUMIFS(Libro_Diario[Detalles],Libro_Diario[[Categoria ]],Gastos[[#Headers],[Gastos]],Libro_Diario[[Cantidad ]],Gastos[[#This Row],[Gastos]],Libro_Diario[[Tipo ]],"&gt;="&amp;'Libro Mayor'!DJ$9,Libro_Diario[[Tipo ]],"&lt;="&amp;EOMONTH('Libro Mayor'!DJ$9,0))</f>
        <v>0</v>
      </c>
      <c r="DK34" s="25">
        <f t="shared" si="40"/>
        <v>0</v>
      </c>
      <c r="DM34" s="24">
        <f>SUMIFS(Libro_Diario[[Cantidad ]],Libro_Diario[[Tipo ]],Gastos[[#Headers],[Gastos]],Libro_Diario[[Categoria ]],Gastos[[#This Row],[Gastos]],Libro_Diario[Fecha],"&gt;="&amp;'Libro Mayor'!DM$9,Libro_Diario[Fecha],"&lt;="&amp;EOMONTH('Libro Mayor'!DM$9,0))</f>
        <v>0</v>
      </c>
      <c r="DN34" s="24">
        <f>SUMIFS(Libro_Diario[[Cantidad ]],Libro_Diario[[Tipo ]],Gastos[[#Headers],[Gastos]],Libro_Diario[[Categoria ]],Gastos[[#This Row],[Gastos]],Libro_Diario[Fecha],"&gt;="&amp;'Libro Mayor'!DN$9,Libro_Diario[Fecha],"&lt;="&amp;EOMONTH('Libro Mayor'!DN$9,0))</f>
        <v>0</v>
      </c>
      <c r="DO34" s="24">
        <f>SUMIFS(Libro_Diario[[Cantidad ]],Libro_Diario[[Tipo ]],Gastos[[#Headers],[Gastos]],Libro_Diario[[Categoria ]],Gastos[[#This Row],[Gastos]],Libro_Diario[Fecha],"&gt;="&amp;'Libro Mayor'!DO$9,Libro_Diario[Fecha],"&lt;="&amp;EOMONTH('Libro Mayor'!DO$9,0))</f>
        <v>0</v>
      </c>
      <c r="DP34" s="24">
        <f>SUMIFS(Libro_Diario[[Cantidad ]],Libro_Diario[[Tipo ]],Gastos[[#Headers],[Gastos]],Libro_Diario[[Categoria ]],Gastos[[#This Row],[Gastos]],Libro_Diario[Fecha],"&gt;="&amp;'Libro Mayor'!DP$9,Libro_Diario[Fecha],"&lt;="&amp;EOMONTH('Libro Mayor'!DP$9,0))</f>
        <v>0</v>
      </c>
      <c r="DQ34" s="24">
        <f>SUMIFS(Libro_Diario[[Cantidad ]],Libro_Diario[[Tipo ]],Gastos[[#Headers],[Gastos]],Libro_Diario[[Categoria ]],Gastos[[#This Row],[Gastos]],Libro_Diario[Fecha],"&gt;="&amp;'Libro Mayor'!DQ$9,Libro_Diario[Fecha],"&lt;="&amp;EOMONTH('Libro Mayor'!DQ$9,0))</f>
        <v>0</v>
      </c>
      <c r="DR34" s="24">
        <f>SUMIFS(Libro_Diario[[Cantidad ]],Libro_Diario[[Tipo ]],Gastos[[#Headers],[Gastos]],Libro_Diario[[Categoria ]],Gastos[[#This Row],[Gastos]],Libro_Diario[Fecha],"&gt;="&amp;'Libro Mayor'!DR$9,Libro_Diario[Fecha],"&lt;="&amp;EOMONTH('Libro Mayor'!DR$9,0))</f>
        <v>0</v>
      </c>
      <c r="DS34" s="24">
        <f>SUMIFS(Libro_Diario[[Cantidad ]],Libro_Diario[[Tipo ]],Gastos[[#Headers],[Gastos]],Libro_Diario[[Categoria ]],Gastos[[#This Row],[Gastos]],Libro_Diario[Fecha],"&gt;="&amp;'Libro Mayor'!DS$9,Libro_Diario[Fecha],"&lt;="&amp;EOMONTH('Libro Mayor'!DS$9,0))</f>
        <v>0</v>
      </c>
      <c r="DT34" s="24">
        <f>SUMIFS(Libro_Diario[[Cantidad ]],Libro_Diario[[Tipo ]],Gastos[[#Headers],[Gastos]],Libro_Diario[[Categoria ]],Gastos[[#This Row],[Gastos]],Libro_Diario[Fecha],"&gt;="&amp;'Libro Mayor'!DT$9,Libro_Diario[Fecha],"&lt;="&amp;EOMONTH('Libro Mayor'!DT$9,0))</f>
        <v>0</v>
      </c>
      <c r="DU34" s="24">
        <f>SUMIFS(Libro_Diario[[Cantidad ]],Libro_Diario[[Tipo ]],Gastos[[#Headers],[Gastos]],Libro_Diario[[Categoria ]],Gastos[[#This Row],[Gastos]],Libro_Diario[Fecha],"&gt;="&amp;'Libro Mayor'!DU$9,Libro_Diario[Fecha],"&lt;="&amp;EOMONTH('Libro Mayor'!DU$9,0))</f>
        <v>0</v>
      </c>
      <c r="DV34" s="24">
        <f>SUMIFS(Libro_Diario[[Cantidad ]],Libro_Diario[[Tipo ]],Gastos[[#Headers],[Gastos]],Libro_Diario[[Categoria ]],Gastos[[#This Row],[Gastos]],Libro_Diario[Fecha],"&gt;="&amp;'Libro Mayor'!DV$9,Libro_Diario[Fecha],"&lt;="&amp;EOMONTH('Libro Mayor'!DV$9,0))</f>
        <v>0</v>
      </c>
      <c r="DW34" s="24">
        <f>SUMIFS(Libro_Diario[[Cantidad ]],Libro_Diario[[Tipo ]],Gastos[[#Headers],[Gastos]],Libro_Diario[[Categoria ]],Gastos[[#This Row],[Gastos]],Libro_Diario[Fecha],"&gt;="&amp;'Libro Mayor'!DW$9,Libro_Diario[Fecha],"&lt;="&amp;EOMONTH('Libro Mayor'!DW$9,0))</f>
        <v>0</v>
      </c>
      <c r="DX34" s="24">
        <f>SUMIFS(Libro_Diario[Detalles],Libro_Diario[[Categoria ]],Gastos[[#Headers],[Gastos]],Libro_Diario[[Cantidad ]],Gastos[[#This Row],[Gastos]],Libro_Diario[[Tipo ]],"&gt;="&amp;'Libro Mayor'!DX$9,Libro_Diario[[Tipo ]],"&lt;="&amp;EOMONTH('Libro Mayor'!DX$9,0))</f>
        <v>0</v>
      </c>
      <c r="DY34" s="25">
        <f t="shared" si="41"/>
        <v>0</v>
      </c>
      <c r="EA34" s="24">
        <f>SUMIFS(Libro_Diario[[Cantidad ]],Libro_Diario[[Tipo ]],Gastos[[#Headers],[Gastos]],Libro_Diario[[Categoria ]],Gastos[[#This Row],[Gastos]],Libro_Diario[Fecha],"&gt;="&amp;'Libro Mayor'!EA$9,Libro_Diario[Fecha],"&lt;="&amp;EOMONTH('Libro Mayor'!EA$9,0))</f>
        <v>0</v>
      </c>
      <c r="EB34" s="24">
        <f>SUMIFS(Libro_Diario[[Cantidad ]],Libro_Diario[[Tipo ]],Gastos[[#Headers],[Gastos]],Libro_Diario[[Categoria ]],Gastos[[#This Row],[Gastos]],Libro_Diario[Fecha],"&gt;="&amp;'Libro Mayor'!EB$9,Libro_Diario[Fecha],"&lt;="&amp;EOMONTH('Libro Mayor'!EB$9,0))</f>
        <v>0</v>
      </c>
      <c r="EC34" s="24">
        <f>SUMIFS(Libro_Diario[[Cantidad ]],Libro_Diario[[Tipo ]],Gastos[[#Headers],[Gastos]],Libro_Diario[[Categoria ]],Gastos[[#This Row],[Gastos]],Libro_Diario[Fecha],"&gt;="&amp;'Libro Mayor'!EC$9,Libro_Diario[Fecha],"&lt;="&amp;EOMONTH('Libro Mayor'!EC$9,0))</f>
        <v>0</v>
      </c>
      <c r="ED34" s="24">
        <f>SUMIFS(Libro_Diario[[Cantidad ]],Libro_Diario[[Tipo ]],Gastos[[#Headers],[Gastos]],Libro_Diario[[Categoria ]],Gastos[[#This Row],[Gastos]],Libro_Diario[Fecha],"&gt;="&amp;'Libro Mayor'!ED$9,Libro_Diario[Fecha],"&lt;="&amp;EOMONTH('Libro Mayor'!ED$9,0))</f>
        <v>0</v>
      </c>
      <c r="EE34" s="24">
        <f>SUMIFS(Libro_Diario[[Cantidad ]],Libro_Diario[[Tipo ]],Gastos[[#Headers],[Gastos]],Libro_Diario[[Categoria ]],Gastos[[#This Row],[Gastos]],Libro_Diario[Fecha],"&gt;="&amp;'Libro Mayor'!EE$9,Libro_Diario[Fecha],"&lt;="&amp;EOMONTH('Libro Mayor'!EE$9,0))</f>
        <v>0</v>
      </c>
      <c r="EF34" s="24">
        <f>SUMIFS(Libro_Diario[[Cantidad ]],Libro_Diario[[Tipo ]],Gastos[[#Headers],[Gastos]],Libro_Diario[[Categoria ]],Gastos[[#This Row],[Gastos]],Libro_Diario[Fecha],"&gt;="&amp;'Libro Mayor'!EF$9,Libro_Diario[Fecha],"&lt;="&amp;EOMONTH('Libro Mayor'!EF$9,0))</f>
        <v>0</v>
      </c>
      <c r="EG34" s="24">
        <f>SUMIFS(Libro_Diario[[Cantidad ]],Libro_Diario[[Tipo ]],Gastos[[#Headers],[Gastos]],Libro_Diario[[Categoria ]],Gastos[[#This Row],[Gastos]],Libro_Diario[Fecha],"&gt;="&amp;'Libro Mayor'!EG$9,Libro_Diario[Fecha],"&lt;="&amp;EOMONTH('Libro Mayor'!EG$9,0))</f>
        <v>0</v>
      </c>
      <c r="EH34" s="24">
        <f>SUMIFS(Libro_Diario[[Cantidad ]],Libro_Diario[[Tipo ]],Gastos[[#Headers],[Gastos]],Libro_Diario[[Categoria ]],Gastos[[#This Row],[Gastos]],Libro_Diario[Fecha],"&gt;="&amp;'Libro Mayor'!EH$9,Libro_Diario[Fecha],"&lt;="&amp;EOMONTH('Libro Mayor'!EH$9,0))</f>
        <v>0</v>
      </c>
      <c r="EI34" s="24">
        <f>SUMIFS(Libro_Diario[[Cantidad ]],Libro_Diario[[Tipo ]],Gastos[[#Headers],[Gastos]],Libro_Diario[[Categoria ]],Gastos[[#This Row],[Gastos]],Libro_Diario[Fecha],"&gt;="&amp;'Libro Mayor'!EI$9,Libro_Diario[Fecha],"&lt;="&amp;EOMONTH('Libro Mayor'!EI$9,0))</f>
        <v>0</v>
      </c>
      <c r="EJ34" s="24">
        <f>SUMIFS(Libro_Diario[[Cantidad ]],Libro_Diario[[Tipo ]],Gastos[[#Headers],[Gastos]],Libro_Diario[[Categoria ]],Gastos[[#This Row],[Gastos]],Libro_Diario[Fecha],"&gt;="&amp;'Libro Mayor'!EJ$9,Libro_Diario[Fecha],"&lt;="&amp;EOMONTH('Libro Mayor'!EJ$9,0))</f>
        <v>0</v>
      </c>
      <c r="EK34" s="24">
        <f>SUMIFS(Libro_Diario[[Cantidad ]],Libro_Diario[[Tipo ]],Gastos[[#Headers],[Gastos]],Libro_Diario[[Categoria ]],Gastos[[#This Row],[Gastos]],Libro_Diario[Fecha],"&gt;="&amp;'Libro Mayor'!EK$9,Libro_Diario[Fecha],"&lt;="&amp;EOMONTH('Libro Mayor'!EK$9,0))</f>
        <v>0</v>
      </c>
      <c r="EL34" s="24">
        <f>SUMIFS(Libro_Diario[Detalles],Libro_Diario[[Categoria ]],Gastos[[#Headers],[Gastos]],Libro_Diario[[Cantidad ]],Gastos[[#This Row],[Gastos]],Libro_Diario[[Tipo ]],"&gt;="&amp;'Libro Mayor'!EL$9,Libro_Diario[[Tipo ]],"&lt;="&amp;EOMONTH('Libro Mayor'!EL$9,0))</f>
        <v>0</v>
      </c>
      <c r="EM34" s="25">
        <f t="shared" si="42"/>
        <v>0</v>
      </c>
      <c r="EO34" s="24">
        <f>SUMIFS(Libro_Diario[[Cantidad ]],Libro_Diario[[Tipo ]],Gastos[[#Headers],[Gastos]],Libro_Diario[[Categoria ]],Gastos[[#This Row],[Gastos]],Libro_Diario[Fecha],"&gt;="&amp;'Libro Mayor'!EO$9,Libro_Diario[Fecha],"&lt;="&amp;EOMONTH('Libro Mayor'!EO$9,0))</f>
        <v>0</v>
      </c>
      <c r="EP34" s="24">
        <f>SUMIFS(Libro_Diario[[Cantidad ]],Libro_Diario[[Tipo ]],Gastos[[#Headers],[Gastos]],Libro_Diario[[Categoria ]],Gastos[[#This Row],[Gastos]],Libro_Diario[Fecha],"&gt;="&amp;'Libro Mayor'!EP$9,Libro_Diario[Fecha],"&lt;="&amp;EOMONTH('Libro Mayor'!EP$9,0))</f>
        <v>0</v>
      </c>
      <c r="EQ34" s="24">
        <f>SUMIFS(Libro_Diario[[Cantidad ]],Libro_Diario[[Tipo ]],Gastos[[#Headers],[Gastos]],Libro_Diario[[Categoria ]],Gastos[[#This Row],[Gastos]],Libro_Diario[Fecha],"&gt;="&amp;'Libro Mayor'!EQ$9,Libro_Diario[Fecha],"&lt;="&amp;EOMONTH('Libro Mayor'!EQ$9,0))</f>
        <v>0</v>
      </c>
      <c r="ER34" s="24">
        <f>SUMIFS(Libro_Diario[[Cantidad ]],Libro_Diario[[Tipo ]],Gastos[[#Headers],[Gastos]],Libro_Diario[[Categoria ]],Gastos[[#This Row],[Gastos]],Libro_Diario[Fecha],"&gt;="&amp;'Libro Mayor'!ER$9,Libro_Diario[Fecha],"&lt;="&amp;EOMONTH('Libro Mayor'!ER$9,0))</f>
        <v>0</v>
      </c>
      <c r="ES34" s="24">
        <f>SUMIFS(Libro_Diario[[Cantidad ]],Libro_Diario[[Tipo ]],Gastos[[#Headers],[Gastos]],Libro_Diario[[Categoria ]],Gastos[[#This Row],[Gastos]],Libro_Diario[Fecha],"&gt;="&amp;'Libro Mayor'!ES$9,Libro_Diario[Fecha],"&lt;="&amp;EOMONTH('Libro Mayor'!ES$9,0))</f>
        <v>0</v>
      </c>
      <c r="ET34" s="24">
        <f>SUMIFS(Libro_Diario[[Cantidad ]],Libro_Diario[[Tipo ]],Gastos[[#Headers],[Gastos]],Libro_Diario[[Categoria ]],Gastos[[#This Row],[Gastos]],Libro_Diario[Fecha],"&gt;="&amp;'Libro Mayor'!ET$9,Libro_Diario[Fecha],"&lt;="&amp;EOMONTH('Libro Mayor'!ET$9,0))</f>
        <v>0</v>
      </c>
      <c r="EU34" s="24">
        <f>SUMIFS(Libro_Diario[[Cantidad ]],Libro_Diario[[Tipo ]],Gastos[[#Headers],[Gastos]],Libro_Diario[[Categoria ]],Gastos[[#This Row],[Gastos]],Libro_Diario[Fecha],"&gt;="&amp;'Libro Mayor'!EU$9,Libro_Diario[Fecha],"&lt;="&amp;EOMONTH('Libro Mayor'!EU$9,0))</f>
        <v>0</v>
      </c>
      <c r="EV34" s="24">
        <f>SUMIFS(Libro_Diario[[Cantidad ]],Libro_Diario[[Tipo ]],Gastos[[#Headers],[Gastos]],Libro_Diario[[Categoria ]],Gastos[[#This Row],[Gastos]],Libro_Diario[Fecha],"&gt;="&amp;'Libro Mayor'!EV$9,Libro_Diario[Fecha],"&lt;="&amp;EOMONTH('Libro Mayor'!EV$9,0))</f>
        <v>0</v>
      </c>
      <c r="EW34" s="24">
        <f>SUMIFS(Libro_Diario[[Cantidad ]],Libro_Diario[[Tipo ]],Gastos[[#Headers],[Gastos]],Libro_Diario[[Categoria ]],Gastos[[#This Row],[Gastos]],Libro_Diario[Fecha],"&gt;="&amp;'Libro Mayor'!EW$9,Libro_Diario[Fecha],"&lt;="&amp;EOMONTH('Libro Mayor'!EW$9,0))</f>
        <v>0</v>
      </c>
      <c r="EX34" s="24">
        <f>SUMIFS(Libro_Diario[[Cantidad ]],Libro_Diario[[Tipo ]],Gastos[[#Headers],[Gastos]],Libro_Diario[[Categoria ]],Gastos[[#This Row],[Gastos]],Libro_Diario[Fecha],"&gt;="&amp;'Libro Mayor'!EX$9,Libro_Diario[Fecha],"&lt;="&amp;EOMONTH('Libro Mayor'!EX$9,0))</f>
        <v>0</v>
      </c>
      <c r="EY34" s="24">
        <f>SUMIFS(Libro_Diario[[Cantidad ]],Libro_Diario[[Tipo ]],Gastos[[#Headers],[Gastos]],Libro_Diario[[Categoria ]],Gastos[[#This Row],[Gastos]],Libro_Diario[Fecha],"&gt;="&amp;'Libro Mayor'!EY$9,Libro_Diario[Fecha],"&lt;="&amp;EOMONTH('Libro Mayor'!EY$9,0))</f>
        <v>0</v>
      </c>
      <c r="EZ34" s="24">
        <f>SUMIFS(Libro_Diario[[Cantidad ]],Libro_Diario[[Tipo ]],Gastos[[#Headers],[Gastos]],Libro_Diario[[Categoria ]],Gastos[[#This Row],[Gastos]],Libro_Diario[Fecha],"&gt;="&amp;'Libro Mayor'!EZ$9,Libro_Diario[Fecha],"&lt;="&amp;EOMONTH('Libro Mayor'!EZ$9,0))</f>
        <v>0</v>
      </c>
      <c r="FA34" s="25">
        <f t="shared" si="22"/>
        <v>0</v>
      </c>
    </row>
    <row r="35" spans="3:157" x14ac:dyDescent="0.3">
      <c r="C35" s="33" t="s">
        <v>7</v>
      </c>
      <c r="E35" s="26" cm="1">
        <f t="array" aca="1" ref="E35" ca="1">SUM(INDIRECT(ADDRESS(Gastos_min_fila,COLUMN()) &amp; ":" &amp; ADDRESS(Gastos_max_fila,COLUMN())))</f>
        <v>0</v>
      </c>
      <c r="F35" s="26" cm="1">
        <f t="array" aca="1" ref="F35" ca="1">SUM(INDIRECT(ADDRESS(Gastos_min_fila,COLUMN()) &amp; ":" &amp; ADDRESS(Gastos_max_fila,COLUMN())))</f>
        <v>0</v>
      </c>
      <c r="G35" s="26" cm="1">
        <f t="array" aca="1" ref="G35" ca="1">SUM(INDIRECT(ADDRESS(Gastos_min_fila,COLUMN()) &amp; ":" &amp; ADDRESS(Gastos_max_fila,COLUMN())))</f>
        <v>0</v>
      </c>
      <c r="H35" s="26" cm="1">
        <f t="array" aca="1" ref="H35" ca="1">SUM(INDIRECT(ADDRESS(Gastos_min_fila,COLUMN()) &amp; ":" &amp; ADDRESS(Gastos_max_fila,COLUMN())))</f>
        <v>0</v>
      </c>
      <c r="I35" s="26" cm="1">
        <f t="array" aca="1" ref="I35" ca="1">SUM(INDIRECT(ADDRESS(Gastos_min_fila,COLUMN()) &amp; ":" &amp; ADDRESS(Gastos_max_fila,COLUMN())))</f>
        <v>0</v>
      </c>
      <c r="J35" s="26" cm="1">
        <f t="array" aca="1" ref="J35" ca="1">SUM(INDIRECT(ADDRESS(Gastos_min_fila,COLUMN()) &amp; ":" &amp; ADDRESS(Gastos_max_fila,COLUMN())))</f>
        <v>0</v>
      </c>
      <c r="K35" s="26" cm="1">
        <f t="array" aca="1" ref="K35" ca="1">SUM(INDIRECT(ADDRESS(Gastos_min_fila,COLUMN()) &amp; ":" &amp; ADDRESS(Gastos_max_fila,COLUMN())))</f>
        <v>0</v>
      </c>
      <c r="L35" s="26" cm="1">
        <f t="array" aca="1" ref="L35" ca="1">SUM(INDIRECT(ADDRESS(Gastos_min_fila,COLUMN()) &amp; ":" &amp; ADDRESS(Gastos_max_fila,COLUMN())))</f>
        <v>0</v>
      </c>
      <c r="M35" s="26" cm="1">
        <f t="array" aca="1" ref="M35" ca="1">SUM(INDIRECT(ADDRESS(Gastos_min_fila,COLUMN()) &amp; ":" &amp; ADDRESS(Gastos_max_fila,COLUMN())))</f>
        <v>0</v>
      </c>
      <c r="N35" s="26" cm="1">
        <f t="array" aca="1" ref="N35" ca="1">SUM(INDIRECT(ADDRESS(Gastos_min_fila,COLUMN()) &amp; ":" &amp; ADDRESS(Gastos_max_fila,COLUMN())))</f>
        <v>0</v>
      </c>
      <c r="O35" s="26" cm="1">
        <f t="array" aca="1" ref="O35" ca="1">SUM(INDIRECT(ADDRESS(Gastos_min_fila,COLUMN()) &amp; ":" &amp; ADDRESS(Gastos_max_fila,COLUMN())))</f>
        <v>0</v>
      </c>
      <c r="P35" s="26" cm="1">
        <f t="array" aca="1" ref="P35" ca="1">SUM(INDIRECT(ADDRESS(Gastos_min_fila,COLUMN()) &amp; ":" &amp; ADDRESS(Gastos_max_fila,COLUMN())))</f>
        <v>0</v>
      </c>
      <c r="Q35" s="26" cm="1">
        <f t="array" aca="1" ref="Q35" ca="1">SUM(INDIRECT(ADDRESS(Gastos_min_fila,COLUMN()) &amp; ":" &amp; ADDRESS(Gastos_max_fila,COLUMN())))</f>
        <v>0</v>
      </c>
      <c r="S35" s="26" cm="1">
        <f t="array" aca="1" ref="S35" ca="1">SUM(INDIRECT(ADDRESS(Gastos_min_fila,COLUMN()) &amp; ":" &amp; ADDRESS(Gastos_max_fila,COLUMN())))</f>
        <v>0</v>
      </c>
      <c r="T35" s="26" cm="1">
        <f t="array" aca="1" ref="T35" ca="1">SUM(INDIRECT(ADDRESS(Gastos_min_fila,COLUMN()) &amp; ":" &amp; ADDRESS(Gastos_max_fila,COLUMN())))</f>
        <v>0</v>
      </c>
      <c r="U35" s="26" cm="1">
        <f t="array" aca="1" ref="U35" ca="1">SUM(INDIRECT(ADDRESS(Gastos_min_fila,COLUMN()) &amp; ":" &amp; ADDRESS(Gastos_max_fila,COLUMN())))</f>
        <v>0</v>
      </c>
      <c r="V35" s="26" cm="1">
        <f t="array" aca="1" ref="V35" ca="1">SUM(INDIRECT(ADDRESS(Gastos_min_fila,COLUMN()) &amp; ":" &amp; ADDRESS(Gastos_max_fila,COLUMN())))</f>
        <v>0</v>
      </c>
      <c r="W35" s="26" cm="1">
        <f t="array" aca="1" ref="W35" ca="1">SUM(INDIRECT(ADDRESS(Gastos_min_fila,COLUMN()) &amp; ":" &amp; ADDRESS(Gastos_max_fila,COLUMN())))</f>
        <v>0</v>
      </c>
      <c r="X35" s="26" cm="1">
        <f t="array" aca="1" ref="X35" ca="1">SUM(INDIRECT(ADDRESS(Gastos_min_fila,COLUMN()) &amp; ":" &amp; ADDRESS(Gastos_max_fila,COLUMN())))</f>
        <v>0</v>
      </c>
      <c r="Y35" s="26" cm="1">
        <f t="array" aca="1" ref="Y35" ca="1">SUM(INDIRECT(ADDRESS(Gastos_min_fila,COLUMN()) &amp; ":" &amp; ADDRESS(Gastos_max_fila,COLUMN())))</f>
        <v>0</v>
      </c>
      <c r="Z35" s="26" cm="1">
        <f t="array" aca="1" ref="Z35" ca="1">SUM(INDIRECT(ADDRESS(Gastos_min_fila,COLUMN()) &amp; ":" &amp; ADDRESS(Gastos_max_fila,COLUMN())))</f>
        <v>0</v>
      </c>
      <c r="AA35" s="26" cm="1">
        <f t="array" aca="1" ref="AA35" ca="1">SUM(INDIRECT(ADDRESS(Gastos_min_fila,COLUMN()) &amp; ":" &amp; ADDRESS(Gastos_max_fila,COLUMN())))</f>
        <v>0</v>
      </c>
      <c r="AB35" s="26" cm="1">
        <f t="array" aca="1" ref="AB35" ca="1">SUM(INDIRECT(ADDRESS(Gastos_min_fila,COLUMN()) &amp; ":" &amp; ADDRESS(Gastos_max_fila,COLUMN())))</f>
        <v>0</v>
      </c>
      <c r="AC35" s="26" cm="1">
        <f t="array" aca="1" ref="AC35" ca="1">SUM(INDIRECT(ADDRESS(Gastos_min_fila,COLUMN()) &amp; ":" &amp; ADDRESS(Gastos_max_fila,COLUMN())))</f>
        <v>0</v>
      </c>
      <c r="AD35" s="26" cm="1">
        <f t="array" aca="1" ref="AD35" ca="1">SUM(INDIRECT(ADDRESS(Gastos_min_fila,COLUMN()) &amp; ":" &amp; ADDRESS(Gastos_max_fila,COLUMN())))</f>
        <v>0</v>
      </c>
      <c r="AE35" s="26" cm="1">
        <f t="array" aca="1" ref="AE35" ca="1">SUM(INDIRECT(ADDRESS(Gastos_min_fila,COLUMN()) &amp; ":" &amp; ADDRESS(Gastos_max_fila,COLUMN())))</f>
        <v>0</v>
      </c>
      <c r="AG35" s="26" cm="1">
        <f t="array" aca="1" ref="AG35" ca="1">SUM(INDIRECT(ADDRESS(Gastos_min_fila,COLUMN()) &amp; ":" &amp; ADDRESS(Gastos_max_fila,COLUMN())))</f>
        <v>0</v>
      </c>
      <c r="AH35" s="26" cm="1">
        <f t="array" aca="1" ref="AH35" ca="1">SUM(INDIRECT(ADDRESS(Gastos_min_fila,COLUMN()) &amp; ":" &amp; ADDRESS(Gastos_max_fila,COLUMN())))</f>
        <v>0</v>
      </c>
      <c r="AI35" s="26" cm="1">
        <f t="array" aca="1" ref="AI35" ca="1">SUM(INDIRECT(ADDRESS(Gastos_min_fila,COLUMN()) &amp; ":" &amp; ADDRESS(Gastos_max_fila,COLUMN())))</f>
        <v>0</v>
      </c>
      <c r="AJ35" s="26" cm="1">
        <f t="array" aca="1" ref="AJ35" ca="1">SUM(INDIRECT(ADDRESS(Gastos_min_fila,COLUMN()) &amp; ":" &amp; ADDRESS(Gastos_max_fila,COLUMN())))</f>
        <v>0</v>
      </c>
      <c r="AK35" s="26" cm="1">
        <f t="array" aca="1" ref="AK35" ca="1">SUM(INDIRECT(ADDRESS(Gastos_min_fila,COLUMN()) &amp; ":" &amp; ADDRESS(Gastos_max_fila,COLUMN())))</f>
        <v>0</v>
      </c>
      <c r="AL35" s="26" cm="1">
        <f t="array" aca="1" ref="AL35" ca="1">SUM(INDIRECT(ADDRESS(Gastos_min_fila,COLUMN()) &amp; ":" &amp; ADDRESS(Gastos_max_fila,COLUMN())))</f>
        <v>0</v>
      </c>
      <c r="AM35" s="26" cm="1">
        <f t="array" aca="1" ref="AM35" ca="1">SUM(INDIRECT(ADDRESS(Gastos_min_fila,COLUMN()) &amp; ":" &amp; ADDRESS(Gastos_max_fila,COLUMN())))</f>
        <v>0</v>
      </c>
      <c r="AN35" s="26" cm="1">
        <f t="array" aca="1" ref="AN35" ca="1">SUM(INDIRECT(ADDRESS(Gastos_min_fila,COLUMN()) &amp; ":" &amp; ADDRESS(Gastos_max_fila,COLUMN())))</f>
        <v>0</v>
      </c>
      <c r="AO35" s="26" cm="1">
        <f t="array" aca="1" ref="AO35" ca="1">SUM(INDIRECT(ADDRESS(Gastos_min_fila,COLUMN()) &amp; ":" &amp; ADDRESS(Gastos_max_fila,COLUMN())))</f>
        <v>0</v>
      </c>
      <c r="AP35" s="26" cm="1">
        <f t="array" aca="1" ref="AP35" ca="1">SUM(INDIRECT(ADDRESS(Gastos_min_fila,COLUMN()) &amp; ":" &amp; ADDRESS(Gastos_max_fila,COLUMN())))</f>
        <v>0</v>
      </c>
      <c r="AQ35" s="26" cm="1">
        <f t="array" aca="1" ref="AQ35" ca="1">SUM(INDIRECT(ADDRESS(Gastos_min_fila,COLUMN()) &amp; ":" &amp; ADDRESS(Gastos_max_fila,COLUMN())))</f>
        <v>0</v>
      </c>
      <c r="AR35" s="26" cm="1">
        <f t="array" aca="1" ref="AR35" ca="1">SUM(INDIRECT(ADDRESS(Gastos_min_fila,COLUMN()) &amp; ":" &amp; ADDRESS(Gastos_max_fila,COLUMN())))</f>
        <v>0</v>
      </c>
      <c r="AS35" s="26" cm="1">
        <f t="array" aca="1" ref="AS35" ca="1">SUM(INDIRECT(ADDRESS(Gastos_min_fila,COLUMN()) &amp; ":" &amp; ADDRESS(Gastos_max_fila,COLUMN())))</f>
        <v>0</v>
      </c>
      <c r="AU35" s="26" cm="1">
        <f t="array" aca="1" ref="AU35" ca="1">SUM(INDIRECT(ADDRESS(Gastos_min_fila,COLUMN()) &amp; ":" &amp; ADDRESS(Gastos_max_fila,COLUMN())))</f>
        <v>0</v>
      </c>
      <c r="AV35" s="26" cm="1">
        <f t="array" aca="1" ref="AV35" ca="1">SUM(INDIRECT(ADDRESS(Gastos_min_fila,COLUMN()) &amp; ":" &amp; ADDRESS(Gastos_max_fila,COLUMN())))</f>
        <v>0</v>
      </c>
      <c r="AW35" s="26" cm="1">
        <f t="array" aca="1" ref="AW35" ca="1">SUM(INDIRECT(ADDRESS(Gastos_min_fila,COLUMN()) &amp; ":" &amp; ADDRESS(Gastos_max_fila,COLUMN())))</f>
        <v>0</v>
      </c>
      <c r="AX35" s="26" cm="1">
        <f t="array" aca="1" ref="AX35" ca="1">SUM(INDIRECT(ADDRESS(Gastos_min_fila,COLUMN()) &amp; ":" &amp; ADDRESS(Gastos_max_fila,COLUMN())))</f>
        <v>0</v>
      </c>
      <c r="AY35" s="26" cm="1">
        <f t="array" aca="1" ref="AY35" ca="1">SUM(INDIRECT(ADDRESS(Gastos_min_fila,COLUMN()) &amp; ":" &amp; ADDRESS(Gastos_max_fila,COLUMN())))</f>
        <v>0</v>
      </c>
      <c r="AZ35" s="26" cm="1">
        <f t="array" aca="1" ref="AZ35" ca="1">SUM(INDIRECT(ADDRESS(Gastos_min_fila,COLUMN()) &amp; ":" &amp; ADDRESS(Gastos_max_fila,COLUMN())))</f>
        <v>0</v>
      </c>
      <c r="BA35" s="26" cm="1">
        <f t="array" aca="1" ref="BA35" ca="1">SUM(INDIRECT(ADDRESS(Gastos_min_fila,COLUMN()) &amp; ":" &amp; ADDRESS(Gastos_max_fila,COLUMN())))</f>
        <v>0</v>
      </c>
      <c r="BB35" s="26" cm="1">
        <f t="array" aca="1" ref="BB35" ca="1">SUM(INDIRECT(ADDRESS(Gastos_min_fila,COLUMN()) &amp; ":" &amp; ADDRESS(Gastos_max_fila,COLUMN())))</f>
        <v>0</v>
      </c>
      <c r="BC35" s="26" cm="1">
        <f t="array" aca="1" ref="BC35" ca="1">SUM(INDIRECT(ADDRESS(Gastos_min_fila,COLUMN()) &amp; ":" &amp; ADDRESS(Gastos_max_fila,COLUMN())))</f>
        <v>0</v>
      </c>
      <c r="BD35" s="26" cm="1">
        <f t="array" aca="1" ref="BD35" ca="1">SUM(INDIRECT(ADDRESS(Gastos_min_fila,COLUMN()) &amp; ":" &amp; ADDRESS(Gastos_max_fila,COLUMN())))</f>
        <v>0</v>
      </c>
      <c r="BE35" s="26" cm="1">
        <f t="array" aca="1" ref="BE35" ca="1">SUM(INDIRECT(ADDRESS(Gastos_min_fila,COLUMN()) &amp; ":" &amp; ADDRESS(Gastos_max_fila,COLUMN())))</f>
        <v>0</v>
      </c>
      <c r="BF35" s="26" cm="1">
        <f t="array" aca="1" ref="BF35" ca="1">SUM(INDIRECT(ADDRESS(Gastos_min_fila,COLUMN()) &amp; ":" &amp; ADDRESS(Gastos_max_fila,COLUMN())))</f>
        <v>0</v>
      </c>
      <c r="BG35" s="26" cm="1">
        <f t="array" aca="1" ref="BG35" ca="1">SUM(INDIRECT(ADDRESS(Gastos_min_fila,COLUMN()) &amp; ":" &amp; ADDRESS(Gastos_max_fila,COLUMN())))</f>
        <v>0</v>
      </c>
      <c r="BI35" s="26" cm="1">
        <f t="array" aca="1" ref="BI35" ca="1">SUM(INDIRECT(ADDRESS(Gastos_min_fila,COLUMN()) &amp; ":" &amp; ADDRESS(Gastos_max_fila,COLUMN())))</f>
        <v>0</v>
      </c>
      <c r="BJ35" s="26" cm="1">
        <f t="array" aca="1" ref="BJ35" ca="1">SUM(INDIRECT(ADDRESS(Gastos_min_fila,COLUMN()) &amp; ":" &amp; ADDRESS(Gastos_max_fila,COLUMN())))</f>
        <v>0</v>
      </c>
      <c r="BK35" s="26" cm="1">
        <f t="array" aca="1" ref="BK35" ca="1">SUM(INDIRECT(ADDRESS(Gastos_min_fila,COLUMN()) &amp; ":" &amp; ADDRESS(Gastos_max_fila,COLUMN())))</f>
        <v>0</v>
      </c>
      <c r="BL35" s="26" cm="1">
        <f t="array" aca="1" ref="BL35" ca="1">SUM(INDIRECT(ADDRESS(Gastos_min_fila,COLUMN()) &amp; ":" &amp; ADDRESS(Gastos_max_fila,COLUMN())))</f>
        <v>0</v>
      </c>
      <c r="BM35" s="26" cm="1">
        <f t="array" aca="1" ref="BM35" ca="1">SUM(INDIRECT(ADDRESS(Gastos_min_fila,COLUMN()) &amp; ":" &amp; ADDRESS(Gastos_max_fila,COLUMN())))</f>
        <v>0</v>
      </c>
      <c r="BN35" s="26" cm="1">
        <f t="array" aca="1" ref="BN35" ca="1">SUM(INDIRECT(ADDRESS(Gastos_min_fila,COLUMN()) &amp; ":" &amp; ADDRESS(Gastos_max_fila,COLUMN())))</f>
        <v>0</v>
      </c>
      <c r="BO35" s="26" cm="1">
        <f t="array" aca="1" ref="BO35" ca="1">SUM(INDIRECT(ADDRESS(Gastos_min_fila,COLUMN()) &amp; ":" &amp; ADDRESS(Gastos_max_fila,COLUMN())))</f>
        <v>0</v>
      </c>
      <c r="BP35" s="26" cm="1">
        <f t="array" aca="1" ref="BP35" ca="1">SUM(INDIRECT(ADDRESS(Gastos_min_fila,COLUMN()) &amp; ":" &amp; ADDRESS(Gastos_max_fila,COLUMN())))</f>
        <v>0</v>
      </c>
      <c r="BQ35" s="26" cm="1">
        <f t="array" aca="1" ref="BQ35" ca="1">SUM(INDIRECT(ADDRESS(Gastos_min_fila,COLUMN()) &amp; ":" &amp; ADDRESS(Gastos_max_fila,COLUMN())))</f>
        <v>0</v>
      </c>
      <c r="BR35" s="26" cm="1">
        <f t="array" aca="1" ref="BR35" ca="1">SUM(INDIRECT(ADDRESS(Gastos_min_fila,COLUMN()) &amp; ":" &amp; ADDRESS(Gastos_max_fila,COLUMN())))</f>
        <v>0</v>
      </c>
      <c r="BS35" s="26" cm="1">
        <f t="array" aca="1" ref="BS35" ca="1">SUM(INDIRECT(ADDRESS(Gastos_min_fila,COLUMN()) &amp; ":" &amp; ADDRESS(Gastos_max_fila,COLUMN())))</f>
        <v>0</v>
      </c>
      <c r="BT35" s="26" cm="1">
        <f t="array" aca="1" ref="BT35" ca="1">SUM(INDIRECT(ADDRESS(Gastos_min_fila,COLUMN()) &amp; ":" &amp; ADDRESS(Gastos_max_fila,COLUMN())))</f>
        <v>0</v>
      </c>
      <c r="BU35" s="26" cm="1">
        <f t="array" aca="1" ref="BU35" ca="1">SUM(INDIRECT(ADDRESS(Gastos_min_fila,COLUMN()) &amp; ":" &amp; ADDRESS(Gastos_max_fila,COLUMN())))</f>
        <v>0</v>
      </c>
      <c r="BW35" s="26" cm="1">
        <f t="array" aca="1" ref="BW35" ca="1">SUM(INDIRECT(ADDRESS(Gastos_min_fila,COLUMN()) &amp; ":" &amp; ADDRESS(Gastos_max_fila,COLUMN())))</f>
        <v>0</v>
      </c>
      <c r="BX35" s="26" cm="1">
        <f t="array" aca="1" ref="BX35" ca="1">SUM(INDIRECT(ADDRESS(Gastos_min_fila,COLUMN()) &amp; ":" &amp; ADDRESS(Gastos_max_fila,COLUMN())))</f>
        <v>0</v>
      </c>
      <c r="BY35" s="26" cm="1">
        <f t="array" aca="1" ref="BY35" ca="1">SUM(INDIRECT(ADDRESS(Gastos_min_fila,COLUMN()) &amp; ":" &amp; ADDRESS(Gastos_max_fila,COLUMN())))</f>
        <v>0</v>
      </c>
      <c r="BZ35" s="26" cm="1">
        <f t="array" aca="1" ref="BZ35" ca="1">SUM(INDIRECT(ADDRESS(Gastos_min_fila,COLUMN()) &amp; ":" &amp; ADDRESS(Gastos_max_fila,COLUMN())))</f>
        <v>0</v>
      </c>
      <c r="CA35" s="26" cm="1">
        <f t="array" aca="1" ref="CA35" ca="1">SUM(INDIRECT(ADDRESS(Gastos_min_fila,COLUMN()) &amp; ":" &amp; ADDRESS(Gastos_max_fila,COLUMN())))</f>
        <v>0</v>
      </c>
      <c r="CB35" s="26" cm="1">
        <f t="array" aca="1" ref="CB35" ca="1">SUM(INDIRECT(ADDRESS(Gastos_min_fila,COLUMN()) &amp; ":" &amp; ADDRESS(Gastos_max_fila,COLUMN())))</f>
        <v>0</v>
      </c>
      <c r="CC35" s="26" cm="1">
        <f t="array" aca="1" ref="CC35" ca="1">SUM(INDIRECT(ADDRESS(Gastos_min_fila,COLUMN()) &amp; ":" &amp; ADDRESS(Gastos_max_fila,COLUMN())))</f>
        <v>0</v>
      </c>
      <c r="CD35" s="26" cm="1">
        <f t="array" aca="1" ref="CD35" ca="1">SUM(INDIRECT(ADDRESS(Gastos_min_fila,COLUMN()) &amp; ":" &amp; ADDRESS(Gastos_max_fila,COLUMN())))</f>
        <v>0</v>
      </c>
      <c r="CE35" s="26" cm="1">
        <f t="array" aca="1" ref="CE35" ca="1">SUM(INDIRECT(ADDRESS(Gastos_min_fila,COLUMN()) &amp; ":" &amp; ADDRESS(Gastos_max_fila,COLUMN())))</f>
        <v>0</v>
      </c>
      <c r="CF35" s="26" cm="1">
        <f t="array" aca="1" ref="CF35" ca="1">SUM(INDIRECT(ADDRESS(Gastos_min_fila,COLUMN()) &amp; ":" &amp; ADDRESS(Gastos_max_fila,COLUMN())))</f>
        <v>0</v>
      </c>
      <c r="CG35" s="26" cm="1">
        <f t="array" aca="1" ref="CG35" ca="1">SUM(INDIRECT(ADDRESS(Gastos_min_fila,COLUMN()) &amp; ":" &amp; ADDRESS(Gastos_max_fila,COLUMN())))</f>
        <v>0</v>
      </c>
      <c r="CH35" s="26" cm="1">
        <f t="array" aca="1" ref="CH35" ca="1">SUM(INDIRECT(ADDRESS(Gastos_min_fila,COLUMN()) &amp; ":" &amp; ADDRESS(Gastos_max_fila,COLUMN())))</f>
        <v>0</v>
      </c>
      <c r="CI35" s="26" cm="1">
        <f t="array" aca="1" ref="CI35" ca="1">SUM(INDIRECT(ADDRESS(Gastos_min_fila,COLUMN()) &amp; ":" &amp; ADDRESS(Gastos_max_fila,COLUMN())))</f>
        <v>0</v>
      </c>
      <c r="CK35" s="26" cm="1">
        <f t="array" aca="1" ref="CK35" ca="1">SUM(INDIRECT(ADDRESS(Gastos_min_fila,COLUMN()) &amp; ":" &amp; ADDRESS(Gastos_max_fila,COLUMN())))</f>
        <v>0</v>
      </c>
      <c r="CL35" s="26" cm="1">
        <f t="array" aca="1" ref="CL35" ca="1">SUM(INDIRECT(ADDRESS(Gastos_min_fila,COLUMN()) &amp; ":" &amp; ADDRESS(Gastos_max_fila,COLUMN())))</f>
        <v>0</v>
      </c>
      <c r="CM35" s="26" cm="1">
        <f t="array" aca="1" ref="CM35" ca="1">SUM(INDIRECT(ADDRESS(Gastos_min_fila,COLUMN()) &amp; ":" &amp; ADDRESS(Gastos_max_fila,COLUMN())))</f>
        <v>0</v>
      </c>
      <c r="CN35" s="26" cm="1">
        <f t="array" aca="1" ref="CN35" ca="1">SUM(INDIRECT(ADDRESS(Gastos_min_fila,COLUMN()) &amp; ":" &amp; ADDRESS(Gastos_max_fila,COLUMN())))</f>
        <v>0</v>
      </c>
      <c r="CO35" s="26" cm="1">
        <f t="array" aca="1" ref="CO35" ca="1">SUM(INDIRECT(ADDRESS(Gastos_min_fila,COLUMN()) &amp; ":" &amp; ADDRESS(Gastos_max_fila,COLUMN())))</f>
        <v>0</v>
      </c>
      <c r="CP35" s="26" cm="1">
        <f t="array" aca="1" ref="CP35" ca="1">SUM(INDIRECT(ADDRESS(Gastos_min_fila,COLUMN()) &amp; ":" &amp; ADDRESS(Gastos_max_fila,COLUMN())))</f>
        <v>0</v>
      </c>
      <c r="CQ35" s="26" cm="1">
        <f t="array" aca="1" ref="CQ35" ca="1">SUM(INDIRECT(ADDRESS(Gastos_min_fila,COLUMN()) &amp; ":" &amp; ADDRESS(Gastos_max_fila,COLUMN())))</f>
        <v>0</v>
      </c>
      <c r="CR35" s="26" cm="1">
        <f t="array" aca="1" ref="CR35" ca="1">SUM(INDIRECT(ADDRESS(Gastos_min_fila,COLUMN()) &amp; ":" &amp; ADDRESS(Gastos_max_fila,COLUMN())))</f>
        <v>0</v>
      </c>
      <c r="CS35" s="26" cm="1">
        <f t="array" aca="1" ref="CS35" ca="1">SUM(INDIRECT(ADDRESS(Gastos_min_fila,COLUMN()) &amp; ":" &amp; ADDRESS(Gastos_max_fila,COLUMN())))</f>
        <v>0</v>
      </c>
      <c r="CT35" s="26" cm="1">
        <f t="array" aca="1" ref="CT35" ca="1">SUM(INDIRECT(ADDRESS(Gastos_min_fila,COLUMN()) &amp; ":" &amp; ADDRESS(Gastos_max_fila,COLUMN())))</f>
        <v>0</v>
      </c>
      <c r="CU35" s="26" cm="1">
        <f t="array" aca="1" ref="CU35" ca="1">SUM(INDIRECT(ADDRESS(Gastos_min_fila,COLUMN()) &amp; ":" &amp; ADDRESS(Gastos_max_fila,COLUMN())))</f>
        <v>0</v>
      </c>
      <c r="CV35" s="26" cm="1">
        <f t="array" aca="1" ref="CV35" ca="1">SUM(INDIRECT(ADDRESS(Gastos_min_fila,COLUMN()) &amp; ":" &amp; ADDRESS(Gastos_max_fila,COLUMN())))</f>
        <v>0</v>
      </c>
      <c r="CW35" s="26" cm="1">
        <f t="array" aca="1" ref="CW35" ca="1">SUM(INDIRECT(ADDRESS(Gastos_min_fila,COLUMN()) &amp; ":" &amp; ADDRESS(Gastos_max_fila,COLUMN())))</f>
        <v>0</v>
      </c>
      <c r="CY35" s="26" cm="1">
        <f t="array" aca="1" ref="CY35" ca="1">SUM(INDIRECT(ADDRESS(Gastos_min_fila,COLUMN()) &amp; ":" &amp; ADDRESS(Gastos_max_fila,COLUMN())))</f>
        <v>0</v>
      </c>
      <c r="CZ35" s="26" cm="1">
        <f t="array" aca="1" ref="CZ35" ca="1">SUM(INDIRECT(ADDRESS(Gastos_min_fila,COLUMN()) &amp; ":" &amp; ADDRESS(Gastos_max_fila,COLUMN())))</f>
        <v>0</v>
      </c>
      <c r="DA35" s="26" cm="1">
        <f t="array" aca="1" ref="DA35" ca="1">SUM(INDIRECT(ADDRESS(Gastos_min_fila,COLUMN()) &amp; ":" &amp; ADDRESS(Gastos_max_fila,COLUMN())))</f>
        <v>0</v>
      </c>
      <c r="DB35" s="26" cm="1">
        <f t="array" aca="1" ref="DB35" ca="1">SUM(INDIRECT(ADDRESS(Gastos_min_fila,COLUMN()) &amp; ":" &amp; ADDRESS(Gastos_max_fila,COLUMN())))</f>
        <v>0</v>
      </c>
      <c r="DC35" s="26" cm="1">
        <f t="array" aca="1" ref="DC35" ca="1">SUM(INDIRECT(ADDRESS(Gastos_min_fila,COLUMN()) &amp; ":" &amp; ADDRESS(Gastos_max_fila,COLUMN())))</f>
        <v>0</v>
      </c>
      <c r="DD35" s="26" cm="1">
        <f t="array" aca="1" ref="DD35" ca="1">SUM(INDIRECT(ADDRESS(Gastos_min_fila,COLUMN()) &amp; ":" &amp; ADDRESS(Gastos_max_fila,COLUMN())))</f>
        <v>0</v>
      </c>
      <c r="DE35" s="26" cm="1">
        <f t="array" aca="1" ref="DE35" ca="1">SUM(INDIRECT(ADDRESS(Gastos_min_fila,COLUMN()) &amp; ":" &amp; ADDRESS(Gastos_max_fila,COLUMN())))</f>
        <v>0</v>
      </c>
      <c r="DF35" s="26" cm="1">
        <f t="array" aca="1" ref="DF35" ca="1">SUM(INDIRECT(ADDRESS(Gastos_min_fila,COLUMN()) &amp; ":" &amp; ADDRESS(Gastos_max_fila,COLUMN())))</f>
        <v>0</v>
      </c>
      <c r="DG35" s="26" cm="1">
        <f t="array" aca="1" ref="DG35" ca="1">SUM(INDIRECT(ADDRESS(Gastos_min_fila,COLUMN()) &amp; ":" &amp; ADDRESS(Gastos_max_fila,COLUMN())))</f>
        <v>0</v>
      </c>
      <c r="DH35" s="26" cm="1">
        <f t="array" aca="1" ref="DH35" ca="1">SUM(INDIRECT(ADDRESS(Gastos_min_fila,COLUMN()) &amp; ":" &amp; ADDRESS(Gastos_max_fila,COLUMN())))</f>
        <v>0</v>
      </c>
      <c r="DI35" s="26" cm="1">
        <f t="array" aca="1" ref="DI35" ca="1">SUM(INDIRECT(ADDRESS(Gastos_min_fila,COLUMN()) &amp; ":" &amp; ADDRESS(Gastos_max_fila,COLUMN())))</f>
        <v>0</v>
      </c>
      <c r="DJ35" s="26" cm="1">
        <f t="array" aca="1" ref="DJ35" ca="1">SUM(INDIRECT(ADDRESS(Gastos_min_fila,COLUMN()) &amp; ":" &amp; ADDRESS(Gastos_max_fila,COLUMN())))</f>
        <v>0</v>
      </c>
      <c r="DK35" s="26" cm="1">
        <f t="array" aca="1" ref="DK35" ca="1">SUM(INDIRECT(ADDRESS(Gastos_min_fila,COLUMN()) &amp; ":" &amp; ADDRESS(Gastos_max_fila,COLUMN())))</f>
        <v>0</v>
      </c>
      <c r="DM35" s="26" cm="1">
        <f t="array" aca="1" ref="DM35" ca="1">SUM(INDIRECT(ADDRESS(Gastos_min_fila,COLUMN()) &amp; ":" &amp; ADDRESS(Gastos_max_fila,COLUMN())))</f>
        <v>0</v>
      </c>
      <c r="DN35" s="26" cm="1">
        <f t="array" aca="1" ref="DN35" ca="1">SUM(INDIRECT(ADDRESS(Gastos_min_fila,COLUMN()) &amp; ":" &amp; ADDRESS(Gastos_max_fila,COLUMN())))</f>
        <v>0</v>
      </c>
      <c r="DO35" s="26" cm="1">
        <f t="array" aca="1" ref="DO35" ca="1">SUM(INDIRECT(ADDRESS(Gastos_min_fila,COLUMN()) &amp; ":" &amp; ADDRESS(Gastos_max_fila,COLUMN())))</f>
        <v>0</v>
      </c>
      <c r="DP35" s="26" cm="1">
        <f t="array" aca="1" ref="DP35" ca="1">SUM(INDIRECT(ADDRESS(Gastos_min_fila,COLUMN()) &amp; ":" &amp; ADDRESS(Gastos_max_fila,COLUMN())))</f>
        <v>0</v>
      </c>
      <c r="DQ35" s="26" cm="1">
        <f t="array" aca="1" ref="DQ35" ca="1">SUM(INDIRECT(ADDRESS(Gastos_min_fila,COLUMN()) &amp; ":" &amp; ADDRESS(Gastos_max_fila,COLUMN())))</f>
        <v>0</v>
      </c>
      <c r="DR35" s="26" cm="1">
        <f t="array" aca="1" ref="DR35" ca="1">SUM(INDIRECT(ADDRESS(Gastos_min_fila,COLUMN()) &amp; ":" &amp; ADDRESS(Gastos_max_fila,COLUMN())))</f>
        <v>0</v>
      </c>
      <c r="DS35" s="26" cm="1">
        <f t="array" aca="1" ref="DS35" ca="1">SUM(INDIRECT(ADDRESS(Gastos_min_fila,COLUMN()) &amp; ":" &amp; ADDRESS(Gastos_max_fila,COLUMN())))</f>
        <v>0</v>
      </c>
      <c r="DT35" s="26" cm="1">
        <f t="array" aca="1" ref="DT35" ca="1">SUM(INDIRECT(ADDRESS(Gastos_min_fila,COLUMN()) &amp; ":" &amp; ADDRESS(Gastos_max_fila,COLUMN())))</f>
        <v>0</v>
      </c>
      <c r="DU35" s="26" cm="1">
        <f t="array" aca="1" ref="DU35" ca="1">SUM(INDIRECT(ADDRESS(Gastos_min_fila,COLUMN()) &amp; ":" &amp; ADDRESS(Gastos_max_fila,COLUMN())))</f>
        <v>0</v>
      </c>
      <c r="DV35" s="26" cm="1">
        <f t="array" aca="1" ref="DV35" ca="1">SUM(INDIRECT(ADDRESS(Gastos_min_fila,COLUMN()) &amp; ":" &amp; ADDRESS(Gastos_max_fila,COLUMN())))</f>
        <v>0</v>
      </c>
      <c r="DW35" s="26" cm="1">
        <f t="array" aca="1" ref="DW35" ca="1">SUM(INDIRECT(ADDRESS(Gastos_min_fila,COLUMN()) &amp; ":" &amp; ADDRESS(Gastos_max_fila,COLUMN())))</f>
        <v>0</v>
      </c>
      <c r="DX35" s="26" cm="1">
        <f t="array" aca="1" ref="DX35" ca="1">SUM(INDIRECT(ADDRESS(Gastos_min_fila,COLUMN()) &amp; ":" &amp; ADDRESS(Gastos_max_fila,COLUMN())))</f>
        <v>0</v>
      </c>
      <c r="DY35" s="26" cm="1">
        <f t="array" aca="1" ref="DY35" ca="1">SUM(INDIRECT(ADDRESS(Gastos_min_fila,COLUMN()) &amp; ":" &amp; ADDRESS(Gastos_max_fila,COLUMN())))</f>
        <v>0</v>
      </c>
      <c r="EA35" s="26" cm="1">
        <f t="array" aca="1" ref="EA35" ca="1">SUM(INDIRECT(ADDRESS(Gastos_min_fila,COLUMN()) &amp; ":" &amp; ADDRESS(Gastos_max_fila,COLUMN())))</f>
        <v>0</v>
      </c>
      <c r="EB35" s="26" cm="1">
        <f t="array" aca="1" ref="EB35" ca="1">SUM(INDIRECT(ADDRESS(Gastos_min_fila,COLUMN()) &amp; ":" &amp; ADDRESS(Gastos_max_fila,COLUMN())))</f>
        <v>0</v>
      </c>
      <c r="EC35" s="26" cm="1">
        <f t="array" aca="1" ref="EC35" ca="1">SUM(INDIRECT(ADDRESS(Gastos_min_fila,COLUMN()) &amp; ":" &amp; ADDRESS(Gastos_max_fila,COLUMN())))</f>
        <v>0</v>
      </c>
      <c r="ED35" s="26" cm="1">
        <f t="array" aca="1" ref="ED35" ca="1">SUM(INDIRECT(ADDRESS(Gastos_min_fila,COLUMN()) &amp; ":" &amp; ADDRESS(Gastos_max_fila,COLUMN())))</f>
        <v>0</v>
      </c>
      <c r="EE35" s="26" cm="1">
        <f t="array" aca="1" ref="EE35" ca="1">SUM(INDIRECT(ADDRESS(Gastos_min_fila,COLUMN()) &amp; ":" &amp; ADDRESS(Gastos_max_fila,COLUMN())))</f>
        <v>0</v>
      </c>
      <c r="EF35" s="26" cm="1">
        <f t="array" aca="1" ref="EF35" ca="1">SUM(INDIRECT(ADDRESS(Gastos_min_fila,COLUMN()) &amp; ":" &amp; ADDRESS(Gastos_max_fila,COLUMN())))</f>
        <v>0</v>
      </c>
      <c r="EG35" s="26" cm="1">
        <f t="array" aca="1" ref="EG35" ca="1">SUM(INDIRECT(ADDRESS(Gastos_min_fila,COLUMN()) &amp; ":" &amp; ADDRESS(Gastos_max_fila,COLUMN())))</f>
        <v>0</v>
      </c>
      <c r="EH35" s="26" cm="1">
        <f t="array" aca="1" ref="EH35" ca="1">SUM(INDIRECT(ADDRESS(Gastos_min_fila,COLUMN()) &amp; ":" &amp; ADDRESS(Gastos_max_fila,COLUMN())))</f>
        <v>0</v>
      </c>
      <c r="EI35" s="26" cm="1">
        <f t="array" aca="1" ref="EI35" ca="1">SUM(INDIRECT(ADDRESS(Gastos_min_fila,COLUMN()) &amp; ":" &amp; ADDRESS(Gastos_max_fila,COLUMN())))</f>
        <v>0</v>
      </c>
      <c r="EJ35" s="26" cm="1">
        <f t="array" aca="1" ref="EJ35" ca="1">SUM(INDIRECT(ADDRESS(Gastos_min_fila,COLUMN()) &amp; ":" &amp; ADDRESS(Gastos_max_fila,COLUMN())))</f>
        <v>0</v>
      </c>
      <c r="EK35" s="26" cm="1">
        <f t="array" aca="1" ref="EK35" ca="1">SUM(INDIRECT(ADDRESS(Gastos_min_fila,COLUMN()) &amp; ":" &amp; ADDRESS(Gastos_max_fila,COLUMN())))</f>
        <v>0</v>
      </c>
      <c r="EL35" s="26" cm="1">
        <f t="array" aca="1" ref="EL35" ca="1">SUM(INDIRECT(ADDRESS(Gastos_min_fila,COLUMN()) &amp; ":" &amp; ADDRESS(Gastos_max_fila,COLUMN())))</f>
        <v>0</v>
      </c>
      <c r="EM35" s="26" cm="1">
        <f t="array" aca="1" ref="EM35" ca="1">SUM(INDIRECT(ADDRESS(Gastos_min_fila,COLUMN()) &amp; ":" &amp; ADDRESS(Gastos_max_fila,COLUMN())))</f>
        <v>0</v>
      </c>
      <c r="EO35" s="26" cm="1">
        <f t="array" aca="1" ref="EO35" ca="1">SUM(INDIRECT(ADDRESS(Gastos_min_fila,COLUMN()) &amp; ":" &amp; ADDRESS(Gastos_max_fila,COLUMN())))</f>
        <v>0</v>
      </c>
      <c r="EP35" s="26" cm="1">
        <f t="array" aca="1" ref="EP35" ca="1">SUM(INDIRECT(ADDRESS(Gastos_min_fila,COLUMN()) &amp; ":" &amp; ADDRESS(Gastos_max_fila,COLUMN())))</f>
        <v>0</v>
      </c>
      <c r="EQ35" s="26" cm="1">
        <f t="array" aca="1" ref="EQ35" ca="1">SUM(INDIRECT(ADDRESS(Gastos_min_fila,COLUMN()) &amp; ":" &amp; ADDRESS(Gastos_max_fila,COLUMN())))</f>
        <v>0</v>
      </c>
      <c r="ER35" s="26" cm="1">
        <f t="array" aca="1" ref="ER35" ca="1">SUM(INDIRECT(ADDRESS(Gastos_min_fila,COLUMN()) &amp; ":" &amp; ADDRESS(Gastos_max_fila,COLUMN())))</f>
        <v>0</v>
      </c>
      <c r="ES35" s="26" cm="1">
        <f t="array" aca="1" ref="ES35" ca="1">SUM(INDIRECT(ADDRESS(Gastos_min_fila,COLUMN()) &amp; ":" &amp; ADDRESS(Gastos_max_fila,COLUMN())))</f>
        <v>0</v>
      </c>
      <c r="ET35" s="26" cm="1">
        <f t="array" aca="1" ref="ET35" ca="1">SUM(INDIRECT(ADDRESS(Gastos_min_fila,COLUMN()) &amp; ":" &amp; ADDRESS(Gastos_max_fila,COLUMN())))</f>
        <v>0</v>
      </c>
      <c r="EU35" s="26" cm="1">
        <f t="array" aca="1" ref="EU35" ca="1">SUM(INDIRECT(ADDRESS(Gastos_min_fila,COLUMN()) &amp; ":" &amp; ADDRESS(Gastos_max_fila,COLUMN())))</f>
        <v>0</v>
      </c>
      <c r="EV35" s="26" cm="1">
        <f t="array" aca="1" ref="EV35" ca="1">SUM(INDIRECT(ADDRESS(Gastos_min_fila,COLUMN()) &amp; ":" &amp; ADDRESS(Gastos_max_fila,COLUMN())))</f>
        <v>0</v>
      </c>
      <c r="EW35" s="26" cm="1">
        <f t="array" aca="1" ref="EW35" ca="1">SUM(INDIRECT(ADDRESS(Gastos_min_fila,COLUMN()) &amp; ":" &amp; ADDRESS(Gastos_max_fila,COLUMN())))</f>
        <v>0</v>
      </c>
      <c r="EX35" s="26" cm="1">
        <f t="array" aca="1" ref="EX35" ca="1">SUM(INDIRECT(ADDRESS(Gastos_min_fila,COLUMN()) &amp; ":" &amp; ADDRESS(Gastos_max_fila,COLUMN())))</f>
        <v>0</v>
      </c>
      <c r="EY35" s="26" cm="1">
        <f t="array" aca="1" ref="EY35" ca="1">SUM(INDIRECT(ADDRESS(Gastos_min_fila,COLUMN()) &amp; ":" &amp; ADDRESS(Gastos_max_fila,COLUMN())))</f>
        <v>0</v>
      </c>
      <c r="EZ35" s="26" cm="1">
        <f t="array" aca="1" ref="EZ35" ca="1">SUM(INDIRECT(ADDRESS(Gastos_min_fila,COLUMN()) &amp; ":" &amp; ADDRESS(Gastos_max_fila,COLUMN())))</f>
        <v>0</v>
      </c>
      <c r="FA35" s="26" cm="1">
        <f t="array" aca="1" ref="FA35" ca="1">SUM(INDIRECT(ADDRESS(Gastos_min_fila,COLUMN()) &amp; ":" &amp; ADDRESS(Gastos_max_fila,COLUMN())))</f>
        <v>0</v>
      </c>
    </row>
    <row r="37" spans="3:157" x14ac:dyDescent="0.3">
      <c r="C37" s="27" t="s">
        <v>16</v>
      </c>
      <c r="E37" s="30">
        <f>DATE(E$5,1,1)</f>
        <v>44927</v>
      </c>
      <c r="F37" s="30">
        <f>DATE(E$5,2,1)</f>
        <v>44958</v>
      </c>
      <c r="G37" s="30">
        <f>DATE(E$5,3,1)</f>
        <v>44986</v>
      </c>
      <c r="H37" s="30">
        <f>DATE(E$5,4,1)</f>
        <v>45017</v>
      </c>
      <c r="I37" s="30">
        <f>DATE(E$5,5,1)</f>
        <v>45047</v>
      </c>
      <c r="J37" s="30">
        <f>DATE(E$5,6,1)</f>
        <v>45078</v>
      </c>
      <c r="K37" s="30">
        <f>DATE(E$5,7,1)</f>
        <v>45108</v>
      </c>
      <c r="L37" s="30">
        <f>DATE(E$5,8,1)</f>
        <v>45139</v>
      </c>
      <c r="M37" s="30">
        <f>DATE(E$5,9,1)</f>
        <v>45170</v>
      </c>
      <c r="N37" s="30">
        <f>DATE(E$5,10,1)</f>
        <v>45200</v>
      </c>
      <c r="O37" s="30">
        <f>DATE(E$5,11,1)</f>
        <v>45231</v>
      </c>
      <c r="P37" s="30">
        <f>DATE(E$5,12,1)</f>
        <v>45261</v>
      </c>
      <c r="Q37" s="31">
        <f>E5</f>
        <v>2023</v>
      </c>
      <c r="S37" s="30">
        <f>DATE(S$5,1,1)</f>
        <v>45292</v>
      </c>
      <c r="T37" s="30">
        <f>DATE(S$5,2,1)</f>
        <v>45323</v>
      </c>
      <c r="U37" s="30">
        <f>DATE(S$5,3,1)</f>
        <v>45352</v>
      </c>
      <c r="V37" s="30">
        <f>DATE(S$5,4,1)</f>
        <v>45383</v>
      </c>
      <c r="W37" s="30">
        <f>DATE(S$5,5,1)</f>
        <v>45413</v>
      </c>
      <c r="X37" s="30">
        <f>DATE(S$5,6,1)</f>
        <v>45444</v>
      </c>
      <c r="Y37" s="30">
        <f>DATE(S$5,7,1)</f>
        <v>45474</v>
      </c>
      <c r="Z37" s="30">
        <f>DATE(S$5,8,1)</f>
        <v>45505</v>
      </c>
      <c r="AA37" s="30">
        <f>DATE(S$5,9,1)</f>
        <v>45536</v>
      </c>
      <c r="AB37" s="30">
        <f>DATE(S$5,10,1)</f>
        <v>45566</v>
      </c>
      <c r="AC37" s="30">
        <f>DATE(S$5,11,1)</f>
        <v>45597</v>
      </c>
      <c r="AD37" s="30">
        <f>DATE(S$5,12,1)</f>
        <v>45627</v>
      </c>
      <c r="AE37" s="31">
        <f>S5</f>
        <v>2024</v>
      </c>
      <c r="AG37" s="30">
        <f>DATE(AG$5,1,1)</f>
        <v>45658</v>
      </c>
      <c r="AH37" s="30">
        <f>DATE(AG$5,2,1)</f>
        <v>45689</v>
      </c>
      <c r="AI37" s="30">
        <f>DATE(AG$5,3,1)</f>
        <v>45717</v>
      </c>
      <c r="AJ37" s="30">
        <f>DATE(AG$5,4,1)</f>
        <v>45748</v>
      </c>
      <c r="AK37" s="30">
        <f>DATE(AG$5,5,1)</f>
        <v>45778</v>
      </c>
      <c r="AL37" s="30">
        <f>DATE(AG$5,6,1)</f>
        <v>45809</v>
      </c>
      <c r="AM37" s="30">
        <f>DATE(AG$5,7,1)</f>
        <v>45839</v>
      </c>
      <c r="AN37" s="30">
        <f>DATE(AG$5,8,1)</f>
        <v>45870</v>
      </c>
      <c r="AO37" s="30">
        <f>DATE(AG$5,9,1)</f>
        <v>45901</v>
      </c>
      <c r="AP37" s="30">
        <f>DATE(AG$5,10,1)</f>
        <v>45931</v>
      </c>
      <c r="AQ37" s="30">
        <f>DATE(AG$5,11,1)</f>
        <v>45962</v>
      </c>
      <c r="AR37" s="30">
        <f>DATE(AG$5,12,1)</f>
        <v>45992</v>
      </c>
      <c r="AS37" s="31">
        <f>AG5</f>
        <v>2025</v>
      </c>
      <c r="AU37" s="30">
        <f>DATE(AU$5,1,1)</f>
        <v>46023</v>
      </c>
      <c r="AV37" s="30">
        <f>DATE(AU$5,2,1)</f>
        <v>46054</v>
      </c>
      <c r="AW37" s="30">
        <f>DATE(AU$5,3,1)</f>
        <v>46082</v>
      </c>
      <c r="AX37" s="30">
        <f>DATE(AU$5,4,1)</f>
        <v>46113</v>
      </c>
      <c r="AY37" s="30">
        <f>DATE(AU$5,5,1)</f>
        <v>46143</v>
      </c>
      <c r="AZ37" s="30">
        <f>DATE(AU$5,6,1)</f>
        <v>46174</v>
      </c>
      <c r="BA37" s="30">
        <f>DATE(AU$5,7,1)</f>
        <v>46204</v>
      </c>
      <c r="BB37" s="30">
        <f>DATE(AU$5,8,1)</f>
        <v>46235</v>
      </c>
      <c r="BC37" s="30">
        <f>DATE(AU$5,9,1)</f>
        <v>46266</v>
      </c>
      <c r="BD37" s="30">
        <f>DATE(AU$5,10,1)</f>
        <v>46296</v>
      </c>
      <c r="BE37" s="30">
        <f>DATE(AU$5,11,1)</f>
        <v>46327</v>
      </c>
      <c r="BF37" s="30">
        <f>DATE(AU$5,12,1)</f>
        <v>46357</v>
      </c>
      <c r="BG37" s="31">
        <f>AU5</f>
        <v>2026</v>
      </c>
      <c r="BI37" s="30">
        <f>DATE(BI$5,1,1)</f>
        <v>46388</v>
      </c>
      <c r="BJ37" s="30">
        <f>DATE(BI$5,2,1)</f>
        <v>46419</v>
      </c>
      <c r="BK37" s="30">
        <f>DATE(BI$5,3,1)</f>
        <v>46447</v>
      </c>
      <c r="BL37" s="30">
        <f>DATE(BI$5,4,1)</f>
        <v>46478</v>
      </c>
      <c r="BM37" s="30">
        <f>DATE(BI$5,5,1)</f>
        <v>46508</v>
      </c>
      <c r="BN37" s="30">
        <f>DATE(BI$5,6,1)</f>
        <v>46539</v>
      </c>
      <c r="BO37" s="30">
        <f>DATE(BI$5,7,1)</f>
        <v>46569</v>
      </c>
      <c r="BP37" s="30">
        <f>DATE(BI$5,8,1)</f>
        <v>46600</v>
      </c>
      <c r="BQ37" s="30">
        <f>DATE(BI$5,9,1)</f>
        <v>46631</v>
      </c>
      <c r="BR37" s="30">
        <f>DATE(BI$5,10,1)</f>
        <v>46661</v>
      </c>
      <c r="BS37" s="30">
        <f>DATE(BI$5,11,1)</f>
        <v>46692</v>
      </c>
      <c r="BT37" s="30">
        <f>DATE(BI$5,12,1)</f>
        <v>46722</v>
      </c>
      <c r="BU37" s="31">
        <f>BI5</f>
        <v>2027</v>
      </c>
      <c r="BW37" s="30">
        <f>DATE(BW$5,1,1)</f>
        <v>46753</v>
      </c>
      <c r="BX37" s="30">
        <f>DATE(BW$5,2,1)</f>
        <v>46784</v>
      </c>
      <c r="BY37" s="30">
        <f>DATE(BW$5,3,1)</f>
        <v>46813</v>
      </c>
      <c r="BZ37" s="30">
        <f>DATE(BW$5,4,1)</f>
        <v>46844</v>
      </c>
      <c r="CA37" s="30">
        <f>DATE(BW$5,5,1)</f>
        <v>46874</v>
      </c>
      <c r="CB37" s="30">
        <f>DATE(BW$5,6,1)</f>
        <v>46905</v>
      </c>
      <c r="CC37" s="30">
        <f>DATE(BW$5,7,1)</f>
        <v>46935</v>
      </c>
      <c r="CD37" s="30">
        <f>DATE(BW$5,8,1)</f>
        <v>46966</v>
      </c>
      <c r="CE37" s="30">
        <f>DATE(BW$5,9,1)</f>
        <v>46997</v>
      </c>
      <c r="CF37" s="30">
        <f>DATE(BW$5,10,1)</f>
        <v>47027</v>
      </c>
      <c r="CG37" s="30">
        <f>DATE(BW$5,11,1)</f>
        <v>47058</v>
      </c>
      <c r="CH37" s="30">
        <f>DATE(BW$5,12,1)</f>
        <v>47088</v>
      </c>
      <c r="CI37" s="31">
        <f>BW5</f>
        <v>2028</v>
      </c>
      <c r="CK37" s="30">
        <f>DATE(CK$5,1,1)</f>
        <v>47119</v>
      </c>
      <c r="CL37" s="30">
        <f>DATE(CK$5,2,1)</f>
        <v>47150</v>
      </c>
      <c r="CM37" s="30">
        <f>DATE(CK$5,3,1)</f>
        <v>47178</v>
      </c>
      <c r="CN37" s="30">
        <f>DATE(CK$5,4,1)</f>
        <v>47209</v>
      </c>
      <c r="CO37" s="30">
        <f>DATE(CK$5,5,1)</f>
        <v>47239</v>
      </c>
      <c r="CP37" s="30">
        <f>DATE(CK$5,6,1)</f>
        <v>47270</v>
      </c>
      <c r="CQ37" s="30">
        <f>DATE(CK$5,7,1)</f>
        <v>47300</v>
      </c>
      <c r="CR37" s="30">
        <f>DATE(CK$5,8,1)</f>
        <v>47331</v>
      </c>
      <c r="CS37" s="30">
        <f>DATE(CK$5,9,1)</f>
        <v>47362</v>
      </c>
      <c r="CT37" s="30">
        <f>DATE(CK$5,10,1)</f>
        <v>47392</v>
      </c>
      <c r="CU37" s="30">
        <f>DATE(CK$5,11,1)</f>
        <v>47423</v>
      </c>
      <c r="CV37" s="30">
        <f>DATE(CK$5,12,1)</f>
        <v>47453</v>
      </c>
      <c r="CW37" s="31">
        <f>CK5</f>
        <v>2029</v>
      </c>
      <c r="CY37" s="30">
        <f>DATE(CY$5,1,1)</f>
        <v>47484</v>
      </c>
      <c r="CZ37" s="30">
        <f>DATE(CY$5,2,1)</f>
        <v>47515</v>
      </c>
      <c r="DA37" s="30">
        <f>DATE(CY$5,3,1)</f>
        <v>47543</v>
      </c>
      <c r="DB37" s="30">
        <f>DATE(CY$5,4,1)</f>
        <v>47574</v>
      </c>
      <c r="DC37" s="30">
        <f>DATE(CY$5,5,1)</f>
        <v>47604</v>
      </c>
      <c r="DD37" s="30">
        <f>DATE(CY$5,6,1)</f>
        <v>47635</v>
      </c>
      <c r="DE37" s="30">
        <f>DATE(CY$5,7,1)</f>
        <v>47665</v>
      </c>
      <c r="DF37" s="30">
        <f>DATE(CY$5,8,1)</f>
        <v>47696</v>
      </c>
      <c r="DG37" s="30">
        <f>DATE(CY$5,9,1)</f>
        <v>47727</v>
      </c>
      <c r="DH37" s="30">
        <f>DATE(CY$5,10,1)</f>
        <v>47757</v>
      </c>
      <c r="DI37" s="30">
        <f>DATE(CY$5,11,1)</f>
        <v>47788</v>
      </c>
      <c r="DJ37" s="30">
        <f>DATE(CY$5,12,1)</f>
        <v>47818</v>
      </c>
      <c r="DK37" s="31">
        <f>CY5</f>
        <v>2030</v>
      </c>
      <c r="DM37" s="30">
        <f>DATE(DM$5,1,1)</f>
        <v>47849</v>
      </c>
      <c r="DN37" s="30">
        <f>DATE(DM$5,2,1)</f>
        <v>47880</v>
      </c>
      <c r="DO37" s="30">
        <f>DATE(DM$5,3,1)</f>
        <v>47908</v>
      </c>
      <c r="DP37" s="30">
        <f>DATE(DM$5,4,1)</f>
        <v>47939</v>
      </c>
      <c r="DQ37" s="30">
        <f>DATE(DM$5,5,1)</f>
        <v>47969</v>
      </c>
      <c r="DR37" s="30">
        <f>DATE(DM$5,6,1)</f>
        <v>48000</v>
      </c>
      <c r="DS37" s="30">
        <f>DATE(DM$5,7,1)</f>
        <v>48030</v>
      </c>
      <c r="DT37" s="30">
        <f>DATE(DM$5,8,1)</f>
        <v>48061</v>
      </c>
      <c r="DU37" s="30">
        <f>DATE(DM$5,9,1)</f>
        <v>48092</v>
      </c>
      <c r="DV37" s="30">
        <f>DATE(DM$5,10,1)</f>
        <v>48122</v>
      </c>
      <c r="DW37" s="30">
        <f>DATE(DM$5,11,1)</f>
        <v>48153</v>
      </c>
      <c r="DX37" s="30">
        <f>DATE(DM$5,12,1)</f>
        <v>48183</v>
      </c>
      <c r="DY37" s="31">
        <f>DM5</f>
        <v>2031</v>
      </c>
      <c r="EA37" s="30">
        <f>DATE(EA$5,1,1)</f>
        <v>48214</v>
      </c>
      <c r="EB37" s="30">
        <f>DATE(EA$5,2,1)</f>
        <v>48245</v>
      </c>
      <c r="EC37" s="30">
        <f>DATE(EA$5,3,1)</f>
        <v>48274</v>
      </c>
      <c r="ED37" s="30">
        <f>DATE(EA$5,4,1)</f>
        <v>48305</v>
      </c>
      <c r="EE37" s="30">
        <f>DATE(EA$5,5,1)</f>
        <v>48335</v>
      </c>
      <c r="EF37" s="30">
        <f>DATE(EA$5,6,1)</f>
        <v>48366</v>
      </c>
      <c r="EG37" s="30">
        <f>DATE(EA$5,7,1)</f>
        <v>48396</v>
      </c>
      <c r="EH37" s="30">
        <f>DATE(EA$5,8,1)</f>
        <v>48427</v>
      </c>
      <c r="EI37" s="30">
        <f>DATE(EA$5,9,1)</f>
        <v>48458</v>
      </c>
      <c r="EJ37" s="30">
        <f>DATE(EA$5,10,1)</f>
        <v>48488</v>
      </c>
      <c r="EK37" s="30">
        <f>DATE(EA$5,11,1)</f>
        <v>48519</v>
      </c>
      <c r="EL37" s="30">
        <f>DATE(EA$5,12,1)</f>
        <v>48549</v>
      </c>
      <c r="EM37" s="31">
        <f>EA5</f>
        <v>2032</v>
      </c>
      <c r="EO37" s="30">
        <f>DATE(EO$5,1,1)</f>
        <v>48580</v>
      </c>
      <c r="EP37" s="30">
        <f>DATE(EO$5,2,1)</f>
        <v>48611</v>
      </c>
      <c r="EQ37" s="30">
        <f>DATE(EO$5,3,1)</f>
        <v>48639</v>
      </c>
      <c r="ER37" s="30">
        <f>DATE(EO$5,4,1)</f>
        <v>48670</v>
      </c>
      <c r="ES37" s="30">
        <f>DATE(EO$5,5,1)</f>
        <v>48700</v>
      </c>
      <c r="ET37" s="30">
        <f>DATE(EO$5,6,1)</f>
        <v>48731</v>
      </c>
      <c r="EU37" s="30">
        <f>DATE(EO$5,7,1)</f>
        <v>48761</v>
      </c>
      <c r="EV37" s="30">
        <f>DATE(EO$5,8,1)</f>
        <v>48792</v>
      </c>
      <c r="EW37" s="30">
        <f>DATE(EO$5,9,1)</f>
        <v>48823</v>
      </c>
      <c r="EX37" s="30">
        <f>DATE(EO$5,10,1)</f>
        <v>48853</v>
      </c>
      <c r="EY37" s="30">
        <f>DATE(EO$5,11,1)</f>
        <v>48884</v>
      </c>
      <c r="EZ37" s="30">
        <f>DATE(EO$5,12,1)</f>
        <v>48914</v>
      </c>
      <c r="FA37" s="31">
        <f>EO5</f>
        <v>2033</v>
      </c>
    </row>
    <row r="38" spans="3:157" x14ac:dyDescent="0.3">
      <c r="C38" s="16" t="s">
        <v>17</v>
      </c>
      <c r="D38" s="23"/>
      <c r="E38" s="24">
        <f t="shared" ref="E38:P38" ca="1" si="54">IF(E7&gt;0,E7*0.8,0)</f>
        <v>0</v>
      </c>
      <c r="F38" s="24">
        <f t="shared" ca="1" si="54"/>
        <v>0</v>
      </c>
      <c r="G38" s="24">
        <f t="shared" ca="1" si="54"/>
        <v>0</v>
      </c>
      <c r="H38" s="24">
        <f t="shared" ca="1" si="54"/>
        <v>0</v>
      </c>
      <c r="I38" s="24">
        <f t="shared" ca="1" si="54"/>
        <v>0</v>
      </c>
      <c r="J38" s="24">
        <f t="shared" ca="1" si="54"/>
        <v>0</v>
      </c>
      <c r="K38" s="24">
        <f t="shared" ca="1" si="54"/>
        <v>0</v>
      </c>
      <c r="L38" s="24">
        <f t="shared" ca="1" si="54"/>
        <v>0</v>
      </c>
      <c r="M38" s="24">
        <f t="shared" ca="1" si="54"/>
        <v>0</v>
      </c>
      <c r="N38" s="24">
        <f t="shared" ca="1" si="54"/>
        <v>0</v>
      </c>
      <c r="O38" s="24">
        <f t="shared" ca="1" si="54"/>
        <v>0</v>
      </c>
      <c r="P38" s="24">
        <f t="shared" ca="1" si="54"/>
        <v>0</v>
      </c>
      <c r="Q38" s="25">
        <f ca="1">SUM(E38:P38)</f>
        <v>0</v>
      </c>
      <c r="S38" s="24">
        <f t="shared" ref="S38:AD38" ca="1" si="55">IF(S7&gt;0,S7*0.8,0)</f>
        <v>0</v>
      </c>
      <c r="T38" s="24">
        <f t="shared" ca="1" si="55"/>
        <v>0</v>
      </c>
      <c r="U38" s="24">
        <f t="shared" ca="1" si="55"/>
        <v>0</v>
      </c>
      <c r="V38" s="24">
        <f t="shared" ca="1" si="55"/>
        <v>0</v>
      </c>
      <c r="W38" s="24">
        <f t="shared" ca="1" si="55"/>
        <v>0</v>
      </c>
      <c r="X38" s="24">
        <f t="shared" ca="1" si="55"/>
        <v>0</v>
      </c>
      <c r="Y38" s="24">
        <f t="shared" ca="1" si="55"/>
        <v>0</v>
      </c>
      <c r="Z38" s="24">
        <f t="shared" ca="1" si="55"/>
        <v>0</v>
      </c>
      <c r="AA38" s="24">
        <f t="shared" ca="1" si="55"/>
        <v>0</v>
      </c>
      <c r="AB38" s="24">
        <f t="shared" ca="1" si="55"/>
        <v>0</v>
      </c>
      <c r="AC38" s="24">
        <f t="shared" ca="1" si="55"/>
        <v>0</v>
      </c>
      <c r="AD38" s="24">
        <f t="shared" ca="1" si="55"/>
        <v>0</v>
      </c>
      <c r="AE38" s="25">
        <f ca="1">SUM(S38:AD38)</f>
        <v>0</v>
      </c>
      <c r="AG38" s="24">
        <f t="shared" ref="AG38:AR38" ca="1" si="56">IF(AG7&gt;0,AG7*0.8,0)</f>
        <v>0</v>
      </c>
      <c r="AH38" s="24">
        <f t="shared" ca="1" si="56"/>
        <v>0</v>
      </c>
      <c r="AI38" s="24">
        <f t="shared" ca="1" si="56"/>
        <v>0</v>
      </c>
      <c r="AJ38" s="24">
        <f t="shared" ca="1" si="56"/>
        <v>0</v>
      </c>
      <c r="AK38" s="24">
        <f t="shared" ca="1" si="56"/>
        <v>0</v>
      </c>
      <c r="AL38" s="24">
        <f t="shared" ca="1" si="56"/>
        <v>0</v>
      </c>
      <c r="AM38" s="24">
        <f t="shared" ca="1" si="56"/>
        <v>0</v>
      </c>
      <c r="AN38" s="24">
        <f t="shared" ca="1" si="56"/>
        <v>0</v>
      </c>
      <c r="AO38" s="24">
        <f t="shared" ca="1" si="56"/>
        <v>0</v>
      </c>
      <c r="AP38" s="24">
        <f t="shared" ca="1" si="56"/>
        <v>0</v>
      </c>
      <c r="AQ38" s="24">
        <f t="shared" ca="1" si="56"/>
        <v>0</v>
      </c>
      <c r="AR38" s="24">
        <f t="shared" ca="1" si="56"/>
        <v>0</v>
      </c>
      <c r="AS38" s="25">
        <f ca="1">SUM(AG38:AR38)</f>
        <v>0</v>
      </c>
      <c r="AU38" s="24">
        <f t="shared" ref="AU38:BF38" ca="1" si="57">IF(AU7&gt;0,AU7*0.8,0)</f>
        <v>0</v>
      </c>
      <c r="AV38" s="24">
        <f t="shared" ca="1" si="57"/>
        <v>0</v>
      </c>
      <c r="AW38" s="24">
        <f t="shared" ca="1" si="57"/>
        <v>0</v>
      </c>
      <c r="AX38" s="24">
        <f t="shared" ca="1" si="57"/>
        <v>0</v>
      </c>
      <c r="AY38" s="24">
        <f t="shared" ca="1" si="57"/>
        <v>0</v>
      </c>
      <c r="AZ38" s="24">
        <f t="shared" ca="1" si="57"/>
        <v>0</v>
      </c>
      <c r="BA38" s="24">
        <f t="shared" ca="1" si="57"/>
        <v>0</v>
      </c>
      <c r="BB38" s="24">
        <f t="shared" ca="1" si="57"/>
        <v>0</v>
      </c>
      <c r="BC38" s="24">
        <f t="shared" ca="1" si="57"/>
        <v>0</v>
      </c>
      <c r="BD38" s="24">
        <f t="shared" ca="1" si="57"/>
        <v>0</v>
      </c>
      <c r="BE38" s="24">
        <f t="shared" ca="1" si="57"/>
        <v>0</v>
      </c>
      <c r="BF38" s="24">
        <f t="shared" ca="1" si="57"/>
        <v>0</v>
      </c>
      <c r="BG38" s="25">
        <f ca="1">SUM(AU38:BF38)</f>
        <v>0</v>
      </c>
      <c r="BI38" s="24">
        <f t="shared" ref="BI38:BT38" ca="1" si="58">IF(BI7&gt;0,BI7*0.8,0)</f>
        <v>0</v>
      </c>
      <c r="BJ38" s="24">
        <f t="shared" ca="1" si="58"/>
        <v>0</v>
      </c>
      <c r="BK38" s="24">
        <f t="shared" ca="1" si="58"/>
        <v>0</v>
      </c>
      <c r="BL38" s="24">
        <f t="shared" ca="1" si="58"/>
        <v>0</v>
      </c>
      <c r="BM38" s="24">
        <f t="shared" ca="1" si="58"/>
        <v>0</v>
      </c>
      <c r="BN38" s="24">
        <f t="shared" ca="1" si="58"/>
        <v>0</v>
      </c>
      <c r="BO38" s="24">
        <f t="shared" ca="1" si="58"/>
        <v>0</v>
      </c>
      <c r="BP38" s="24">
        <f t="shared" ca="1" si="58"/>
        <v>0</v>
      </c>
      <c r="BQ38" s="24">
        <f t="shared" ca="1" si="58"/>
        <v>0</v>
      </c>
      <c r="BR38" s="24">
        <f t="shared" ca="1" si="58"/>
        <v>0</v>
      </c>
      <c r="BS38" s="24">
        <f t="shared" ca="1" si="58"/>
        <v>0</v>
      </c>
      <c r="BT38" s="24">
        <f t="shared" ca="1" si="58"/>
        <v>0</v>
      </c>
      <c r="BU38" s="25">
        <f ca="1">SUM(BI38:BT38)</f>
        <v>0</v>
      </c>
      <c r="BW38" s="24">
        <f t="shared" ref="BW38:CH38" ca="1" si="59">IF(BW7&gt;0,BW7*0.8,0)</f>
        <v>0</v>
      </c>
      <c r="BX38" s="24">
        <f t="shared" ca="1" si="59"/>
        <v>0</v>
      </c>
      <c r="BY38" s="24">
        <f t="shared" ca="1" si="59"/>
        <v>0</v>
      </c>
      <c r="BZ38" s="24">
        <f t="shared" ca="1" si="59"/>
        <v>0</v>
      </c>
      <c r="CA38" s="24">
        <f t="shared" ca="1" si="59"/>
        <v>0</v>
      </c>
      <c r="CB38" s="24">
        <f t="shared" ca="1" si="59"/>
        <v>0</v>
      </c>
      <c r="CC38" s="24">
        <f t="shared" ca="1" si="59"/>
        <v>0</v>
      </c>
      <c r="CD38" s="24">
        <f t="shared" ca="1" si="59"/>
        <v>0</v>
      </c>
      <c r="CE38" s="24">
        <f t="shared" ca="1" si="59"/>
        <v>0</v>
      </c>
      <c r="CF38" s="24">
        <f t="shared" ca="1" si="59"/>
        <v>0</v>
      </c>
      <c r="CG38" s="24">
        <f t="shared" ca="1" si="59"/>
        <v>0</v>
      </c>
      <c r="CH38" s="24">
        <f t="shared" ca="1" si="59"/>
        <v>0</v>
      </c>
      <c r="CI38" s="25">
        <f ca="1">SUM(BW38:CH38)</f>
        <v>0</v>
      </c>
      <c r="CK38" s="24">
        <f t="shared" ref="CK38:CV38" ca="1" si="60">IF(CK7&gt;0,CK7*0.8,0)</f>
        <v>0</v>
      </c>
      <c r="CL38" s="24">
        <f t="shared" ca="1" si="60"/>
        <v>0</v>
      </c>
      <c r="CM38" s="24">
        <f t="shared" ca="1" si="60"/>
        <v>0</v>
      </c>
      <c r="CN38" s="24">
        <f t="shared" ca="1" si="60"/>
        <v>0</v>
      </c>
      <c r="CO38" s="24">
        <f t="shared" ca="1" si="60"/>
        <v>0</v>
      </c>
      <c r="CP38" s="24">
        <f t="shared" ca="1" si="60"/>
        <v>0</v>
      </c>
      <c r="CQ38" s="24">
        <f t="shared" ca="1" si="60"/>
        <v>0</v>
      </c>
      <c r="CR38" s="24">
        <f t="shared" ca="1" si="60"/>
        <v>0</v>
      </c>
      <c r="CS38" s="24">
        <f t="shared" ca="1" si="60"/>
        <v>0</v>
      </c>
      <c r="CT38" s="24">
        <f t="shared" ca="1" si="60"/>
        <v>0</v>
      </c>
      <c r="CU38" s="24">
        <f t="shared" ca="1" si="60"/>
        <v>0</v>
      </c>
      <c r="CV38" s="24">
        <f t="shared" ca="1" si="60"/>
        <v>0</v>
      </c>
      <c r="CW38" s="25">
        <f ca="1">SUM(CK38:CV38)</f>
        <v>0</v>
      </c>
      <c r="CY38" s="24">
        <f t="shared" ref="CY38:DJ38" ca="1" si="61">IF(CY7&gt;0,CY7*0.8,0)</f>
        <v>0</v>
      </c>
      <c r="CZ38" s="24">
        <f t="shared" ca="1" si="61"/>
        <v>0</v>
      </c>
      <c r="DA38" s="24">
        <f t="shared" ca="1" si="61"/>
        <v>0</v>
      </c>
      <c r="DB38" s="24">
        <f t="shared" ca="1" si="61"/>
        <v>0</v>
      </c>
      <c r="DC38" s="24">
        <f t="shared" ca="1" si="61"/>
        <v>0</v>
      </c>
      <c r="DD38" s="24">
        <f t="shared" ca="1" si="61"/>
        <v>0</v>
      </c>
      <c r="DE38" s="24">
        <f t="shared" ca="1" si="61"/>
        <v>0</v>
      </c>
      <c r="DF38" s="24">
        <f t="shared" ca="1" si="61"/>
        <v>0</v>
      </c>
      <c r="DG38" s="24">
        <f t="shared" ca="1" si="61"/>
        <v>0</v>
      </c>
      <c r="DH38" s="24">
        <f t="shared" ca="1" si="61"/>
        <v>0</v>
      </c>
      <c r="DI38" s="24">
        <f t="shared" ca="1" si="61"/>
        <v>0</v>
      </c>
      <c r="DJ38" s="24">
        <f t="shared" ca="1" si="61"/>
        <v>0</v>
      </c>
      <c r="DK38" s="25">
        <f ca="1">SUM(CY38:DJ38)</f>
        <v>0</v>
      </c>
      <c r="DM38" s="24">
        <f t="shared" ref="DM38:DX38" ca="1" si="62">IF(DM7&gt;0,DM7*0.8,0)</f>
        <v>0</v>
      </c>
      <c r="DN38" s="24">
        <f t="shared" ca="1" si="62"/>
        <v>0</v>
      </c>
      <c r="DO38" s="24">
        <f t="shared" ca="1" si="62"/>
        <v>0</v>
      </c>
      <c r="DP38" s="24">
        <f t="shared" ca="1" si="62"/>
        <v>0</v>
      </c>
      <c r="DQ38" s="24">
        <f t="shared" ca="1" si="62"/>
        <v>0</v>
      </c>
      <c r="DR38" s="24">
        <f t="shared" ca="1" si="62"/>
        <v>0</v>
      </c>
      <c r="DS38" s="24">
        <f t="shared" ca="1" si="62"/>
        <v>0</v>
      </c>
      <c r="DT38" s="24">
        <f t="shared" ca="1" si="62"/>
        <v>0</v>
      </c>
      <c r="DU38" s="24">
        <f t="shared" ca="1" si="62"/>
        <v>0</v>
      </c>
      <c r="DV38" s="24">
        <f t="shared" ca="1" si="62"/>
        <v>0</v>
      </c>
      <c r="DW38" s="24">
        <f t="shared" ca="1" si="62"/>
        <v>0</v>
      </c>
      <c r="DX38" s="24">
        <f t="shared" ca="1" si="62"/>
        <v>0</v>
      </c>
      <c r="DY38" s="25">
        <f ca="1">SUM(DM38:DX38)</f>
        <v>0</v>
      </c>
      <c r="EA38" s="24">
        <f t="shared" ref="EA38:EL38" ca="1" si="63">IF(EA7&gt;0,EA7*0.8,0)</f>
        <v>0</v>
      </c>
      <c r="EB38" s="24">
        <f t="shared" ca="1" si="63"/>
        <v>0</v>
      </c>
      <c r="EC38" s="24">
        <f t="shared" ca="1" si="63"/>
        <v>0</v>
      </c>
      <c r="ED38" s="24">
        <f t="shared" ca="1" si="63"/>
        <v>0</v>
      </c>
      <c r="EE38" s="24">
        <f t="shared" ca="1" si="63"/>
        <v>0</v>
      </c>
      <c r="EF38" s="24">
        <f t="shared" ca="1" si="63"/>
        <v>0</v>
      </c>
      <c r="EG38" s="24">
        <f t="shared" ca="1" si="63"/>
        <v>0</v>
      </c>
      <c r="EH38" s="24">
        <f t="shared" ca="1" si="63"/>
        <v>0</v>
      </c>
      <c r="EI38" s="24">
        <f t="shared" ca="1" si="63"/>
        <v>0</v>
      </c>
      <c r="EJ38" s="24">
        <f t="shared" ca="1" si="63"/>
        <v>0</v>
      </c>
      <c r="EK38" s="24">
        <f t="shared" ca="1" si="63"/>
        <v>0</v>
      </c>
      <c r="EL38" s="24">
        <f t="shared" ca="1" si="63"/>
        <v>0</v>
      </c>
      <c r="EM38" s="25">
        <f ca="1">SUM(EA38:EL38)</f>
        <v>0</v>
      </c>
      <c r="EO38" s="24">
        <f t="shared" ref="EO38:EZ38" ca="1" si="64">IF(EO7&gt;0,EO7*0.8,0)</f>
        <v>0</v>
      </c>
      <c r="EP38" s="24">
        <f t="shared" ca="1" si="64"/>
        <v>0</v>
      </c>
      <c r="EQ38" s="24">
        <f t="shared" ca="1" si="64"/>
        <v>0</v>
      </c>
      <c r="ER38" s="24">
        <f t="shared" ca="1" si="64"/>
        <v>0</v>
      </c>
      <c r="ES38" s="24">
        <f t="shared" ca="1" si="64"/>
        <v>0</v>
      </c>
      <c r="ET38" s="24">
        <f t="shared" ca="1" si="64"/>
        <v>0</v>
      </c>
      <c r="EU38" s="24">
        <f t="shared" ca="1" si="64"/>
        <v>0</v>
      </c>
      <c r="EV38" s="24">
        <f t="shared" ca="1" si="64"/>
        <v>0</v>
      </c>
      <c r="EW38" s="24">
        <f t="shared" ca="1" si="64"/>
        <v>0</v>
      </c>
      <c r="EX38" s="24">
        <f t="shared" ca="1" si="64"/>
        <v>0</v>
      </c>
      <c r="EY38" s="24">
        <f t="shared" ca="1" si="64"/>
        <v>0</v>
      </c>
      <c r="EZ38" s="24">
        <f t="shared" ca="1" si="64"/>
        <v>0</v>
      </c>
      <c r="FA38" s="25">
        <f ca="1">SUM(EO38:EZ38)</f>
        <v>0</v>
      </c>
    </row>
    <row r="39" spans="3:157" ht="13.95" customHeight="1" x14ac:dyDescent="0.3">
      <c r="C39" s="17" t="s">
        <v>18</v>
      </c>
      <c r="D39" s="23"/>
      <c r="E39" s="24">
        <f t="shared" ref="E39:P39" ca="1" si="65">IF(E7&gt;0,E7*0.2,0)</f>
        <v>0</v>
      </c>
      <c r="F39" s="24">
        <f t="shared" ca="1" si="65"/>
        <v>0</v>
      </c>
      <c r="G39" s="24">
        <f t="shared" ca="1" si="65"/>
        <v>0</v>
      </c>
      <c r="H39" s="24">
        <f t="shared" ca="1" si="65"/>
        <v>0</v>
      </c>
      <c r="I39" s="24">
        <f t="shared" ca="1" si="65"/>
        <v>0</v>
      </c>
      <c r="J39" s="24">
        <f t="shared" ca="1" si="65"/>
        <v>0</v>
      </c>
      <c r="K39" s="24">
        <f t="shared" ca="1" si="65"/>
        <v>0</v>
      </c>
      <c r="L39" s="24">
        <f t="shared" ca="1" si="65"/>
        <v>0</v>
      </c>
      <c r="M39" s="24">
        <f t="shared" ca="1" si="65"/>
        <v>0</v>
      </c>
      <c r="N39" s="24">
        <f t="shared" ca="1" si="65"/>
        <v>0</v>
      </c>
      <c r="O39" s="24">
        <f t="shared" ca="1" si="65"/>
        <v>0</v>
      </c>
      <c r="P39" s="24">
        <f t="shared" ca="1" si="65"/>
        <v>0</v>
      </c>
      <c r="Q39" s="25">
        <f ca="1">SUM(E39:P39)</f>
        <v>0</v>
      </c>
      <c r="S39" s="24">
        <f t="shared" ref="S39:AD39" ca="1" si="66">IF(S7&gt;0,S7*0.2,0)</f>
        <v>0</v>
      </c>
      <c r="T39" s="24">
        <f t="shared" ca="1" si="66"/>
        <v>0</v>
      </c>
      <c r="U39" s="24">
        <f t="shared" ca="1" si="66"/>
        <v>0</v>
      </c>
      <c r="V39" s="24">
        <f t="shared" ca="1" si="66"/>
        <v>0</v>
      </c>
      <c r="W39" s="24">
        <f t="shared" ca="1" si="66"/>
        <v>0</v>
      </c>
      <c r="X39" s="24">
        <f t="shared" ca="1" si="66"/>
        <v>0</v>
      </c>
      <c r="Y39" s="24">
        <f t="shared" ca="1" si="66"/>
        <v>0</v>
      </c>
      <c r="Z39" s="24">
        <f t="shared" ca="1" si="66"/>
        <v>0</v>
      </c>
      <c r="AA39" s="24">
        <f t="shared" ca="1" si="66"/>
        <v>0</v>
      </c>
      <c r="AB39" s="24">
        <f t="shared" ca="1" si="66"/>
        <v>0</v>
      </c>
      <c r="AC39" s="24">
        <f t="shared" ca="1" si="66"/>
        <v>0</v>
      </c>
      <c r="AD39" s="24">
        <f t="shared" ca="1" si="66"/>
        <v>0</v>
      </c>
      <c r="AE39" s="25">
        <f ca="1">SUM(S39:AD39)</f>
        <v>0</v>
      </c>
      <c r="AG39" s="24">
        <f t="shared" ref="AG39:AR39" ca="1" si="67">IF(AG7&gt;0,AG7*0.2,0)</f>
        <v>0</v>
      </c>
      <c r="AH39" s="24">
        <f t="shared" ca="1" si="67"/>
        <v>0</v>
      </c>
      <c r="AI39" s="24">
        <f t="shared" ca="1" si="67"/>
        <v>0</v>
      </c>
      <c r="AJ39" s="24">
        <f t="shared" ca="1" si="67"/>
        <v>0</v>
      </c>
      <c r="AK39" s="24">
        <f t="shared" ca="1" si="67"/>
        <v>0</v>
      </c>
      <c r="AL39" s="24">
        <f t="shared" ca="1" si="67"/>
        <v>0</v>
      </c>
      <c r="AM39" s="24">
        <f t="shared" ca="1" si="67"/>
        <v>0</v>
      </c>
      <c r="AN39" s="24">
        <f t="shared" ca="1" si="67"/>
        <v>0</v>
      </c>
      <c r="AO39" s="24">
        <f t="shared" ca="1" si="67"/>
        <v>0</v>
      </c>
      <c r="AP39" s="24">
        <f t="shared" ca="1" si="67"/>
        <v>0</v>
      </c>
      <c r="AQ39" s="24">
        <f t="shared" ca="1" si="67"/>
        <v>0</v>
      </c>
      <c r="AR39" s="24">
        <f t="shared" ca="1" si="67"/>
        <v>0</v>
      </c>
      <c r="AS39" s="25">
        <f ca="1">SUM(AG39:AR39)</f>
        <v>0</v>
      </c>
      <c r="AU39" s="24">
        <f t="shared" ref="AU39:BF39" ca="1" si="68">IF(AU7&gt;0,AU7*0.2,0)</f>
        <v>0</v>
      </c>
      <c r="AV39" s="24">
        <f t="shared" ca="1" si="68"/>
        <v>0</v>
      </c>
      <c r="AW39" s="24">
        <f t="shared" ca="1" si="68"/>
        <v>0</v>
      </c>
      <c r="AX39" s="24">
        <f t="shared" ca="1" si="68"/>
        <v>0</v>
      </c>
      <c r="AY39" s="24">
        <f t="shared" ca="1" si="68"/>
        <v>0</v>
      </c>
      <c r="AZ39" s="24">
        <f t="shared" ca="1" si="68"/>
        <v>0</v>
      </c>
      <c r="BA39" s="24">
        <f t="shared" ca="1" si="68"/>
        <v>0</v>
      </c>
      <c r="BB39" s="24">
        <f t="shared" ca="1" si="68"/>
        <v>0</v>
      </c>
      <c r="BC39" s="24">
        <f t="shared" ca="1" si="68"/>
        <v>0</v>
      </c>
      <c r="BD39" s="24">
        <f t="shared" ca="1" si="68"/>
        <v>0</v>
      </c>
      <c r="BE39" s="24">
        <f t="shared" ca="1" si="68"/>
        <v>0</v>
      </c>
      <c r="BF39" s="24">
        <f t="shared" ca="1" si="68"/>
        <v>0</v>
      </c>
      <c r="BG39" s="25">
        <f ca="1">SUM(AU39:BF39)</f>
        <v>0</v>
      </c>
      <c r="BI39" s="24">
        <f t="shared" ref="BI39:BT39" ca="1" si="69">IF(BI7&gt;0,BI7*0.2,0)</f>
        <v>0</v>
      </c>
      <c r="BJ39" s="24">
        <f t="shared" ca="1" si="69"/>
        <v>0</v>
      </c>
      <c r="BK39" s="24">
        <f t="shared" ca="1" si="69"/>
        <v>0</v>
      </c>
      <c r="BL39" s="24">
        <f t="shared" ca="1" si="69"/>
        <v>0</v>
      </c>
      <c r="BM39" s="24">
        <f t="shared" ca="1" si="69"/>
        <v>0</v>
      </c>
      <c r="BN39" s="24">
        <f t="shared" ca="1" si="69"/>
        <v>0</v>
      </c>
      <c r="BO39" s="24">
        <f t="shared" ca="1" si="69"/>
        <v>0</v>
      </c>
      <c r="BP39" s="24">
        <f t="shared" ca="1" si="69"/>
        <v>0</v>
      </c>
      <c r="BQ39" s="24">
        <f t="shared" ca="1" si="69"/>
        <v>0</v>
      </c>
      <c r="BR39" s="24">
        <f t="shared" ca="1" si="69"/>
        <v>0</v>
      </c>
      <c r="BS39" s="24">
        <f t="shared" ca="1" si="69"/>
        <v>0</v>
      </c>
      <c r="BT39" s="24">
        <f t="shared" ca="1" si="69"/>
        <v>0</v>
      </c>
      <c r="BU39" s="25">
        <f ca="1">SUM(BI39:BT39)</f>
        <v>0</v>
      </c>
      <c r="BW39" s="24">
        <f t="shared" ref="BW39:CH39" ca="1" si="70">IF(BW7&gt;0,BW7*0.2,0)</f>
        <v>0</v>
      </c>
      <c r="BX39" s="24">
        <f t="shared" ca="1" si="70"/>
        <v>0</v>
      </c>
      <c r="BY39" s="24">
        <f t="shared" ca="1" si="70"/>
        <v>0</v>
      </c>
      <c r="BZ39" s="24">
        <f t="shared" ca="1" si="70"/>
        <v>0</v>
      </c>
      <c r="CA39" s="24">
        <f t="shared" ca="1" si="70"/>
        <v>0</v>
      </c>
      <c r="CB39" s="24">
        <f t="shared" ca="1" si="70"/>
        <v>0</v>
      </c>
      <c r="CC39" s="24">
        <f t="shared" ca="1" si="70"/>
        <v>0</v>
      </c>
      <c r="CD39" s="24">
        <f t="shared" ca="1" si="70"/>
        <v>0</v>
      </c>
      <c r="CE39" s="24">
        <f t="shared" ca="1" si="70"/>
        <v>0</v>
      </c>
      <c r="CF39" s="24">
        <f t="shared" ca="1" si="70"/>
        <v>0</v>
      </c>
      <c r="CG39" s="24">
        <f t="shared" ca="1" si="70"/>
        <v>0</v>
      </c>
      <c r="CH39" s="24">
        <f t="shared" ca="1" si="70"/>
        <v>0</v>
      </c>
      <c r="CI39" s="25">
        <f ca="1">SUM(BW39:CH39)</f>
        <v>0</v>
      </c>
      <c r="CK39" s="24">
        <f t="shared" ref="CK39:CV39" ca="1" si="71">IF(CK7&gt;0,CK7*0.2,0)</f>
        <v>0</v>
      </c>
      <c r="CL39" s="24">
        <f t="shared" ca="1" si="71"/>
        <v>0</v>
      </c>
      <c r="CM39" s="24">
        <f t="shared" ca="1" si="71"/>
        <v>0</v>
      </c>
      <c r="CN39" s="24">
        <f t="shared" ca="1" si="71"/>
        <v>0</v>
      </c>
      <c r="CO39" s="24">
        <f t="shared" ca="1" si="71"/>
        <v>0</v>
      </c>
      <c r="CP39" s="24">
        <f t="shared" ca="1" si="71"/>
        <v>0</v>
      </c>
      <c r="CQ39" s="24">
        <f t="shared" ca="1" si="71"/>
        <v>0</v>
      </c>
      <c r="CR39" s="24">
        <f t="shared" ca="1" si="71"/>
        <v>0</v>
      </c>
      <c r="CS39" s="24">
        <f t="shared" ca="1" si="71"/>
        <v>0</v>
      </c>
      <c r="CT39" s="24">
        <f t="shared" ca="1" si="71"/>
        <v>0</v>
      </c>
      <c r="CU39" s="24">
        <f t="shared" ca="1" si="71"/>
        <v>0</v>
      </c>
      <c r="CV39" s="24">
        <f t="shared" ca="1" si="71"/>
        <v>0</v>
      </c>
      <c r="CW39" s="25">
        <f ca="1">SUM(CK39:CV39)</f>
        <v>0</v>
      </c>
      <c r="CY39" s="24">
        <f t="shared" ref="CY39:DJ39" ca="1" si="72">IF(CY7&gt;0,CY7*0.2,0)</f>
        <v>0</v>
      </c>
      <c r="CZ39" s="24">
        <f t="shared" ca="1" si="72"/>
        <v>0</v>
      </c>
      <c r="DA39" s="24">
        <f t="shared" ca="1" si="72"/>
        <v>0</v>
      </c>
      <c r="DB39" s="24">
        <f t="shared" ca="1" si="72"/>
        <v>0</v>
      </c>
      <c r="DC39" s="24">
        <f t="shared" ca="1" si="72"/>
        <v>0</v>
      </c>
      <c r="DD39" s="24">
        <f t="shared" ca="1" si="72"/>
        <v>0</v>
      </c>
      <c r="DE39" s="24">
        <f t="shared" ca="1" si="72"/>
        <v>0</v>
      </c>
      <c r="DF39" s="24">
        <f t="shared" ca="1" si="72"/>
        <v>0</v>
      </c>
      <c r="DG39" s="24">
        <f t="shared" ca="1" si="72"/>
        <v>0</v>
      </c>
      <c r="DH39" s="24">
        <f t="shared" ca="1" si="72"/>
        <v>0</v>
      </c>
      <c r="DI39" s="24">
        <f t="shared" ca="1" si="72"/>
        <v>0</v>
      </c>
      <c r="DJ39" s="24">
        <f t="shared" ca="1" si="72"/>
        <v>0</v>
      </c>
      <c r="DK39" s="25">
        <f ca="1">SUM(CY39:DJ39)</f>
        <v>0</v>
      </c>
      <c r="DM39" s="24">
        <f t="shared" ref="DM39:DX39" ca="1" si="73">IF(DM7&gt;0,DM7*0.2,0)</f>
        <v>0</v>
      </c>
      <c r="DN39" s="24">
        <f t="shared" ca="1" si="73"/>
        <v>0</v>
      </c>
      <c r="DO39" s="24">
        <f t="shared" ca="1" si="73"/>
        <v>0</v>
      </c>
      <c r="DP39" s="24">
        <f t="shared" ca="1" si="73"/>
        <v>0</v>
      </c>
      <c r="DQ39" s="24">
        <f t="shared" ca="1" si="73"/>
        <v>0</v>
      </c>
      <c r="DR39" s="24">
        <f t="shared" ca="1" si="73"/>
        <v>0</v>
      </c>
      <c r="DS39" s="24">
        <f t="shared" ca="1" si="73"/>
        <v>0</v>
      </c>
      <c r="DT39" s="24">
        <f t="shared" ca="1" si="73"/>
        <v>0</v>
      </c>
      <c r="DU39" s="24">
        <f t="shared" ca="1" si="73"/>
        <v>0</v>
      </c>
      <c r="DV39" s="24">
        <f t="shared" ca="1" si="73"/>
        <v>0</v>
      </c>
      <c r="DW39" s="24">
        <f t="shared" ca="1" si="73"/>
        <v>0</v>
      </c>
      <c r="DX39" s="24">
        <f t="shared" ca="1" si="73"/>
        <v>0</v>
      </c>
      <c r="DY39" s="25">
        <f ca="1">SUM(DM39:DX39)</f>
        <v>0</v>
      </c>
      <c r="EA39" s="24">
        <f t="shared" ref="EA39:EL39" ca="1" si="74">IF(EA7&gt;0,EA7*0.2,0)</f>
        <v>0</v>
      </c>
      <c r="EB39" s="24">
        <f t="shared" ca="1" si="74"/>
        <v>0</v>
      </c>
      <c r="EC39" s="24">
        <f t="shared" ca="1" si="74"/>
        <v>0</v>
      </c>
      <c r="ED39" s="24">
        <f t="shared" ca="1" si="74"/>
        <v>0</v>
      </c>
      <c r="EE39" s="24">
        <f t="shared" ca="1" si="74"/>
        <v>0</v>
      </c>
      <c r="EF39" s="24">
        <f t="shared" ca="1" si="74"/>
        <v>0</v>
      </c>
      <c r="EG39" s="24">
        <f t="shared" ca="1" si="74"/>
        <v>0</v>
      </c>
      <c r="EH39" s="24">
        <f t="shared" ca="1" si="74"/>
        <v>0</v>
      </c>
      <c r="EI39" s="24">
        <f t="shared" ca="1" si="74"/>
        <v>0</v>
      </c>
      <c r="EJ39" s="24">
        <f t="shared" ca="1" si="74"/>
        <v>0</v>
      </c>
      <c r="EK39" s="24">
        <f t="shared" ca="1" si="74"/>
        <v>0</v>
      </c>
      <c r="EL39" s="24">
        <f t="shared" ca="1" si="74"/>
        <v>0</v>
      </c>
      <c r="EM39" s="25">
        <f ca="1">SUM(EA39:EL39)</f>
        <v>0</v>
      </c>
      <c r="EO39" s="24">
        <f t="shared" ref="EO39:EZ39" ca="1" si="75">IF(EO7&gt;0,EO7*0.2,0)</f>
        <v>0</v>
      </c>
      <c r="EP39" s="24">
        <f t="shared" ca="1" si="75"/>
        <v>0</v>
      </c>
      <c r="EQ39" s="24">
        <f t="shared" ca="1" si="75"/>
        <v>0</v>
      </c>
      <c r="ER39" s="24">
        <f t="shared" ca="1" si="75"/>
        <v>0</v>
      </c>
      <c r="ES39" s="24">
        <f t="shared" ca="1" si="75"/>
        <v>0</v>
      </c>
      <c r="ET39" s="24">
        <f t="shared" ca="1" si="75"/>
        <v>0</v>
      </c>
      <c r="EU39" s="24">
        <f t="shared" ca="1" si="75"/>
        <v>0</v>
      </c>
      <c r="EV39" s="24">
        <f t="shared" ca="1" si="75"/>
        <v>0</v>
      </c>
      <c r="EW39" s="24">
        <f t="shared" ca="1" si="75"/>
        <v>0</v>
      </c>
      <c r="EX39" s="24">
        <f t="shared" ca="1" si="75"/>
        <v>0</v>
      </c>
      <c r="EY39" s="24">
        <f t="shared" ca="1" si="75"/>
        <v>0</v>
      </c>
      <c r="EZ39" s="24">
        <f t="shared" ca="1" si="75"/>
        <v>0</v>
      </c>
      <c r="FA39" s="25">
        <f ca="1">SUM(EO39:EZ39)</f>
        <v>0</v>
      </c>
    </row>
    <row r="40" spans="3:157" hidden="1" x14ac:dyDescent="0.3">
      <c r="C40" s="22" t="s">
        <v>68</v>
      </c>
      <c r="D40" s="23"/>
      <c r="E40" s="24"/>
      <c r="F40" s="24"/>
      <c r="G40" s="24"/>
      <c r="H40" s="24"/>
      <c r="I40" s="24"/>
      <c r="J40" s="24"/>
      <c r="K40" s="24"/>
      <c r="L40" s="24"/>
      <c r="M40" s="24"/>
      <c r="N40" s="24"/>
      <c r="O40" s="24"/>
      <c r="P40" s="24"/>
      <c r="Q40" s="25">
        <f t="shared" ref="Q40:Q47" si="76">SUM(E40:P40)</f>
        <v>0</v>
      </c>
      <c r="S40" s="24"/>
      <c r="T40" s="24"/>
      <c r="U40" s="24"/>
      <c r="V40" s="24"/>
      <c r="W40" s="24"/>
      <c r="X40" s="24"/>
      <c r="Y40" s="24"/>
      <c r="Z40" s="24"/>
      <c r="AA40" s="24"/>
      <c r="AB40" s="24"/>
      <c r="AC40" s="24"/>
      <c r="AD40" s="24"/>
      <c r="AE40" s="25">
        <f t="shared" ref="AE40:AE47" si="77">SUM(S40:AD40)</f>
        <v>0</v>
      </c>
      <c r="AG40" s="24"/>
      <c r="AH40" s="24"/>
      <c r="AI40" s="24"/>
      <c r="AJ40" s="24"/>
      <c r="AK40" s="24"/>
      <c r="AL40" s="24"/>
      <c r="AM40" s="24"/>
      <c r="AN40" s="24"/>
      <c r="AO40" s="24"/>
      <c r="AP40" s="24"/>
      <c r="AQ40" s="24"/>
      <c r="AR40" s="24"/>
      <c r="AS40" s="25">
        <f t="shared" ref="AS40:AS47" si="78">SUM(AG40:AR40)</f>
        <v>0</v>
      </c>
      <c r="AU40" s="24"/>
      <c r="AV40" s="24"/>
      <c r="AW40" s="24"/>
      <c r="AX40" s="24"/>
      <c r="AY40" s="24"/>
      <c r="AZ40" s="24"/>
      <c r="BA40" s="24"/>
      <c r="BB40" s="24"/>
      <c r="BC40" s="24"/>
      <c r="BD40" s="24"/>
      <c r="BE40" s="24"/>
      <c r="BF40" s="24"/>
      <c r="BG40" s="25">
        <f t="shared" ref="BG40:BG47" si="79">SUM(AU40:BF40)</f>
        <v>0</v>
      </c>
      <c r="BI40" s="24"/>
      <c r="BJ40" s="24"/>
      <c r="BK40" s="24"/>
      <c r="BL40" s="24"/>
      <c r="BM40" s="24"/>
      <c r="BN40" s="24"/>
      <c r="BO40" s="24"/>
      <c r="BP40" s="24"/>
      <c r="BQ40" s="24"/>
      <c r="BR40" s="24"/>
      <c r="BS40" s="24"/>
      <c r="BT40" s="24"/>
      <c r="BU40" s="25">
        <f t="shared" ref="BU40:BU47" si="80">SUM(BI40:BT40)</f>
        <v>0</v>
      </c>
      <c r="BW40" s="24"/>
      <c r="BX40" s="24"/>
      <c r="BY40" s="24"/>
      <c r="BZ40" s="24"/>
      <c r="CA40" s="24"/>
      <c r="CB40" s="24"/>
      <c r="CC40" s="24"/>
      <c r="CD40" s="24"/>
      <c r="CE40" s="24"/>
      <c r="CF40" s="24"/>
      <c r="CG40" s="24"/>
      <c r="CH40" s="24"/>
      <c r="CI40" s="25">
        <f t="shared" ref="CI40:CI47" si="81">SUM(BW40:CH40)</f>
        <v>0</v>
      </c>
      <c r="CK40" s="24"/>
      <c r="CL40" s="24"/>
      <c r="CM40" s="24"/>
      <c r="CN40" s="24"/>
      <c r="CO40" s="24"/>
      <c r="CP40" s="24"/>
      <c r="CQ40" s="24"/>
      <c r="CR40" s="24"/>
      <c r="CS40" s="24"/>
      <c r="CT40" s="24"/>
      <c r="CU40" s="24"/>
      <c r="CV40" s="24"/>
      <c r="CW40" s="25">
        <f t="shared" ref="CW40:CW47" si="82">SUM(CK40:CV40)</f>
        <v>0</v>
      </c>
      <c r="CY40" s="24"/>
      <c r="CZ40" s="24"/>
      <c r="DA40" s="24"/>
      <c r="DB40" s="24"/>
      <c r="DC40" s="24"/>
      <c r="DD40" s="24"/>
      <c r="DE40" s="24"/>
      <c r="DF40" s="24"/>
      <c r="DG40" s="24"/>
      <c r="DH40" s="24"/>
      <c r="DI40" s="24"/>
      <c r="DJ40" s="24"/>
      <c r="DK40" s="25">
        <f t="shared" ref="DK40:DK47" si="83">SUM(CY40:DJ40)</f>
        <v>0</v>
      </c>
      <c r="DM40" s="24"/>
      <c r="DN40" s="24"/>
      <c r="DO40" s="24"/>
      <c r="DP40" s="24"/>
      <c r="DQ40" s="24"/>
      <c r="DR40" s="24"/>
      <c r="DS40" s="24"/>
      <c r="DT40" s="24"/>
      <c r="DU40" s="24"/>
      <c r="DV40" s="24"/>
      <c r="DW40" s="24"/>
      <c r="DX40" s="24"/>
      <c r="DY40" s="25">
        <f t="shared" ref="DY40:DY47" si="84">SUM(DM40:DX40)</f>
        <v>0</v>
      </c>
      <c r="EA40" s="24"/>
      <c r="EB40" s="24"/>
      <c r="EC40" s="24"/>
      <c r="ED40" s="24"/>
      <c r="EE40" s="24"/>
      <c r="EF40" s="24"/>
      <c r="EG40" s="24"/>
      <c r="EH40" s="24"/>
      <c r="EI40" s="24"/>
      <c r="EJ40" s="24"/>
      <c r="EK40" s="24"/>
      <c r="EL40" s="24"/>
      <c r="EM40" s="25">
        <f t="shared" ref="EM40:EM47" si="85">SUM(EA40:EL40)</f>
        <v>0</v>
      </c>
      <c r="EO40" s="24"/>
      <c r="EP40" s="24"/>
      <c r="EQ40" s="24"/>
      <c r="ER40" s="24"/>
      <c r="ES40" s="24"/>
      <c r="ET40" s="24"/>
      <c r="EU40" s="24"/>
      <c r="EV40" s="24"/>
      <c r="EW40" s="24"/>
      <c r="EX40" s="24"/>
      <c r="EY40" s="24"/>
      <c r="EZ40" s="24"/>
      <c r="FA40" s="25">
        <f t="shared" ref="FA40:FA47" si="86">SUM(EO40:EZ40)</f>
        <v>0</v>
      </c>
    </row>
    <row r="41" spans="3:157" hidden="1" x14ac:dyDescent="0.3">
      <c r="C41" s="22" t="s">
        <v>6</v>
      </c>
      <c r="D41" s="23"/>
      <c r="E41" s="24"/>
      <c r="F41" s="24"/>
      <c r="G41" s="24"/>
      <c r="H41" s="24"/>
      <c r="I41" s="24"/>
      <c r="J41" s="24"/>
      <c r="K41" s="24"/>
      <c r="L41" s="24"/>
      <c r="M41" s="24"/>
      <c r="N41" s="24"/>
      <c r="O41" s="24"/>
      <c r="P41" s="24"/>
      <c r="Q41" s="25">
        <f t="shared" si="76"/>
        <v>0</v>
      </c>
      <c r="S41" s="24"/>
      <c r="T41" s="24"/>
      <c r="U41" s="24"/>
      <c r="V41" s="24"/>
      <c r="W41" s="24"/>
      <c r="X41" s="24"/>
      <c r="Y41" s="24"/>
      <c r="Z41" s="24"/>
      <c r="AA41" s="24"/>
      <c r="AB41" s="24"/>
      <c r="AC41" s="24"/>
      <c r="AD41" s="24"/>
      <c r="AE41" s="25">
        <f t="shared" si="77"/>
        <v>0</v>
      </c>
      <c r="AG41" s="24"/>
      <c r="AH41" s="24"/>
      <c r="AI41" s="24"/>
      <c r="AJ41" s="24"/>
      <c r="AK41" s="24"/>
      <c r="AL41" s="24"/>
      <c r="AM41" s="24"/>
      <c r="AN41" s="24"/>
      <c r="AO41" s="24"/>
      <c r="AP41" s="24"/>
      <c r="AQ41" s="24"/>
      <c r="AR41" s="24"/>
      <c r="AS41" s="25">
        <f t="shared" si="78"/>
        <v>0</v>
      </c>
      <c r="AU41" s="24"/>
      <c r="AV41" s="24"/>
      <c r="AW41" s="24"/>
      <c r="AX41" s="24"/>
      <c r="AY41" s="24"/>
      <c r="AZ41" s="24"/>
      <c r="BA41" s="24"/>
      <c r="BB41" s="24"/>
      <c r="BC41" s="24"/>
      <c r="BD41" s="24"/>
      <c r="BE41" s="24"/>
      <c r="BF41" s="24"/>
      <c r="BG41" s="25">
        <f t="shared" si="79"/>
        <v>0</v>
      </c>
      <c r="BI41" s="24"/>
      <c r="BJ41" s="24"/>
      <c r="BK41" s="24"/>
      <c r="BL41" s="24"/>
      <c r="BM41" s="24"/>
      <c r="BN41" s="24"/>
      <c r="BO41" s="24"/>
      <c r="BP41" s="24"/>
      <c r="BQ41" s="24"/>
      <c r="BR41" s="24"/>
      <c r="BS41" s="24"/>
      <c r="BT41" s="24"/>
      <c r="BU41" s="25">
        <f t="shared" si="80"/>
        <v>0</v>
      </c>
      <c r="BW41" s="24"/>
      <c r="BX41" s="24"/>
      <c r="BY41" s="24"/>
      <c r="BZ41" s="24"/>
      <c r="CA41" s="24"/>
      <c r="CB41" s="24"/>
      <c r="CC41" s="24"/>
      <c r="CD41" s="24"/>
      <c r="CE41" s="24"/>
      <c r="CF41" s="24"/>
      <c r="CG41" s="24"/>
      <c r="CH41" s="24"/>
      <c r="CI41" s="25">
        <f t="shared" si="81"/>
        <v>0</v>
      </c>
      <c r="CK41" s="24"/>
      <c r="CL41" s="24"/>
      <c r="CM41" s="24"/>
      <c r="CN41" s="24"/>
      <c r="CO41" s="24"/>
      <c r="CP41" s="24"/>
      <c r="CQ41" s="24"/>
      <c r="CR41" s="24"/>
      <c r="CS41" s="24"/>
      <c r="CT41" s="24"/>
      <c r="CU41" s="24"/>
      <c r="CV41" s="24"/>
      <c r="CW41" s="25">
        <f t="shared" si="82"/>
        <v>0</v>
      </c>
      <c r="CY41" s="24"/>
      <c r="CZ41" s="24"/>
      <c r="DA41" s="24"/>
      <c r="DB41" s="24"/>
      <c r="DC41" s="24"/>
      <c r="DD41" s="24"/>
      <c r="DE41" s="24"/>
      <c r="DF41" s="24"/>
      <c r="DG41" s="24"/>
      <c r="DH41" s="24"/>
      <c r="DI41" s="24"/>
      <c r="DJ41" s="24"/>
      <c r="DK41" s="25">
        <f t="shared" si="83"/>
        <v>0</v>
      </c>
      <c r="DM41" s="24"/>
      <c r="DN41" s="24"/>
      <c r="DO41" s="24"/>
      <c r="DP41" s="24"/>
      <c r="DQ41" s="24"/>
      <c r="DR41" s="24"/>
      <c r="DS41" s="24"/>
      <c r="DT41" s="24"/>
      <c r="DU41" s="24"/>
      <c r="DV41" s="24"/>
      <c r="DW41" s="24"/>
      <c r="DX41" s="24"/>
      <c r="DY41" s="25">
        <f t="shared" si="84"/>
        <v>0</v>
      </c>
      <c r="EA41" s="24"/>
      <c r="EB41" s="24"/>
      <c r="EC41" s="24"/>
      <c r="ED41" s="24"/>
      <c r="EE41" s="24"/>
      <c r="EF41" s="24"/>
      <c r="EG41" s="24"/>
      <c r="EH41" s="24"/>
      <c r="EI41" s="24"/>
      <c r="EJ41" s="24"/>
      <c r="EK41" s="24"/>
      <c r="EL41" s="24"/>
      <c r="EM41" s="25">
        <f t="shared" si="85"/>
        <v>0</v>
      </c>
      <c r="EO41" s="24"/>
      <c r="EP41" s="24"/>
      <c r="EQ41" s="24"/>
      <c r="ER41" s="24"/>
      <c r="ES41" s="24"/>
      <c r="ET41" s="24"/>
      <c r="EU41" s="24"/>
      <c r="EV41" s="24"/>
      <c r="EW41" s="24"/>
      <c r="EX41" s="24"/>
      <c r="EY41" s="24"/>
      <c r="EZ41" s="24"/>
      <c r="FA41" s="25">
        <f t="shared" si="86"/>
        <v>0</v>
      </c>
    </row>
    <row r="42" spans="3:157" hidden="1" x14ac:dyDescent="0.3">
      <c r="C42" s="22" t="s">
        <v>6</v>
      </c>
      <c r="D42" s="23"/>
      <c r="E42" s="24"/>
      <c r="F42" s="24"/>
      <c r="G42" s="24"/>
      <c r="H42" s="24"/>
      <c r="I42" s="24"/>
      <c r="J42" s="24"/>
      <c r="K42" s="24"/>
      <c r="L42" s="24"/>
      <c r="M42" s="24"/>
      <c r="N42" s="24"/>
      <c r="O42" s="24"/>
      <c r="P42" s="24"/>
      <c r="Q42" s="25">
        <f t="shared" si="76"/>
        <v>0</v>
      </c>
      <c r="S42" s="24"/>
      <c r="T42" s="24"/>
      <c r="U42" s="24"/>
      <c r="V42" s="24"/>
      <c r="W42" s="24"/>
      <c r="X42" s="24"/>
      <c r="Y42" s="24"/>
      <c r="Z42" s="24"/>
      <c r="AA42" s="24"/>
      <c r="AB42" s="24"/>
      <c r="AC42" s="24"/>
      <c r="AD42" s="24"/>
      <c r="AE42" s="25">
        <f t="shared" si="77"/>
        <v>0</v>
      </c>
      <c r="AG42" s="24"/>
      <c r="AH42" s="24"/>
      <c r="AI42" s="24"/>
      <c r="AJ42" s="24"/>
      <c r="AK42" s="24"/>
      <c r="AL42" s="24"/>
      <c r="AM42" s="24"/>
      <c r="AN42" s="24"/>
      <c r="AO42" s="24"/>
      <c r="AP42" s="24"/>
      <c r="AQ42" s="24"/>
      <c r="AR42" s="24"/>
      <c r="AS42" s="25">
        <f t="shared" si="78"/>
        <v>0</v>
      </c>
      <c r="AU42" s="24"/>
      <c r="AV42" s="24"/>
      <c r="AW42" s="24"/>
      <c r="AX42" s="24"/>
      <c r="AY42" s="24"/>
      <c r="AZ42" s="24"/>
      <c r="BA42" s="24"/>
      <c r="BB42" s="24"/>
      <c r="BC42" s="24"/>
      <c r="BD42" s="24"/>
      <c r="BE42" s="24"/>
      <c r="BF42" s="24"/>
      <c r="BG42" s="25">
        <f t="shared" si="79"/>
        <v>0</v>
      </c>
      <c r="BI42" s="24"/>
      <c r="BJ42" s="24"/>
      <c r="BK42" s="24"/>
      <c r="BL42" s="24"/>
      <c r="BM42" s="24"/>
      <c r="BN42" s="24"/>
      <c r="BO42" s="24"/>
      <c r="BP42" s="24"/>
      <c r="BQ42" s="24"/>
      <c r="BR42" s="24"/>
      <c r="BS42" s="24"/>
      <c r="BT42" s="24"/>
      <c r="BU42" s="25">
        <f t="shared" si="80"/>
        <v>0</v>
      </c>
      <c r="BW42" s="24"/>
      <c r="BX42" s="24"/>
      <c r="BY42" s="24"/>
      <c r="BZ42" s="24"/>
      <c r="CA42" s="24"/>
      <c r="CB42" s="24"/>
      <c r="CC42" s="24"/>
      <c r="CD42" s="24"/>
      <c r="CE42" s="24"/>
      <c r="CF42" s="24"/>
      <c r="CG42" s="24"/>
      <c r="CH42" s="24"/>
      <c r="CI42" s="25">
        <f t="shared" si="81"/>
        <v>0</v>
      </c>
      <c r="CK42" s="24"/>
      <c r="CL42" s="24"/>
      <c r="CM42" s="24"/>
      <c r="CN42" s="24"/>
      <c r="CO42" s="24"/>
      <c r="CP42" s="24"/>
      <c r="CQ42" s="24"/>
      <c r="CR42" s="24"/>
      <c r="CS42" s="24"/>
      <c r="CT42" s="24"/>
      <c r="CU42" s="24"/>
      <c r="CV42" s="24"/>
      <c r="CW42" s="25">
        <f t="shared" si="82"/>
        <v>0</v>
      </c>
      <c r="CY42" s="24"/>
      <c r="CZ42" s="24"/>
      <c r="DA42" s="24"/>
      <c r="DB42" s="24"/>
      <c r="DC42" s="24"/>
      <c r="DD42" s="24"/>
      <c r="DE42" s="24"/>
      <c r="DF42" s="24"/>
      <c r="DG42" s="24"/>
      <c r="DH42" s="24"/>
      <c r="DI42" s="24"/>
      <c r="DJ42" s="24"/>
      <c r="DK42" s="25">
        <f t="shared" si="83"/>
        <v>0</v>
      </c>
      <c r="DM42" s="24"/>
      <c r="DN42" s="24"/>
      <c r="DO42" s="24"/>
      <c r="DP42" s="24"/>
      <c r="DQ42" s="24"/>
      <c r="DR42" s="24"/>
      <c r="DS42" s="24"/>
      <c r="DT42" s="24"/>
      <c r="DU42" s="24"/>
      <c r="DV42" s="24"/>
      <c r="DW42" s="24"/>
      <c r="DX42" s="24"/>
      <c r="DY42" s="25">
        <f t="shared" si="84"/>
        <v>0</v>
      </c>
      <c r="EA42" s="24"/>
      <c r="EB42" s="24"/>
      <c r="EC42" s="24"/>
      <c r="ED42" s="24"/>
      <c r="EE42" s="24"/>
      <c r="EF42" s="24"/>
      <c r="EG42" s="24"/>
      <c r="EH42" s="24"/>
      <c r="EI42" s="24"/>
      <c r="EJ42" s="24"/>
      <c r="EK42" s="24"/>
      <c r="EL42" s="24"/>
      <c r="EM42" s="25">
        <f t="shared" si="85"/>
        <v>0</v>
      </c>
      <c r="EO42" s="24"/>
      <c r="EP42" s="24"/>
      <c r="EQ42" s="24"/>
      <c r="ER42" s="24"/>
      <c r="ES42" s="24"/>
      <c r="ET42" s="24"/>
      <c r="EU42" s="24"/>
      <c r="EV42" s="24"/>
      <c r="EW42" s="24"/>
      <c r="EX42" s="24"/>
      <c r="EY42" s="24"/>
      <c r="EZ42" s="24"/>
      <c r="FA42" s="25">
        <f t="shared" si="86"/>
        <v>0</v>
      </c>
    </row>
    <row r="43" spans="3:157" hidden="1" x14ac:dyDescent="0.3">
      <c r="C43" s="22" t="s">
        <v>6</v>
      </c>
      <c r="D43" s="23"/>
      <c r="E43" s="24"/>
      <c r="F43" s="24"/>
      <c r="G43" s="24"/>
      <c r="H43" s="24"/>
      <c r="I43" s="24"/>
      <c r="J43" s="24"/>
      <c r="K43" s="24"/>
      <c r="L43" s="24"/>
      <c r="M43" s="24"/>
      <c r="N43" s="24"/>
      <c r="O43" s="24"/>
      <c r="P43" s="24"/>
      <c r="Q43" s="25">
        <f t="shared" si="76"/>
        <v>0</v>
      </c>
      <c r="S43" s="24"/>
      <c r="T43" s="24"/>
      <c r="U43" s="24"/>
      <c r="V43" s="24"/>
      <c r="W43" s="24"/>
      <c r="X43" s="24"/>
      <c r="Y43" s="24"/>
      <c r="Z43" s="24"/>
      <c r="AA43" s="24"/>
      <c r="AB43" s="24"/>
      <c r="AC43" s="24"/>
      <c r="AD43" s="24"/>
      <c r="AE43" s="25">
        <f t="shared" si="77"/>
        <v>0</v>
      </c>
      <c r="AG43" s="24"/>
      <c r="AH43" s="24"/>
      <c r="AI43" s="24"/>
      <c r="AJ43" s="24"/>
      <c r="AK43" s="24"/>
      <c r="AL43" s="24"/>
      <c r="AM43" s="24"/>
      <c r="AN43" s="24"/>
      <c r="AO43" s="24"/>
      <c r="AP43" s="24"/>
      <c r="AQ43" s="24"/>
      <c r="AR43" s="24"/>
      <c r="AS43" s="25">
        <f t="shared" si="78"/>
        <v>0</v>
      </c>
      <c r="AU43" s="24"/>
      <c r="AV43" s="24"/>
      <c r="AW43" s="24"/>
      <c r="AX43" s="24"/>
      <c r="AY43" s="24"/>
      <c r="AZ43" s="24"/>
      <c r="BA43" s="24"/>
      <c r="BB43" s="24"/>
      <c r="BC43" s="24"/>
      <c r="BD43" s="24"/>
      <c r="BE43" s="24"/>
      <c r="BF43" s="24"/>
      <c r="BG43" s="25">
        <f t="shared" si="79"/>
        <v>0</v>
      </c>
      <c r="BI43" s="24"/>
      <c r="BJ43" s="24"/>
      <c r="BK43" s="24"/>
      <c r="BL43" s="24"/>
      <c r="BM43" s="24"/>
      <c r="BN43" s="24"/>
      <c r="BO43" s="24"/>
      <c r="BP43" s="24"/>
      <c r="BQ43" s="24"/>
      <c r="BR43" s="24"/>
      <c r="BS43" s="24"/>
      <c r="BT43" s="24"/>
      <c r="BU43" s="25">
        <f t="shared" si="80"/>
        <v>0</v>
      </c>
      <c r="BW43" s="24"/>
      <c r="BX43" s="24"/>
      <c r="BY43" s="24"/>
      <c r="BZ43" s="24"/>
      <c r="CA43" s="24"/>
      <c r="CB43" s="24"/>
      <c r="CC43" s="24"/>
      <c r="CD43" s="24"/>
      <c r="CE43" s="24"/>
      <c r="CF43" s="24"/>
      <c r="CG43" s="24"/>
      <c r="CH43" s="24"/>
      <c r="CI43" s="25">
        <f t="shared" si="81"/>
        <v>0</v>
      </c>
      <c r="CK43" s="24"/>
      <c r="CL43" s="24"/>
      <c r="CM43" s="24"/>
      <c r="CN43" s="24"/>
      <c r="CO43" s="24"/>
      <c r="CP43" s="24"/>
      <c r="CQ43" s="24"/>
      <c r="CR43" s="24"/>
      <c r="CS43" s="24"/>
      <c r="CT43" s="24"/>
      <c r="CU43" s="24"/>
      <c r="CV43" s="24"/>
      <c r="CW43" s="25">
        <f t="shared" si="82"/>
        <v>0</v>
      </c>
      <c r="CY43" s="24"/>
      <c r="CZ43" s="24"/>
      <c r="DA43" s="24"/>
      <c r="DB43" s="24"/>
      <c r="DC43" s="24"/>
      <c r="DD43" s="24"/>
      <c r="DE43" s="24"/>
      <c r="DF43" s="24"/>
      <c r="DG43" s="24"/>
      <c r="DH43" s="24"/>
      <c r="DI43" s="24"/>
      <c r="DJ43" s="24"/>
      <c r="DK43" s="25">
        <f t="shared" si="83"/>
        <v>0</v>
      </c>
      <c r="DM43" s="24"/>
      <c r="DN43" s="24"/>
      <c r="DO43" s="24"/>
      <c r="DP43" s="24"/>
      <c r="DQ43" s="24"/>
      <c r="DR43" s="24"/>
      <c r="DS43" s="24"/>
      <c r="DT43" s="24"/>
      <c r="DU43" s="24"/>
      <c r="DV43" s="24"/>
      <c r="DW43" s="24"/>
      <c r="DX43" s="24"/>
      <c r="DY43" s="25">
        <f t="shared" si="84"/>
        <v>0</v>
      </c>
      <c r="EA43" s="24"/>
      <c r="EB43" s="24"/>
      <c r="EC43" s="24"/>
      <c r="ED43" s="24"/>
      <c r="EE43" s="24"/>
      <c r="EF43" s="24"/>
      <c r="EG43" s="24"/>
      <c r="EH43" s="24"/>
      <c r="EI43" s="24"/>
      <c r="EJ43" s="24"/>
      <c r="EK43" s="24"/>
      <c r="EL43" s="24"/>
      <c r="EM43" s="25">
        <f t="shared" si="85"/>
        <v>0</v>
      </c>
      <c r="EO43" s="24"/>
      <c r="EP43" s="24"/>
      <c r="EQ43" s="24"/>
      <c r="ER43" s="24"/>
      <c r="ES43" s="24"/>
      <c r="ET43" s="24"/>
      <c r="EU43" s="24"/>
      <c r="EV43" s="24"/>
      <c r="EW43" s="24"/>
      <c r="EX43" s="24"/>
      <c r="EY43" s="24"/>
      <c r="EZ43" s="24"/>
      <c r="FA43" s="25">
        <f t="shared" si="86"/>
        <v>0</v>
      </c>
    </row>
    <row r="44" spans="3:157" hidden="1" x14ac:dyDescent="0.3">
      <c r="C44" s="22" t="s">
        <v>6</v>
      </c>
      <c r="D44" s="23"/>
      <c r="E44" s="24"/>
      <c r="F44" s="24"/>
      <c r="G44" s="24"/>
      <c r="H44" s="24"/>
      <c r="I44" s="24"/>
      <c r="J44" s="24"/>
      <c r="K44" s="24"/>
      <c r="L44" s="24"/>
      <c r="M44" s="24"/>
      <c r="N44" s="24"/>
      <c r="O44" s="24"/>
      <c r="P44" s="24"/>
      <c r="Q44" s="25">
        <f t="shared" si="76"/>
        <v>0</v>
      </c>
      <c r="S44" s="24"/>
      <c r="T44" s="24"/>
      <c r="U44" s="24"/>
      <c r="V44" s="24"/>
      <c r="W44" s="24"/>
      <c r="X44" s="24"/>
      <c r="Y44" s="24"/>
      <c r="Z44" s="24"/>
      <c r="AA44" s="24"/>
      <c r="AB44" s="24"/>
      <c r="AC44" s="24"/>
      <c r="AD44" s="24"/>
      <c r="AE44" s="25">
        <f t="shared" si="77"/>
        <v>0</v>
      </c>
      <c r="AG44" s="24"/>
      <c r="AH44" s="24"/>
      <c r="AI44" s="24"/>
      <c r="AJ44" s="24"/>
      <c r="AK44" s="24"/>
      <c r="AL44" s="24"/>
      <c r="AM44" s="24"/>
      <c r="AN44" s="24"/>
      <c r="AO44" s="24"/>
      <c r="AP44" s="24"/>
      <c r="AQ44" s="24"/>
      <c r="AR44" s="24"/>
      <c r="AS44" s="25">
        <f t="shared" si="78"/>
        <v>0</v>
      </c>
      <c r="AU44" s="24"/>
      <c r="AV44" s="24"/>
      <c r="AW44" s="24"/>
      <c r="AX44" s="24"/>
      <c r="AY44" s="24"/>
      <c r="AZ44" s="24"/>
      <c r="BA44" s="24"/>
      <c r="BB44" s="24"/>
      <c r="BC44" s="24"/>
      <c r="BD44" s="24"/>
      <c r="BE44" s="24"/>
      <c r="BF44" s="24"/>
      <c r="BG44" s="25">
        <f t="shared" si="79"/>
        <v>0</v>
      </c>
      <c r="BI44" s="24"/>
      <c r="BJ44" s="24"/>
      <c r="BK44" s="24"/>
      <c r="BL44" s="24"/>
      <c r="BM44" s="24"/>
      <c r="BN44" s="24"/>
      <c r="BO44" s="24"/>
      <c r="BP44" s="24"/>
      <c r="BQ44" s="24"/>
      <c r="BR44" s="24"/>
      <c r="BS44" s="24"/>
      <c r="BT44" s="24"/>
      <c r="BU44" s="25">
        <f t="shared" si="80"/>
        <v>0</v>
      </c>
      <c r="BW44" s="24"/>
      <c r="BX44" s="24"/>
      <c r="BY44" s="24"/>
      <c r="BZ44" s="24"/>
      <c r="CA44" s="24"/>
      <c r="CB44" s="24"/>
      <c r="CC44" s="24"/>
      <c r="CD44" s="24"/>
      <c r="CE44" s="24"/>
      <c r="CF44" s="24"/>
      <c r="CG44" s="24"/>
      <c r="CH44" s="24"/>
      <c r="CI44" s="25">
        <f t="shared" si="81"/>
        <v>0</v>
      </c>
      <c r="CK44" s="24"/>
      <c r="CL44" s="24"/>
      <c r="CM44" s="24"/>
      <c r="CN44" s="24"/>
      <c r="CO44" s="24"/>
      <c r="CP44" s="24"/>
      <c r="CQ44" s="24"/>
      <c r="CR44" s="24"/>
      <c r="CS44" s="24"/>
      <c r="CT44" s="24"/>
      <c r="CU44" s="24"/>
      <c r="CV44" s="24"/>
      <c r="CW44" s="25">
        <f t="shared" si="82"/>
        <v>0</v>
      </c>
      <c r="CY44" s="24"/>
      <c r="CZ44" s="24"/>
      <c r="DA44" s="24"/>
      <c r="DB44" s="24"/>
      <c r="DC44" s="24"/>
      <c r="DD44" s="24"/>
      <c r="DE44" s="24"/>
      <c r="DF44" s="24"/>
      <c r="DG44" s="24"/>
      <c r="DH44" s="24"/>
      <c r="DI44" s="24"/>
      <c r="DJ44" s="24"/>
      <c r="DK44" s="25">
        <f t="shared" si="83"/>
        <v>0</v>
      </c>
      <c r="DM44" s="24"/>
      <c r="DN44" s="24"/>
      <c r="DO44" s="24"/>
      <c r="DP44" s="24"/>
      <c r="DQ44" s="24"/>
      <c r="DR44" s="24"/>
      <c r="DS44" s="24"/>
      <c r="DT44" s="24"/>
      <c r="DU44" s="24"/>
      <c r="DV44" s="24"/>
      <c r="DW44" s="24"/>
      <c r="DX44" s="24"/>
      <c r="DY44" s="25">
        <f t="shared" si="84"/>
        <v>0</v>
      </c>
      <c r="EA44" s="24"/>
      <c r="EB44" s="24"/>
      <c r="EC44" s="24"/>
      <c r="ED44" s="24"/>
      <c r="EE44" s="24"/>
      <c r="EF44" s="24"/>
      <c r="EG44" s="24"/>
      <c r="EH44" s="24"/>
      <c r="EI44" s="24"/>
      <c r="EJ44" s="24"/>
      <c r="EK44" s="24"/>
      <c r="EL44" s="24"/>
      <c r="EM44" s="25">
        <f t="shared" si="85"/>
        <v>0</v>
      </c>
      <c r="EO44" s="24"/>
      <c r="EP44" s="24"/>
      <c r="EQ44" s="24"/>
      <c r="ER44" s="24"/>
      <c r="ES44" s="24"/>
      <c r="ET44" s="24"/>
      <c r="EU44" s="24"/>
      <c r="EV44" s="24"/>
      <c r="EW44" s="24"/>
      <c r="EX44" s="24"/>
      <c r="EY44" s="24"/>
      <c r="EZ44" s="24"/>
      <c r="FA44" s="25">
        <f t="shared" si="86"/>
        <v>0</v>
      </c>
    </row>
    <row r="45" spans="3:157" hidden="1" x14ac:dyDescent="0.3">
      <c r="C45" s="22" t="s">
        <v>6</v>
      </c>
      <c r="D45" s="23"/>
      <c r="E45" s="24"/>
      <c r="F45" s="24"/>
      <c r="G45" s="24"/>
      <c r="H45" s="24"/>
      <c r="I45" s="24"/>
      <c r="J45" s="24"/>
      <c r="K45" s="24"/>
      <c r="L45" s="24"/>
      <c r="M45" s="24"/>
      <c r="N45" s="24"/>
      <c r="O45" s="24"/>
      <c r="P45" s="24"/>
      <c r="Q45" s="25">
        <f t="shared" si="76"/>
        <v>0</v>
      </c>
      <c r="S45" s="24"/>
      <c r="T45" s="24"/>
      <c r="U45" s="24"/>
      <c r="V45" s="24"/>
      <c r="W45" s="24"/>
      <c r="X45" s="24"/>
      <c r="Y45" s="24"/>
      <c r="Z45" s="24"/>
      <c r="AA45" s="24"/>
      <c r="AB45" s="24"/>
      <c r="AC45" s="24"/>
      <c r="AD45" s="24"/>
      <c r="AE45" s="25">
        <f t="shared" si="77"/>
        <v>0</v>
      </c>
      <c r="AG45" s="24"/>
      <c r="AH45" s="24"/>
      <c r="AI45" s="24"/>
      <c r="AJ45" s="24"/>
      <c r="AK45" s="24"/>
      <c r="AL45" s="24"/>
      <c r="AM45" s="24"/>
      <c r="AN45" s="24"/>
      <c r="AO45" s="24"/>
      <c r="AP45" s="24"/>
      <c r="AQ45" s="24"/>
      <c r="AR45" s="24"/>
      <c r="AS45" s="25">
        <f t="shared" si="78"/>
        <v>0</v>
      </c>
      <c r="AU45" s="24"/>
      <c r="AV45" s="24"/>
      <c r="AW45" s="24"/>
      <c r="AX45" s="24"/>
      <c r="AY45" s="24"/>
      <c r="AZ45" s="24"/>
      <c r="BA45" s="24"/>
      <c r="BB45" s="24"/>
      <c r="BC45" s="24"/>
      <c r="BD45" s="24"/>
      <c r="BE45" s="24"/>
      <c r="BF45" s="24"/>
      <c r="BG45" s="25">
        <f t="shared" si="79"/>
        <v>0</v>
      </c>
      <c r="BI45" s="24"/>
      <c r="BJ45" s="24"/>
      <c r="BK45" s="24"/>
      <c r="BL45" s="24"/>
      <c r="BM45" s="24"/>
      <c r="BN45" s="24"/>
      <c r="BO45" s="24"/>
      <c r="BP45" s="24"/>
      <c r="BQ45" s="24"/>
      <c r="BR45" s="24"/>
      <c r="BS45" s="24"/>
      <c r="BT45" s="24"/>
      <c r="BU45" s="25">
        <f t="shared" si="80"/>
        <v>0</v>
      </c>
      <c r="BW45" s="24"/>
      <c r="BX45" s="24"/>
      <c r="BY45" s="24"/>
      <c r="BZ45" s="24"/>
      <c r="CA45" s="24"/>
      <c r="CB45" s="24"/>
      <c r="CC45" s="24"/>
      <c r="CD45" s="24"/>
      <c r="CE45" s="24"/>
      <c r="CF45" s="24"/>
      <c r="CG45" s="24"/>
      <c r="CH45" s="24"/>
      <c r="CI45" s="25">
        <f t="shared" si="81"/>
        <v>0</v>
      </c>
      <c r="CK45" s="24"/>
      <c r="CL45" s="24"/>
      <c r="CM45" s="24"/>
      <c r="CN45" s="24"/>
      <c r="CO45" s="24"/>
      <c r="CP45" s="24"/>
      <c r="CQ45" s="24"/>
      <c r="CR45" s="24"/>
      <c r="CS45" s="24"/>
      <c r="CT45" s="24"/>
      <c r="CU45" s="24"/>
      <c r="CV45" s="24"/>
      <c r="CW45" s="25">
        <f t="shared" si="82"/>
        <v>0</v>
      </c>
      <c r="CY45" s="24"/>
      <c r="CZ45" s="24"/>
      <c r="DA45" s="24"/>
      <c r="DB45" s="24"/>
      <c r="DC45" s="24"/>
      <c r="DD45" s="24"/>
      <c r="DE45" s="24"/>
      <c r="DF45" s="24"/>
      <c r="DG45" s="24"/>
      <c r="DH45" s="24"/>
      <c r="DI45" s="24"/>
      <c r="DJ45" s="24"/>
      <c r="DK45" s="25">
        <f t="shared" si="83"/>
        <v>0</v>
      </c>
      <c r="DM45" s="24"/>
      <c r="DN45" s="24"/>
      <c r="DO45" s="24"/>
      <c r="DP45" s="24"/>
      <c r="DQ45" s="24"/>
      <c r="DR45" s="24"/>
      <c r="DS45" s="24"/>
      <c r="DT45" s="24"/>
      <c r="DU45" s="24"/>
      <c r="DV45" s="24"/>
      <c r="DW45" s="24"/>
      <c r="DX45" s="24"/>
      <c r="DY45" s="25">
        <f t="shared" si="84"/>
        <v>0</v>
      </c>
      <c r="EA45" s="24"/>
      <c r="EB45" s="24"/>
      <c r="EC45" s="24"/>
      <c r="ED45" s="24"/>
      <c r="EE45" s="24"/>
      <c r="EF45" s="24"/>
      <c r="EG45" s="24"/>
      <c r="EH45" s="24"/>
      <c r="EI45" s="24"/>
      <c r="EJ45" s="24"/>
      <c r="EK45" s="24"/>
      <c r="EL45" s="24"/>
      <c r="EM45" s="25">
        <f t="shared" si="85"/>
        <v>0</v>
      </c>
      <c r="EO45" s="24"/>
      <c r="EP45" s="24"/>
      <c r="EQ45" s="24"/>
      <c r="ER45" s="24"/>
      <c r="ES45" s="24"/>
      <c r="ET45" s="24"/>
      <c r="EU45" s="24"/>
      <c r="EV45" s="24"/>
      <c r="EW45" s="24"/>
      <c r="EX45" s="24"/>
      <c r="EY45" s="24"/>
      <c r="EZ45" s="24"/>
      <c r="FA45" s="25">
        <f t="shared" si="86"/>
        <v>0</v>
      </c>
    </row>
    <row r="46" spans="3:157" hidden="1" x14ac:dyDescent="0.3">
      <c r="C46" s="22" t="s">
        <v>6</v>
      </c>
      <c r="D46" s="23"/>
      <c r="E46" s="24"/>
      <c r="F46" s="24"/>
      <c r="G46" s="24"/>
      <c r="H46" s="24"/>
      <c r="I46" s="24"/>
      <c r="J46" s="24"/>
      <c r="K46" s="24"/>
      <c r="L46" s="24"/>
      <c r="M46" s="24"/>
      <c r="N46" s="24"/>
      <c r="O46" s="24"/>
      <c r="P46" s="24"/>
      <c r="Q46" s="25">
        <f t="shared" si="76"/>
        <v>0</v>
      </c>
      <c r="S46" s="24"/>
      <c r="T46" s="24"/>
      <c r="U46" s="24"/>
      <c r="V46" s="24"/>
      <c r="W46" s="24"/>
      <c r="X46" s="24"/>
      <c r="Y46" s="24"/>
      <c r="Z46" s="24"/>
      <c r="AA46" s="24"/>
      <c r="AB46" s="24"/>
      <c r="AC46" s="24"/>
      <c r="AD46" s="24"/>
      <c r="AE46" s="25">
        <f t="shared" si="77"/>
        <v>0</v>
      </c>
      <c r="AG46" s="24"/>
      <c r="AH46" s="24"/>
      <c r="AI46" s="24"/>
      <c r="AJ46" s="24"/>
      <c r="AK46" s="24"/>
      <c r="AL46" s="24"/>
      <c r="AM46" s="24"/>
      <c r="AN46" s="24"/>
      <c r="AO46" s="24"/>
      <c r="AP46" s="24"/>
      <c r="AQ46" s="24"/>
      <c r="AR46" s="24"/>
      <c r="AS46" s="25">
        <f t="shared" si="78"/>
        <v>0</v>
      </c>
      <c r="AU46" s="24"/>
      <c r="AV46" s="24"/>
      <c r="AW46" s="24"/>
      <c r="AX46" s="24"/>
      <c r="AY46" s="24"/>
      <c r="AZ46" s="24"/>
      <c r="BA46" s="24"/>
      <c r="BB46" s="24"/>
      <c r="BC46" s="24"/>
      <c r="BD46" s="24"/>
      <c r="BE46" s="24"/>
      <c r="BF46" s="24"/>
      <c r="BG46" s="25">
        <f t="shared" si="79"/>
        <v>0</v>
      </c>
      <c r="BI46" s="24"/>
      <c r="BJ46" s="24"/>
      <c r="BK46" s="24"/>
      <c r="BL46" s="24"/>
      <c r="BM46" s="24"/>
      <c r="BN46" s="24"/>
      <c r="BO46" s="24"/>
      <c r="BP46" s="24"/>
      <c r="BQ46" s="24"/>
      <c r="BR46" s="24"/>
      <c r="BS46" s="24"/>
      <c r="BT46" s="24"/>
      <c r="BU46" s="25">
        <f t="shared" si="80"/>
        <v>0</v>
      </c>
      <c r="BW46" s="24"/>
      <c r="BX46" s="24"/>
      <c r="BY46" s="24"/>
      <c r="BZ46" s="24"/>
      <c r="CA46" s="24"/>
      <c r="CB46" s="24"/>
      <c r="CC46" s="24"/>
      <c r="CD46" s="24"/>
      <c r="CE46" s="24"/>
      <c r="CF46" s="24"/>
      <c r="CG46" s="24"/>
      <c r="CH46" s="24"/>
      <c r="CI46" s="25">
        <f t="shared" si="81"/>
        <v>0</v>
      </c>
      <c r="CK46" s="24"/>
      <c r="CL46" s="24"/>
      <c r="CM46" s="24"/>
      <c r="CN46" s="24"/>
      <c r="CO46" s="24"/>
      <c r="CP46" s="24"/>
      <c r="CQ46" s="24"/>
      <c r="CR46" s="24"/>
      <c r="CS46" s="24"/>
      <c r="CT46" s="24"/>
      <c r="CU46" s="24"/>
      <c r="CV46" s="24"/>
      <c r="CW46" s="25">
        <f t="shared" si="82"/>
        <v>0</v>
      </c>
      <c r="CY46" s="24"/>
      <c r="CZ46" s="24"/>
      <c r="DA46" s="24"/>
      <c r="DB46" s="24"/>
      <c r="DC46" s="24"/>
      <c r="DD46" s="24"/>
      <c r="DE46" s="24"/>
      <c r="DF46" s="24"/>
      <c r="DG46" s="24"/>
      <c r="DH46" s="24"/>
      <c r="DI46" s="24"/>
      <c r="DJ46" s="24"/>
      <c r="DK46" s="25">
        <f t="shared" si="83"/>
        <v>0</v>
      </c>
      <c r="DM46" s="24"/>
      <c r="DN46" s="24"/>
      <c r="DO46" s="24"/>
      <c r="DP46" s="24"/>
      <c r="DQ46" s="24"/>
      <c r="DR46" s="24"/>
      <c r="DS46" s="24"/>
      <c r="DT46" s="24"/>
      <c r="DU46" s="24"/>
      <c r="DV46" s="24"/>
      <c r="DW46" s="24"/>
      <c r="DX46" s="24"/>
      <c r="DY46" s="25">
        <f t="shared" si="84"/>
        <v>0</v>
      </c>
      <c r="EA46" s="24"/>
      <c r="EB46" s="24"/>
      <c r="EC46" s="24"/>
      <c r="ED46" s="24"/>
      <c r="EE46" s="24"/>
      <c r="EF46" s="24"/>
      <c r="EG46" s="24"/>
      <c r="EH46" s="24"/>
      <c r="EI46" s="24"/>
      <c r="EJ46" s="24"/>
      <c r="EK46" s="24"/>
      <c r="EL46" s="24"/>
      <c r="EM46" s="25">
        <f t="shared" si="85"/>
        <v>0</v>
      </c>
      <c r="EO46" s="24"/>
      <c r="EP46" s="24"/>
      <c r="EQ46" s="24"/>
      <c r="ER46" s="24"/>
      <c r="ES46" s="24"/>
      <c r="ET46" s="24"/>
      <c r="EU46" s="24"/>
      <c r="EV46" s="24"/>
      <c r="EW46" s="24"/>
      <c r="EX46" s="24"/>
      <c r="EY46" s="24"/>
      <c r="EZ46" s="24"/>
      <c r="FA46" s="25">
        <f t="shared" si="86"/>
        <v>0</v>
      </c>
    </row>
    <row r="47" spans="3:157" hidden="1" x14ac:dyDescent="0.3">
      <c r="C47" s="22" t="s">
        <v>6</v>
      </c>
      <c r="D47" s="23"/>
      <c r="E47" s="24"/>
      <c r="F47" s="24"/>
      <c r="G47" s="24"/>
      <c r="H47" s="24"/>
      <c r="I47" s="24"/>
      <c r="J47" s="24"/>
      <c r="K47" s="24"/>
      <c r="L47" s="24"/>
      <c r="M47" s="24"/>
      <c r="N47" s="24"/>
      <c r="O47" s="24"/>
      <c r="P47" s="24"/>
      <c r="Q47" s="25">
        <f t="shared" si="76"/>
        <v>0</v>
      </c>
      <c r="S47" s="24"/>
      <c r="T47" s="24"/>
      <c r="U47" s="24"/>
      <c r="V47" s="24"/>
      <c r="W47" s="24"/>
      <c r="X47" s="24"/>
      <c r="Y47" s="24"/>
      <c r="Z47" s="24"/>
      <c r="AA47" s="24"/>
      <c r="AB47" s="24"/>
      <c r="AC47" s="24"/>
      <c r="AD47" s="24"/>
      <c r="AE47" s="25">
        <f t="shared" si="77"/>
        <v>0</v>
      </c>
      <c r="AG47" s="24"/>
      <c r="AH47" s="24"/>
      <c r="AI47" s="24"/>
      <c r="AJ47" s="24"/>
      <c r="AK47" s="24"/>
      <c r="AL47" s="24"/>
      <c r="AM47" s="24"/>
      <c r="AN47" s="24"/>
      <c r="AO47" s="24"/>
      <c r="AP47" s="24"/>
      <c r="AQ47" s="24"/>
      <c r="AR47" s="24"/>
      <c r="AS47" s="25">
        <f t="shared" si="78"/>
        <v>0</v>
      </c>
      <c r="AU47" s="24"/>
      <c r="AV47" s="24"/>
      <c r="AW47" s="24"/>
      <c r="AX47" s="24"/>
      <c r="AY47" s="24"/>
      <c r="AZ47" s="24"/>
      <c r="BA47" s="24"/>
      <c r="BB47" s="24"/>
      <c r="BC47" s="24"/>
      <c r="BD47" s="24"/>
      <c r="BE47" s="24"/>
      <c r="BF47" s="24"/>
      <c r="BG47" s="25">
        <f t="shared" si="79"/>
        <v>0</v>
      </c>
      <c r="BI47" s="24"/>
      <c r="BJ47" s="24"/>
      <c r="BK47" s="24"/>
      <c r="BL47" s="24"/>
      <c r="BM47" s="24"/>
      <c r="BN47" s="24"/>
      <c r="BO47" s="24"/>
      <c r="BP47" s="24"/>
      <c r="BQ47" s="24"/>
      <c r="BR47" s="24"/>
      <c r="BS47" s="24"/>
      <c r="BT47" s="24"/>
      <c r="BU47" s="25">
        <f t="shared" si="80"/>
        <v>0</v>
      </c>
      <c r="BW47" s="24"/>
      <c r="BX47" s="24"/>
      <c r="BY47" s="24"/>
      <c r="BZ47" s="24"/>
      <c r="CA47" s="24"/>
      <c r="CB47" s="24"/>
      <c r="CC47" s="24"/>
      <c r="CD47" s="24"/>
      <c r="CE47" s="24"/>
      <c r="CF47" s="24"/>
      <c r="CG47" s="24"/>
      <c r="CH47" s="24"/>
      <c r="CI47" s="25">
        <f t="shared" si="81"/>
        <v>0</v>
      </c>
      <c r="CK47" s="24"/>
      <c r="CL47" s="24"/>
      <c r="CM47" s="24"/>
      <c r="CN47" s="24"/>
      <c r="CO47" s="24"/>
      <c r="CP47" s="24"/>
      <c r="CQ47" s="24"/>
      <c r="CR47" s="24"/>
      <c r="CS47" s="24"/>
      <c r="CT47" s="24"/>
      <c r="CU47" s="24"/>
      <c r="CV47" s="24"/>
      <c r="CW47" s="25">
        <f t="shared" si="82"/>
        <v>0</v>
      </c>
      <c r="CY47" s="24"/>
      <c r="CZ47" s="24"/>
      <c r="DA47" s="24"/>
      <c r="DB47" s="24"/>
      <c r="DC47" s="24"/>
      <c r="DD47" s="24"/>
      <c r="DE47" s="24"/>
      <c r="DF47" s="24"/>
      <c r="DG47" s="24"/>
      <c r="DH47" s="24"/>
      <c r="DI47" s="24"/>
      <c r="DJ47" s="24"/>
      <c r="DK47" s="25">
        <f t="shared" si="83"/>
        <v>0</v>
      </c>
      <c r="DM47" s="24"/>
      <c r="DN47" s="24"/>
      <c r="DO47" s="24"/>
      <c r="DP47" s="24"/>
      <c r="DQ47" s="24"/>
      <c r="DR47" s="24"/>
      <c r="DS47" s="24"/>
      <c r="DT47" s="24"/>
      <c r="DU47" s="24"/>
      <c r="DV47" s="24"/>
      <c r="DW47" s="24"/>
      <c r="DX47" s="24"/>
      <c r="DY47" s="25">
        <f t="shared" si="84"/>
        <v>0</v>
      </c>
      <c r="EA47" s="24"/>
      <c r="EB47" s="24"/>
      <c r="EC47" s="24"/>
      <c r="ED47" s="24"/>
      <c r="EE47" s="24"/>
      <c r="EF47" s="24"/>
      <c r="EG47" s="24"/>
      <c r="EH47" s="24"/>
      <c r="EI47" s="24"/>
      <c r="EJ47" s="24"/>
      <c r="EK47" s="24"/>
      <c r="EL47" s="24"/>
      <c r="EM47" s="25">
        <f t="shared" si="85"/>
        <v>0</v>
      </c>
      <c r="EO47" s="24"/>
      <c r="EP47" s="24"/>
      <c r="EQ47" s="24"/>
      <c r="ER47" s="24"/>
      <c r="ES47" s="24"/>
      <c r="ET47" s="24"/>
      <c r="EU47" s="24"/>
      <c r="EV47" s="24"/>
      <c r="EW47" s="24"/>
      <c r="EX47" s="24"/>
      <c r="EY47" s="24"/>
      <c r="EZ47" s="24"/>
      <c r="FA47" s="25">
        <f t="shared" si="86"/>
        <v>0</v>
      </c>
    </row>
    <row r="48" spans="3:157" x14ac:dyDescent="0.3">
      <c r="C48" s="34" t="s">
        <v>7</v>
      </c>
      <c r="E48" s="26" cm="1">
        <f t="array" aca="1" ref="E48" ca="1">SUM(INDIRECT(ADDRESS(Ahorros_min_fila,COLUMN()) &amp; ":" &amp; ADDRESS(Ahorros_max_fila,COLUMN())))</f>
        <v>0</v>
      </c>
      <c r="F48" s="26" cm="1">
        <f t="array" aca="1" ref="F48" ca="1">SUM(INDIRECT(ADDRESS(Ahorros_min_fila,COLUMN()) &amp; ":" &amp; ADDRESS(Ahorros_max_fila,COLUMN())))</f>
        <v>0</v>
      </c>
      <c r="G48" s="26" cm="1">
        <f t="array" aca="1" ref="G48" ca="1">SUM(INDIRECT(ADDRESS(Ahorros_min_fila,COLUMN()) &amp; ":" &amp; ADDRESS(Ahorros_max_fila,COLUMN())))</f>
        <v>0</v>
      </c>
      <c r="H48" s="26" cm="1">
        <f t="array" aca="1" ref="H48" ca="1">SUM(INDIRECT(ADDRESS(Ahorros_min_fila,COLUMN()) &amp; ":" &amp; ADDRESS(Ahorros_max_fila,COLUMN())))</f>
        <v>0</v>
      </c>
      <c r="I48" s="26" cm="1">
        <f t="array" aca="1" ref="I48" ca="1">SUM(INDIRECT(ADDRESS(Ahorros_min_fila,COLUMN()) &amp; ":" &amp; ADDRESS(Ahorros_max_fila,COLUMN())))</f>
        <v>0</v>
      </c>
      <c r="J48" s="26" cm="1">
        <f t="array" aca="1" ref="J48" ca="1">SUM(INDIRECT(ADDRESS(Ahorros_min_fila,COLUMN()) &amp; ":" &amp; ADDRESS(Ahorros_max_fila,COLUMN())))</f>
        <v>0</v>
      </c>
      <c r="K48" s="26" cm="1">
        <f t="array" aca="1" ref="K48" ca="1">SUM(INDIRECT(ADDRESS(Ahorros_min_fila,COLUMN()) &amp; ":" &amp; ADDRESS(Ahorros_max_fila,COLUMN())))</f>
        <v>0</v>
      </c>
      <c r="L48" s="26" cm="1">
        <f t="array" aca="1" ref="L48" ca="1">SUM(INDIRECT(ADDRESS(Ahorros_min_fila,COLUMN()) &amp; ":" &amp; ADDRESS(Ahorros_max_fila,COLUMN())))</f>
        <v>0</v>
      </c>
      <c r="M48" s="26" cm="1">
        <f t="array" aca="1" ref="M48" ca="1">SUM(INDIRECT(ADDRESS(Ahorros_min_fila,COLUMN()) &amp; ":" &amp; ADDRESS(Ahorros_max_fila,COLUMN())))</f>
        <v>0</v>
      </c>
      <c r="N48" s="26" cm="1">
        <f t="array" aca="1" ref="N48" ca="1">SUM(INDIRECT(ADDRESS(Ahorros_min_fila,COLUMN()) &amp; ":" &amp; ADDRESS(Ahorros_max_fila,COLUMN())))</f>
        <v>0</v>
      </c>
      <c r="O48" s="26" cm="1">
        <f t="array" aca="1" ref="O48" ca="1">SUM(INDIRECT(ADDRESS(Ahorros_min_fila,COLUMN()) &amp; ":" &amp; ADDRESS(Ahorros_max_fila,COLUMN())))</f>
        <v>0</v>
      </c>
      <c r="P48" s="26" cm="1">
        <f t="array" aca="1" ref="P48" ca="1">SUM(INDIRECT(ADDRESS(Ahorros_min_fila,COLUMN()) &amp; ":" &amp; ADDRESS(Ahorros_max_fila,COLUMN())))</f>
        <v>0</v>
      </c>
      <c r="Q48" s="26" cm="1">
        <f t="array" aca="1" ref="Q48" ca="1">SUM(INDIRECT(ADDRESS(Ahorros_min_fila,COLUMN()) &amp; ":" &amp; ADDRESS(Ahorros_max_fila,COLUMN())))</f>
        <v>0</v>
      </c>
      <c r="S48" s="26" cm="1">
        <f t="array" aca="1" ref="S48" ca="1">SUM(INDIRECT(ADDRESS(Ahorros_min_fila,COLUMN()) &amp; ":" &amp; ADDRESS(Ahorros_max_fila,COLUMN())))</f>
        <v>0</v>
      </c>
      <c r="T48" s="26" cm="1">
        <f t="array" aca="1" ref="T48" ca="1">SUM(INDIRECT(ADDRESS(Ahorros_min_fila,COLUMN()) &amp; ":" &amp; ADDRESS(Ahorros_max_fila,COLUMN())))</f>
        <v>0</v>
      </c>
      <c r="U48" s="26" cm="1">
        <f t="array" aca="1" ref="U48" ca="1">SUM(INDIRECT(ADDRESS(Ahorros_min_fila,COLUMN()) &amp; ":" &amp; ADDRESS(Ahorros_max_fila,COLUMN())))</f>
        <v>0</v>
      </c>
      <c r="V48" s="26" cm="1">
        <f t="array" aca="1" ref="V48" ca="1">SUM(INDIRECT(ADDRESS(Ahorros_min_fila,COLUMN()) &amp; ":" &amp; ADDRESS(Ahorros_max_fila,COLUMN())))</f>
        <v>0</v>
      </c>
      <c r="W48" s="26" cm="1">
        <f t="array" aca="1" ref="W48" ca="1">SUM(INDIRECT(ADDRESS(Ahorros_min_fila,COLUMN()) &amp; ":" &amp; ADDRESS(Ahorros_max_fila,COLUMN())))</f>
        <v>0</v>
      </c>
      <c r="X48" s="26" cm="1">
        <f t="array" aca="1" ref="X48" ca="1">SUM(INDIRECT(ADDRESS(Ahorros_min_fila,COLUMN()) &amp; ":" &amp; ADDRESS(Ahorros_max_fila,COLUMN())))</f>
        <v>0</v>
      </c>
      <c r="Y48" s="26" cm="1">
        <f t="array" aca="1" ref="Y48" ca="1">SUM(INDIRECT(ADDRESS(Ahorros_min_fila,COLUMN()) &amp; ":" &amp; ADDRESS(Ahorros_max_fila,COLUMN())))</f>
        <v>0</v>
      </c>
      <c r="Z48" s="26" cm="1">
        <f t="array" aca="1" ref="Z48" ca="1">SUM(INDIRECT(ADDRESS(Ahorros_min_fila,COLUMN()) &amp; ":" &amp; ADDRESS(Ahorros_max_fila,COLUMN())))</f>
        <v>0</v>
      </c>
      <c r="AA48" s="26" cm="1">
        <f t="array" aca="1" ref="AA48" ca="1">SUM(INDIRECT(ADDRESS(Ahorros_min_fila,COLUMN()) &amp; ":" &amp; ADDRESS(Ahorros_max_fila,COLUMN())))</f>
        <v>0</v>
      </c>
      <c r="AB48" s="26" cm="1">
        <f t="array" aca="1" ref="AB48" ca="1">SUM(INDIRECT(ADDRESS(Ahorros_min_fila,COLUMN()) &amp; ":" &amp; ADDRESS(Ahorros_max_fila,COLUMN())))</f>
        <v>0</v>
      </c>
      <c r="AC48" s="26" cm="1">
        <f t="array" aca="1" ref="AC48" ca="1">SUM(INDIRECT(ADDRESS(Ahorros_min_fila,COLUMN()) &amp; ":" &amp; ADDRESS(Ahorros_max_fila,COLUMN())))</f>
        <v>0</v>
      </c>
      <c r="AD48" s="26" cm="1">
        <f t="array" aca="1" ref="AD48" ca="1">SUM(INDIRECT(ADDRESS(Ahorros_min_fila,COLUMN()) &amp; ":" &amp; ADDRESS(Ahorros_max_fila,COLUMN())))</f>
        <v>0</v>
      </c>
      <c r="AE48" s="26" cm="1">
        <f t="array" aca="1" ref="AE48" ca="1">SUM(INDIRECT(ADDRESS(Ahorros_min_fila,COLUMN()) &amp; ":" &amp; ADDRESS(Ahorros_max_fila,COLUMN())))</f>
        <v>0</v>
      </c>
      <c r="AG48" s="26" cm="1">
        <f t="array" aca="1" ref="AG48" ca="1">SUM(INDIRECT(ADDRESS(Ahorros_min_fila,COLUMN()) &amp; ":" &amp; ADDRESS(Ahorros_max_fila,COLUMN())))</f>
        <v>0</v>
      </c>
      <c r="AH48" s="26" cm="1">
        <f t="array" aca="1" ref="AH48" ca="1">SUM(INDIRECT(ADDRESS(Ahorros_min_fila,COLUMN()) &amp; ":" &amp; ADDRESS(Ahorros_max_fila,COLUMN())))</f>
        <v>0</v>
      </c>
      <c r="AI48" s="26" cm="1">
        <f t="array" aca="1" ref="AI48" ca="1">SUM(INDIRECT(ADDRESS(Ahorros_min_fila,COLUMN()) &amp; ":" &amp; ADDRESS(Ahorros_max_fila,COLUMN())))</f>
        <v>0</v>
      </c>
      <c r="AJ48" s="26" cm="1">
        <f t="array" aca="1" ref="AJ48" ca="1">SUM(INDIRECT(ADDRESS(Ahorros_min_fila,COLUMN()) &amp; ":" &amp; ADDRESS(Ahorros_max_fila,COLUMN())))</f>
        <v>0</v>
      </c>
      <c r="AK48" s="26" cm="1">
        <f t="array" aca="1" ref="AK48" ca="1">SUM(INDIRECT(ADDRESS(Ahorros_min_fila,COLUMN()) &amp; ":" &amp; ADDRESS(Ahorros_max_fila,COLUMN())))</f>
        <v>0</v>
      </c>
      <c r="AL48" s="26" cm="1">
        <f t="array" aca="1" ref="AL48" ca="1">SUM(INDIRECT(ADDRESS(Ahorros_min_fila,COLUMN()) &amp; ":" &amp; ADDRESS(Ahorros_max_fila,COLUMN())))</f>
        <v>0</v>
      </c>
      <c r="AM48" s="26" cm="1">
        <f t="array" aca="1" ref="AM48" ca="1">SUM(INDIRECT(ADDRESS(Ahorros_min_fila,COLUMN()) &amp; ":" &amp; ADDRESS(Ahorros_max_fila,COLUMN())))</f>
        <v>0</v>
      </c>
      <c r="AN48" s="26" cm="1">
        <f t="array" aca="1" ref="AN48" ca="1">SUM(INDIRECT(ADDRESS(Ahorros_min_fila,COLUMN()) &amp; ":" &amp; ADDRESS(Ahorros_max_fila,COLUMN())))</f>
        <v>0</v>
      </c>
      <c r="AO48" s="26" cm="1">
        <f t="array" aca="1" ref="AO48" ca="1">SUM(INDIRECT(ADDRESS(Ahorros_min_fila,COLUMN()) &amp; ":" &amp; ADDRESS(Ahorros_max_fila,COLUMN())))</f>
        <v>0</v>
      </c>
      <c r="AP48" s="26" cm="1">
        <f t="array" aca="1" ref="AP48" ca="1">SUM(INDIRECT(ADDRESS(Ahorros_min_fila,COLUMN()) &amp; ":" &amp; ADDRESS(Ahorros_max_fila,COLUMN())))</f>
        <v>0</v>
      </c>
      <c r="AQ48" s="26" cm="1">
        <f t="array" aca="1" ref="AQ48" ca="1">SUM(INDIRECT(ADDRESS(Ahorros_min_fila,COLUMN()) &amp; ":" &amp; ADDRESS(Ahorros_max_fila,COLUMN())))</f>
        <v>0</v>
      </c>
      <c r="AR48" s="26" cm="1">
        <f t="array" aca="1" ref="AR48" ca="1">SUM(INDIRECT(ADDRESS(Ahorros_min_fila,COLUMN()) &amp; ":" &amp; ADDRESS(Ahorros_max_fila,COLUMN())))</f>
        <v>0</v>
      </c>
      <c r="AS48" s="26" cm="1">
        <f t="array" aca="1" ref="AS48" ca="1">SUM(INDIRECT(ADDRESS(Ahorros_min_fila,COLUMN()) &amp; ":" &amp; ADDRESS(Ahorros_max_fila,COLUMN())))</f>
        <v>0</v>
      </c>
      <c r="AU48" s="26" cm="1">
        <f t="array" aca="1" ref="AU48" ca="1">SUM(INDIRECT(ADDRESS(Ahorros_min_fila,COLUMN()) &amp; ":" &amp; ADDRESS(Ahorros_max_fila,COLUMN())))</f>
        <v>0</v>
      </c>
      <c r="AV48" s="26" cm="1">
        <f t="array" aca="1" ref="AV48" ca="1">SUM(INDIRECT(ADDRESS(Ahorros_min_fila,COLUMN()) &amp; ":" &amp; ADDRESS(Ahorros_max_fila,COLUMN())))</f>
        <v>0</v>
      </c>
      <c r="AW48" s="26" cm="1">
        <f t="array" aca="1" ref="AW48" ca="1">SUM(INDIRECT(ADDRESS(Ahorros_min_fila,COLUMN()) &amp; ":" &amp; ADDRESS(Ahorros_max_fila,COLUMN())))</f>
        <v>0</v>
      </c>
      <c r="AX48" s="26" cm="1">
        <f t="array" aca="1" ref="AX48" ca="1">SUM(INDIRECT(ADDRESS(Ahorros_min_fila,COLUMN()) &amp; ":" &amp; ADDRESS(Ahorros_max_fila,COLUMN())))</f>
        <v>0</v>
      </c>
      <c r="AY48" s="26" cm="1">
        <f t="array" aca="1" ref="AY48" ca="1">SUM(INDIRECT(ADDRESS(Ahorros_min_fila,COLUMN()) &amp; ":" &amp; ADDRESS(Ahorros_max_fila,COLUMN())))</f>
        <v>0</v>
      </c>
      <c r="AZ48" s="26" cm="1">
        <f t="array" aca="1" ref="AZ48" ca="1">SUM(INDIRECT(ADDRESS(Ahorros_min_fila,COLUMN()) &amp; ":" &amp; ADDRESS(Ahorros_max_fila,COLUMN())))</f>
        <v>0</v>
      </c>
      <c r="BA48" s="26" cm="1">
        <f t="array" aca="1" ref="BA48" ca="1">SUM(INDIRECT(ADDRESS(Ahorros_min_fila,COLUMN()) &amp; ":" &amp; ADDRESS(Ahorros_max_fila,COLUMN())))</f>
        <v>0</v>
      </c>
      <c r="BB48" s="26" cm="1">
        <f t="array" aca="1" ref="BB48" ca="1">SUM(INDIRECT(ADDRESS(Ahorros_min_fila,COLUMN()) &amp; ":" &amp; ADDRESS(Ahorros_max_fila,COLUMN())))</f>
        <v>0</v>
      </c>
      <c r="BC48" s="26" cm="1">
        <f t="array" aca="1" ref="BC48" ca="1">SUM(INDIRECT(ADDRESS(Ahorros_min_fila,COLUMN()) &amp; ":" &amp; ADDRESS(Ahorros_max_fila,COLUMN())))</f>
        <v>0</v>
      </c>
      <c r="BD48" s="26" cm="1">
        <f t="array" aca="1" ref="BD48" ca="1">SUM(INDIRECT(ADDRESS(Ahorros_min_fila,COLUMN()) &amp; ":" &amp; ADDRESS(Ahorros_max_fila,COLUMN())))</f>
        <v>0</v>
      </c>
      <c r="BE48" s="26" cm="1">
        <f t="array" aca="1" ref="BE48" ca="1">SUM(INDIRECT(ADDRESS(Ahorros_min_fila,COLUMN()) &amp; ":" &amp; ADDRESS(Ahorros_max_fila,COLUMN())))</f>
        <v>0</v>
      </c>
      <c r="BF48" s="26" cm="1">
        <f t="array" aca="1" ref="BF48" ca="1">SUM(INDIRECT(ADDRESS(Ahorros_min_fila,COLUMN()) &amp; ":" &amp; ADDRESS(Ahorros_max_fila,COLUMN())))</f>
        <v>0</v>
      </c>
      <c r="BG48" s="26" cm="1">
        <f t="array" aca="1" ref="BG48" ca="1">SUM(INDIRECT(ADDRESS(Ahorros_min_fila,COLUMN()) &amp; ":" &amp; ADDRESS(Ahorros_max_fila,COLUMN())))</f>
        <v>0</v>
      </c>
      <c r="BI48" s="26" cm="1">
        <f t="array" aca="1" ref="BI48" ca="1">SUM(INDIRECT(ADDRESS(Ahorros_min_fila,COLUMN()) &amp; ":" &amp; ADDRESS(Ahorros_max_fila,COLUMN())))</f>
        <v>0</v>
      </c>
      <c r="BJ48" s="26" cm="1">
        <f t="array" aca="1" ref="BJ48" ca="1">SUM(INDIRECT(ADDRESS(Ahorros_min_fila,COLUMN()) &amp; ":" &amp; ADDRESS(Ahorros_max_fila,COLUMN())))</f>
        <v>0</v>
      </c>
      <c r="BK48" s="26" cm="1">
        <f t="array" aca="1" ref="BK48" ca="1">SUM(INDIRECT(ADDRESS(Ahorros_min_fila,COLUMN()) &amp; ":" &amp; ADDRESS(Ahorros_max_fila,COLUMN())))</f>
        <v>0</v>
      </c>
      <c r="BL48" s="26" cm="1">
        <f t="array" aca="1" ref="BL48" ca="1">SUM(INDIRECT(ADDRESS(Ahorros_min_fila,COLUMN()) &amp; ":" &amp; ADDRESS(Ahorros_max_fila,COLUMN())))</f>
        <v>0</v>
      </c>
      <c r="BM48" s="26" cm="1">
        <f t="array" aca="1" ref="BM48" ca="1">SUM(INDIRECT(ADDRESS(Ahorros_min_fila,COLUMN()) &amp; ":" &amp; ADDRESS(Ahorros_max_fila,COLUMN())))</f>
        <v>0</v>
      </c>
      <c r="BN48" s="26" cm="1">
        <f t="array" aca="1" ref="BN48" ca="1">SUM(INDIRECT(ADDRESS(Ahorros_min_fila,COLUMN()) &amp; ":" &amp; ADDRESS(Ahorros_max_fila,COLUMN())))</f>
        <v>0</v>
      </c>
      <c r="BO48" s="26" cm="1">
        <f t="array" aca="1" ref="BO48" ca="1">SUM(INDIRECT(ADDRESS(Ahorros_min_fila,COLUMN()) &amp; ":" &amp; ADDRESS(Ahorros_max_fila,COLUMN())))</f>
        <v>0</v>
      </c>
      <c r="BP48" s="26" cm="1">
        <f t="array" aca="1" ref="BP48" ca="1">SUM(INDIRECT(ADDRESS(Ahorros_min_fila,COLUMN()) &amp; ":" &amp; ADDRESS(Ahorros_max_fila,COLUMN())))</f>
        <v>0</v>
      </c>
      <c r="BQ48" s="26" cm="1">
        <f t="array" aca="1" ref="BQ48" ca="1">SUM(INDIRECT(ADDRESS(Ahorros_min_fila,COLUMN()) &amp; ":" &amp; ADDRESS(Ahorros_max_fila,COLUMN())))</f>
        <v>0</v>
      </c>
      <c r="BR48" s="26" cm="1">
        <f t="array" aca="1" ref="BR48" ca="1">SUM(INDIRECT(ADDRESS(Ahorros_min_fila,COLUMN()) &amp; ":" &amp; ADDRESS(Ahorros_max_fila,COLUMN())))</f>
        <v>0</v>
      </c>
      <c r="BS48" s="26" cm="1">
        <f t="array" aca="1" ref="BS48" ca="1">SUM(INDIRECT(ADDRESS(Ahorros_min_fila,COLUMN()) &amp; ":" &amp; ADDRESS(Ahorros_max_fila,COLUMN())))</f>
        <v>0</v>
      </c>
      <c r="BT48" s="26" cm="1">
        <f t="array" aca="1" ref="BT48" ca="1">SUM(INDIRECT(ADDRESS(Ahorros_min_fila,COLUMN()) &amp; ":" &amp; ADDRESS(Ahorros_max_fila,COLUMN())))</f>
        <v>0</v>
      </c>
      <c r="BU48" s="26" cm="1">
        <f t="array" aca="1" ref="BU48" ca="1">SUM(INDIRECT(ADDRESS(Ahorros_min_fila,COLUMN()) &amp; ":" &amp; ADDRESS(Ahorros_max_fila,COLUMN())))</f>
        <v>0</v>
      </c>
      <c r="BW48" s="26" cm="1">
        <f t="array" aca="1" ref="BW48" ca="1">SUM(INDIRECT(ADDRESS(Ahorros_min_fila,COLUMN()) &amp; ":" &amp; ADDRESS(Ahorros_max_fila,COLUMN())))</f>
        <v>0</v>
      </c>
      <c r="BX48" s="26" cm="1">
        <f t="array" aca="1" ref="BX48" ca="1">SUM(INDIRECT(ADDRESS(Ahorros_min_fila,COLUMN()) &amp; ":" &amp; ADDRESS(Ahorros_max_fila,COLUMN())))</f>
        <v>0</v>
      </c>
      <c r="BY48" s="26" cm="1">
        <f t="array" aca="1" ref="BY48" ca="1">SUM(INDIRECT(ADDRESS(Ahorros_min_fila,COLUMN()) &amp; ":" &amp; ADDRESS(Ahorros_max_fila,COLUMN())))</f>
        <v>0</v>
      </c>
      <c r="BZ48" s="26" cm="1">
        <f t="array" aca="1" ref="BZ48" ca="1">SUM(INDIRECT(ADDRESS(Ahorros_min_fila,COLUMN()) &amp; ":" &amp; ADDRESS(Ahorros_max_fila,COLUMN())))</f>
        <v>0</v>
      </c>
      <c r="CA48" s="26" cm="1">
        <f t="array" aca="1" ref="CA48" ca="1">SUM(INDIRECT(ADDRESS(Ahorros_min_fila,COLUMN()) &amp; ":" &amp; ADDRESS(Ahorros_max_fila,COLUMN())))</f>
        <v>0</v>
      </c>
      <c r="CB48" s="26" cm="1">
        <f t="array" aca="1" ref="CB48" ca="1">SUM(INDIRECT(ADDRESS(Ahorros_min_fila,COLUMN()) &amp; ":" &amp; ADDRESS(Ahorros_max_fila,COLUMN())))</f>
        <v>0</v>
      </c>
      <c r="CC48" s="26" cm="1">
        <f t="array" aca="1" ref="CC48" ca="1">SUM(INDIRECT(ADDRESS(Ahorros_min_fila,COLUMN()) &amp; ":" &amp; ADDRESS(Ahorros_max_fila,COLUMN())))</f>
        <v>0</v>
      </c>
      <c r="CD48" s="26" cm="1">
        <f t="array" aca="1" ref="CD48" ca="1">SUM(INDIRECT(ADDRESS(Ahorros_min_fila,COLUMN()) &amp; ":" &amp; ADDRESS(Ahorros_max_fila,COLUMN())))</f>
        <v>0</v>
      </c>
      <c r="CE48" s="26" cm="1">
        <f t="array" aca="1" ref="CE48" ca="1">SUM(INDIRECT(ADDRESS(Ahorros_min_fila,COLUMN()) &amp; ":" &amp; ADDRESS(Ahorros_max_fila,COLUMN())))</f>
        <v>0</v>
      </c>
      <c r="CF48" s="26" cm="1">
        <f t="array" aca="1" ref="CF48" ca="1">SUM(INDIRECT(ADDRESS(Ahorros_min_fila,COLUMN()) &amp; ":" &amp; ADDRESS(Ahorros_max_fila,COLUMN())))</f>
        <v>0</v>
      </c>
      <c r="CG48" s="26" cm="1">
        <f t="array" aca="1" ref="CG48" ca="1">SUM(INDIRECT(ADDRESS(Ahorros_min_fila,COLUMN()) &amp; ":" &amp; ADDRESS(Ahorros_max_fila,COLUMN())))</f>
        <v>0</v>
      </c>
      <c r="CH48" s="26" cm="1">
        <f t="array" aca="1" ref="CH48" ca="1">SUM(INDIRECT(ADDRESS(Ahorros_min_fila,COLUMN()) &amp; ":" &amp; ADDRESS(Ahorros_max_fila,COLUMN())))</f>
        <v>0</v>
      </c>
      <c r="CI48" s="26" cm="1">
        <f t="array" aca="1" ref="CI48" ca="1">SUM(INDIRECT(ADDRESS(Ahorros_min_fila,COLUMN()) &amp; ":" &amp; ADDRESS(Ahorros_max_fila,COLUMN())))</f>
        <v>0</v>
      </c>
      <c r="CK48" s="26" cm="1">
        <f t="array" aca="1" ref="CK48" ca="1">SUM(INDIRECT(ADDRESS(Ahorros_min_fila,COLUMN()) &amp; ":" &amp; ADDRESS(Ahorros_max_fila,COLUMN())))</f>
        <v>0</v>
      </c>
      <c r="CL48" s="26" cm="1">
        <f t="array" aca="1" ref="CL48" ca="1">SUM(INDIRECT(ADDRESS(Ahorros_min_fila,COLUMN()) &amp; ":" &amp; ADDRESS(Ahorros_max_fila,COLUMN())))</f>
        <v>0</v>
      </c>
      <c r="CM48" s="26" cm="1">
        <f t="array" aca="1" ref="CM48" ca="1">SUM(INDIRECT(ADDRESS(Ahorros_min_fila,COLUMN()) &amp; ":" &amp; ADDRESS(Ahorros_max_fila,COLUMN())))</f>
        <v>0</v>
      </c>
      <c r="CN48" s="26" cm="1">
        <f t="array" aca="1" ref="CN48" ca="1">SUM(INDIRECT(ADDRESS(Ahorros_min_fila,COLUMN()) &amp; ":" &amp; ADDRESS(Ahorros_max_fila,COLUMN())))</f>
        <v>0</v>
      </c>
      <c r="CO48" s="26" cm="1">
        <f t="array" aca="1" ref="CO48" ca="1">SUM(INDIRECT(ADDRESS(Ahorros_min_fila,COLUMN()) &amp; ":" &amp; ADDRESS(Ahorros_max_fila,COLUMN())))</f>
        <v>0</v>
      </c>
      <c r="CP48" s="26" cm="1">
        <f t="array" aca="1" ref="CP48" ca="1">SUM(INDIRECT(ADDRESS(Ahorros_min_fila,COLUMN()) &amp; ":" &amp; ADDRESS(Ahorros_max_fila,COLUMN())))</f>
        <v>0</v>
      </c>
      <c r="CQ48" s="26" cm="1">
        <f t="array" aca="1" ref="CQ48" ca="1">SUM(INDIRECT(ADDRESS(Ahorros_min_fila,COLUMN()) &amp; ":" &amp; ADDRESS(Ahorros_max_fila,COLUMN())))</f>
        <v>0</v>
      </c>
      <c r="CR48" s="26" cm="1">
        <f t="array" aca="1" ref="CR48" ca="1">SUM(INDIRECT(ADDRESS(Ahorros_min_fila,COLUMN()) &amp; ":" &amp; ADDRESS(Ahorros_max_fila,COLUMN())))</f>
        <v>0</v>
      </c>
      <c r="CS48" s="26" cm="1">
        <f t="array" aca="1" ref="CS48" ca="1">SUM(INDIRECT(ADDRESS(Ahorros_min_fila,COLUMN()) &amp; ":" &amp; ADDRESS(Ahorros_max_fila,COLUMN())))</f>
        <v>0</v>
      </c>
      <c r="CT48" s="26" cm="1">
        <f t="array" aca="1" ref="CT48" ca="1">SUM(INDIRECT(ADDRESS(Ahorros_min_fila,COLUMN()) &amp; ":" &amp; ADDRESS(Ahorros_max_fila,COLUMN())))</f>
        <v>0</v>
      </c>
      <c r="CU48" s="26" cm="1">
        <f t="array" aca="1" ref="CU48" ca="1">SUM(INDIRECT(ADDRESS(Ahorros_min_fila,COLUMN()) &amp; ":" &amp; ADDRESS(Ahorros_max_fila,COLUMN())))</f>
        <v>0</v>
      </c>
      <c r="CV48" s="26" cm="1">
        <f t="array" aca="1" ref="CV48" ca="1">SUM(INDIRECT(ADDRESS(Ahorros_min_fila,COLUMN()) &amp; ":" &amp; ADDRESS(Ahorros_max_fila,COLUMN())))</f>
        <v>0</v>
      </c>
      <c r="CW48" s="26" cm="1">
        <f t="array" aca="1" ref="CW48" ca="1">SUM(INDIRECT(ADDRESS(Ahorros_min_fila,COLUMN()) &amp; ":" &amp; ADDRESS(Ahorros_max_fila,COLUMN())))</f>
        <v>0</v>
      </c>
      <c r="CY48" s="26" cm="1">
        <f t="array" aca="1" ref="CY48" ca="1">SUM(INDIRECT(ADDRESS(Ahorros_min_fila,COLUMN()) &amp; ":" &amp; ADDRESS(Ahorros_max_fila,COLUMN())))</f>
        <v>0</v>
      </c>
      <c r="CZ48" s="26" cm="1">
        <f t="array" aca="1" ref="CZ48" ca="1">SUM(INDIRECT(ADDRESS(Ahorros_min_fila,COLUMN()) &amp; ":" &amp; ADDRESS(Ahorros_max_fila,COLUMN())))</f>
        <v>0</v>
      </c>
      <c r="DA48" s="26" cm="1">
        <f t="array" aca="1" ref="DA48" ca="1">SUM(INDIRECT(ADDRESS(Ahorros_min_fila,COLUMN()) &amp; ":" &amp; ADDRESS(Ahorros_max_fila,COLUMN())))</f>
        <v>0</v>
      </c>
      <c r="DB48" s="26" cm="1">
        <f t="array" aca="1" ref="DB48" ca="1">SUM(INDIRECT(ADDRESS(Ahorros_min_fila,COLUMN()) &amp; ":" &amp; ADDRESS(Ahorros_max_fila,COLUMN())))</f>
        <v>0</v>
      </c>
      <c r="DC48" s="26" cm="1">
        <f t="array" aca="1" ref="DC48" ca="1">SUM(INDIRECT(ADDRESS(Ahorros_min_fila,COLUMN()) &amp; ":" &amp; ADDRESS(Ahorros_max_fila,COLUMN())))</f>
        <v>0</v>
      </c>
      <c r="DD48" s="26" cm="1">
        <f t="array" aca="1" ref="DD48" ca="1">SUM(INDIRECT(ADDRESS(Ahorros_min_fila,COLUMN()) &amp; ":" &amp; ADDRESS(Ahorros_max_fila,COLUMN())))</f>
        <v>0</v>
      </c>
      <c r="DE48" s="26" cm="1">
        <f t="array" aca="1" ref="DE48" ca="1">SUM(INDIRECT(ADDRESS(Ahorros_min_fila,COLUMN()) &amp; ":" &amp; ADDRESS(Ahorros_max_fila,COLUMN())))</f>
        <v>0</v>
      </c>
      <c r="DF48" s="26" cm="1">
        <f t="array" aca="1" ref="DF48" ca="1">SUM(INDIRECT(ADDRESS(Ahorros_min_fila,COLUMN()) &amp; ":" &amp; ADDRESS(Ahorros_max_fila,COLUMN())))</f>
        <v>0</v>
      </c>
      <c r="DG48" s="26" cm="1">
        <f t="array" aca="1" ref="DG48" ca="1">SUM(INDIRECT(ADDRESS(Ahorros_min_fila,COLUMN()) &amp; ":" &amp; ADDRESS(Ahorros_max_fila,COLUMN())))</f>
        <v>0</v>
      </c>
      <c r="DH48" s="26" cm="1">
        <f t="array" aca="1" ref="DH48" ca="1">SUM(INDIRECT(ADDRESS(Ahorros_min_fila,COLUMN()) &amp; ":" &amp; ADDRESS(Ahorros_max_fila,COLUMN())))</f>
        <v>0</v>
      </c>
      <c r="DI48" s="26" cm="1">
        <f t="array" aca="1" ref="DI48" ca="1">SUM(INDIRECT(ADDRESS(Ahorros_min_fila,COLUMN()) &amp; ":" &amp; ADDRESS(Ahorros_max_fila,COLUMN())))</f>
        <v>0</v>
      </c>
      <c r="DJ48" s="26" cm="1">
        <f t="array" aca="1" ref="DJ48" ca="1">SUM(INDIRECT(ADDRESS(Ahorros_min_fila,COLUMN()) &amp; ":" &amp; ADDRESS(Ahorros_max_fila,COLUMN())))</f>
        <v>0</v>
      </c>
      <c r="DK48" s="26" cm="1">
        <f t="array" aca="1" ref="DK48" ca="1">SUM(INDIRECT(ADDRESS(Ahorros_min_fila,COLUMN()) &amp; ":" &amp; ADDRESS(Ahorros_max_fila,COLUMN())))</f>
        <v>0</v>
      </c>
      <c r="DM48" s="26" cm="1">
        <f t="array" aca="1" ref="DM48" ca="1">SUM(INDIRECT(ADDRESS(Ahorros_min_fila,COLUMN()) &amp; ":" &amp; ADDRESS(Ahorros_max_fila,COLUMN())))</f>
        <v>0</v>
      </c>
      <c r="DN48" s="26" cm="1">
        <f t="array" aca="1" ref="DN48" ca="1">SUM(INDIRECT(ADDRESS(Ahorros_min_fila,COLUMN()) &amp; ":" &amp; ADDRESS(Ahorros_max_fila,COLUMN())))</f>
        <v>0</v>
      </c>
      <c r="DO48" s="26" cm="1">
        <f t="array" aca="1" ref="DO48" ca="1">SUM(INDIRECT(ADDRESS(Ahorros_min_fila,COLUMN()) &amp; ":" &amp; ADDRESS(Ahorros_max_fila,COLUMN())))</f>
        <v>0</v>
      </c>
      <c r="DP48" s="26" cm="1">
        <f t="array" aca="1" ref="DP48" ca="1">SUM(INDIRECT(ADDRESS(Ahorros_min_fila,COLUMN()) &amp; ":" &amp; ADDRESS(Ahorros_max_fila,COLUMN())))</f>
        <v>0</v>
      </c>
      <c r="DQ48" s="26" cm="1">
        <f t="array" aca="1" ref="DQ48" ca="1">SUM(INDIRECT(ADDRESS(Ahorros_min_fila,COLUMN()) &amp; ":" &amp; ADDRESS(Ahorros_max_fila,COLUMN())))</f>
        <v>0</v>
      </c>
      <c r="DR48" s="26" cm="1">
        <f t="array" aca="1" ref="DR48" ca="1">SUM(INDIRECT(ADDRESS(Ahorros_min_fila,COLUMN()) &amp; ":" &amp; ADDRESS(Ahorros_max_fila,COLUMN())))</f>
        <v>0</v>
      </c>
      <c r="DS48" s="26" cm="1">
        <f t="array" aca="1" ref="DS48" ca="1">SUM(INDIRECT(ADDRESS(Ahorros_min_fila,COLUMN()) &amp; ":" &amp; ADDRESS(Ahorros_max_fila,COLUMN())))</f>
        <v>0</v>
      </c>
      <c r="DT48" s="26" cm="1">
        <f t="array" aca="1" ref="DT48" ca="1">SUM(INDIRECT(ADDRESS(Ahorros_min_fila,COLUMN()) &amp; ":" &amp; ADDRESS(Ahorros_max_fila,COLUMN())))</f>
        <v>0</v>
      </c>
      <c r="DU48" s="26" cm="1">
        <f t="array" aca="1" ref="DU48" ca="1">SUM(INDIRECT(ADDRESS(Ahorros_min_fila,COLUMN()) &amp; ":" &amp; ADDRESS(Ahorros_max_fila,COLUMN())))</f>
        <v>0</v>
      </c>
      <c r="DV48" s="26" cm="1">
        <f t="array" aca="1" ref="DV48" ca="1">SUM(INDIRECT(ADDRESS(Ahorros_min_fila,COLUMN()) &amp; ":" &amp; ADDRESS(Ahorros_max_fila,COLUMN())))</f>
        <v>0</v>
      </c>
      <c r="DW48" s="26" cm="1">
        <f t="array" aca="1" ref="DW48" ca="1">SUM(INDIRECT(ADDRESS(Ahorros_min_fila,COLUMN()) &amp; ":" &amp; ADDRESS(Ahorros_max_fila,COLUMN())))</f>
        <v>0</v>
      </c>
      <c r="DX48" s="26" cm="1">
        <f t="array" aca="1" ref="DX48" ca="1">SUM(INDIRECT(ADDRESS(Ahorros_min_fila,COLUMN()) &amp; ":" &amp; ADDRESS(Ahorros_max_fila,COLUMN())))</f>
        <v>0</v>
      </c>
      <c r="DY48" s="26" cm="1">
        <f t="array" aca="1" ref="DY48" ca="1">SUM(INDIRECT(ADDRESS(Ahorros_min_fila,COLUMN()) &amp; ":" &amp; ADDRESS(Ahorros_max_fila,COLUMN())))</f>
        <v>0</v>
      </c>
      <c r="EA48" s="26" cm="1">
        <f t="array" aca="1" ref="EA48" ca="1">SUM(INDIRECT(ADDRESS(Ahorros_min_fila,COLUMN()) &amp; ":" &amp; ADDRESS(Ahorros_max_fila,COLUMN())))</f>
        <v>0</v>
      </c>
      <c r="EB48" s="26" cm="1">
        <f t="array" aca="1" ref="EB48" ca="1">SUM(INDIRECT(ADDRESS(Ahorros_min_fila,COLUMN()) &amp; ":" &amp; ADDRESS(Ahorros_max_fila,COLUMN())))</f>
        <v>0</v>
      </c>
      <c r="EC48" s="26" cm="1">
        <f t="array" aca="1" ref="EC48" ca="1">SUM(INDIRECT(ADDRESS(Ahorros_min_fila,COLUMN()) &amp; ":" &amp; ADDRESS(Ahorros_max_fila,COLUMN())))</f>
        <v>0</v>
      </c>
      <c r="ED48" s="26" cm="1">
        <f t="array" aca="1" ref="ED48" ca="1">SUM(INDIRECT(ADDRESS(Ahorros_min_fila,COLUMN()) &amp; ":" &amp; ADDRESS(Ahorros_max_fila,COLUMN())))</f>
        <v>0</v>
      </c>
      <c r="EE48" s="26" cm="1">
        <f t="array" aca="1" ref="EE48" ca="1">SUM(INDIRECT(ADDRESS(Ahorros_min_fila,COLUMN()) &amp; ":" &amp; ADDRESS(Ahorros_max_fila,COLUMN())))</f>
        <v>0</v>
      </c>
      <c r="EF48" s="26" cm="1">
        <f t="array" aca="1" ref="EF48" ca="1">SUM(INDIRECT(ADDRESS(Ahorros_min_fila,COLUMN()) &amp; ":" &amp; ADDRESS(Ahorros_max_fila,COLUMN())))</f>
        <v>0</v>
      </c>
      <c r="EG48" s="26" cm="1">
        <f t="array" aca="1" ref="EG48" ca="1">SUM(INDIRECT(ADDRESS(Ahorros_min_fila,COLUMN()) &amp; ":" &amp; ADDRESS(Ahorros_max_fila,COLUMN())))</f>
        <v>0</v>
      </c>
      <c r="EH48" s="26" cm="1">
        <f t="array" aca="1" ref="EH48" ca="1">SUM(INDIRECT(ADDRESS(Ahorros_min_fila,COLUMN()) &amp; ":" &amp; ADDRESS(Ahorros_max_fila,COLUMN())))</f>
        <v>0</v>
      </c>
      <c r="EI48" s="26" cm="1">
        <f t="array" aca="1" ref="EI48" ca="1">SUM(INDIRECT(ADDRESS(Ahorros_min_fila,COLUMN()) &amp; ":" &amp; ADDRESS(Ahorros_max_fila,COLUMN())))</f>
        <v>0</v>
      </c>
      <c r="EJ48" s="26" cm="1">
        <f t="array" aca="1" ref="EJ48" ca="1">SUM(INDIRECT(ADDRESS(Ahorros_min_fila,COLUMN()) &amp; ":" &amp; ADDRESS(Ahorros_max_fila,COLUMN())))</f>
        <v>0</v>
      </c>
      <c r="EK48" s="26" cm="1">
        <f t="array" aca="1" ref="EK48" ca="1">SUM(INDIRECT(ADDRESS(Ahorros_min_fila,COLUMN()) &amp; ":" &amp; ADDRESS(Ahorros_max_fila,COLUMN())))</f>
        <v>0</v>
      </c>
      <c r="EL48" s="26" cm="1">
        <f t="array" aca="1" ref="EL48" ca="1">SUM(INDIRECT(ADDRESS(Ahorros_min_fila,COLUMN()) &amp; ":" &amp; ADDRESS(Ahorros_max_fila,COLUMN())))</f>
        <v>0</v>
      </c>
      <c r="EM48" s="26" cm="1">
        <f t="array" aca="1" ref="EM48" ca="1">SUM(INDIRECT(ADDRESS(Ahorros_min_fila,COLUMN()) &amp; ":" &amp; ADDRESS(Ahorros_max_fila,COLUMN())))</f>
        <v>0</v>
      </c>
      <c r="EO48" s="26" cm="1">
        <f t="array" aca="1" ref="EO48" ca="1">SUM(INDIRECT(ADDRESS(Ahorros_min_fila,COLUMN()) &amp; ":" &amp; ADDRESS(Ahorros_max_fila,COLUMN())))</f>
        <v>0</v>
      </c>
      <c r="EP48" s="26" cm="1">
        <f t="array" aca="1" ref="EP48" ca="1">SUM(INDIRECT(ADDRESS(Ahorros_min_fila,COLUMN()) &amp; ":" &amp; ADDRESS(Ahorros_max_fila,COLUMN())))</f>
        <v>0</v>
      </c>
      <c r="EQ48" s="26" cm="1">
        <f t="array" aca="1" ref="EQ48" ca="1">SUM(INDIRECT(ADDRESS(Ahorros_min_fila,COLUMN()) &amp; ":" &amp; ADDRESS(Ahorros_max_fila,COLUMN())))</f>
        <v>0</v>
      </c>
      <c r="ER48" s="26" cm="1">
        <f t="array" aca="1" ref="ER48" ca="1">SUM(INDIRECT(ADDRESS(Ahorros_min_fila,COLUMN()) &amp; ":" &amp; ADDRESS(Ahorros_max_fila,COLUMN())))</f>
        <v>0</v>
      </c>
      <c r="ES48" s="26" cm="1">
        <f t="array" aca="1" ref="ES48" ca="1">SUM(INDIRECT(ADDRESS(Ahorros_min_fila,COLUMN()) &amp; ":" &amp; ADDRESS(Ahorros_max_fila,COLUMN())))</f>
        <v>0</v>
      </c>
      <c r="ET48" s="26" cm="1">
        <f t="array" aca="1" ref="ET48" ca="1">SUM(INDIRECT(ADDRESS(Ahorros_min_fila,COLUMN()) &amp; ":" &amp; ADDRESS(Ahorros_max_fila,COLUMN())))</f>
        <v>0</v>
      </c>
      <c r="EU48" s="26" cm="1">
        <f t="array" aca="1" ref="EU48" ca="1">SUM(INDIRECT(ADDRESS(Ahorros_min_fila,COLUMN()) &amp; ":" &amp; ADDRESS(Ahorros_max_fila,COLUMN())))</f>
        <v>0</v>
      </c>
      <c r="EV48" s="26" cm="1">
        <f t="array" aca="1" ref="EV48" ca="1">SUM(INDIRECT(ADDRESS(Ahorros_min_fila,COLUMN()) &amp; ":" &amp; ADDRESS(Ahorros_max_fila,COLUMN())))</f>
        <v>0</v>
      </c>
      <c r="EW48" s="26" cm="1">
        <f t="array" aca="1" ref="EW48" ca="1">SUM(INDIRECT(ADDRESS(Ahorros_min_fila,COLUMN()) &amp; ":" &amp; ADDRESS(Ahorros_max_fila,COLUMN())))</f>
        <v>0</v>
      </c>
      <c r="EX48" s="26" cm="1">
        <f t="array" aca="1" ref="EX48" ca="1">SUM(INDIRECT(ADDRESS(Ahorros_min_fila,COLUMN()) &amp; ":" &amp; ADDRESS(Ahorros_max_fila,COLUMN())))</f>
        <v>0</v>
      </c>
      <c r="EY48" s="26" cm="1">
        <f t="array" aca="1" ref="EY48" ca="1">SUM(INDIRECT(ADDRESS(Ahorros_min_fila,COLUMN()) &amp; ":" &amp; ADDRESS(Ahorros_max_fila,COLUMN())))</f>
        <v>0</v>
      </c>
      <c r="EZ48" s="26" cm="1">
        <f t="array" aca="1" ref="EZ48" ca="1">SUM(INDIRECT(ADDRESS(Ahorros_min_fila,COLUMN()) &amp; ":" &amp; ADDRESS(Ahorros_max_fila,COLUMN())))</f>
        <v>0</v>
      </c>
      <c r="FA48" s="26" cm="1">
        <f t="array" aca="1" ref="FA48" ca="1">SUM(INDIRECT(ADDRESS(Ahorros_min_fila,COLUMN()) &amp; ":" &amp; ADDRESS(Ahorros_max_fila,COLUMN())))</f>
        <v>0</v>
      </c>
    </row>
  </sheetData>
  <mergeCells count="11">
    <mergeCell ref="E5:Q5"/>
    <mergeCell ref="CY5:DK5"/>
    <mergeCell ref="DM5:DY5"/>
    <mergeCell ref="EA5:EM5"/>
    <mergeCell ref="S5:AE5"/>
    <mergeCell ref="EO5:FA5"/>
    <mergeCell ref="AG5:AS5"/>
    <mergeCell ref="AU5:BG5"/>
    <mergeCell ref="BI5:BU5"/>
    <mergeCell ref="BW5:CI5"/>
    <mergeCell ref="CK5:CW5"/>
  </mergeCells>
  <phoneticPr fontId="19" type="noConversion"/>
  <conditionalFormatting sqref="C10:C19 E10:Q19 S10:AE19">
    <cfRule type="expression" dxfId="67" priority="56" stopIfTrue="1">
      <formula>ROW(C10)&lt;=Ingresos_max_fila</formula>
    </cfRule>
  </conditionalFormatting>
  <conditionalFormatting sqref="C23:C34 S23:AE34 E23:Q34 AG23:AS34 AU23:BG34 BI23:BU34 BW23:CI34 CK23:CW34 CY23:DK34 DM23:DY34 EA23:EM34 EO23:FA34">
    <cfRule type="expression" dxfId="66" priority="55" stopIfTrue="1">
      <formula>ROW(C23)&lt;=Gastos_max_fila</formula>
    </cfRule>
  </conditionalFormatting>
  <conditionalFormatting sqref="C38:C47 E38:Q47 S38:AE47">
    <cfRule type="expression" dxfId="65" priority="54">
      <formula>ROW(C38)&lt;=Ahorros_max_fila</formula>
    </cfRule>
  </conditionalFormatting>
  <conditionalFormatting sqref="E7:Q7 S7:AE7">
    <cfRule type="expression" dxfId="64" priority="46">
      <formula>E7&lt;0</formula>
    </cfRule>
    <cfRule type="expression" dxfId="63" priority="47">
      <formula>E7&gt;0</formula>
    </cfRule>
  </conditionalFormatting>
  <conditionalFormatting sqref="AG7:AS7">
    <cfRule type="expression" dxfId="62" priority="41">
      <formula>AG7&lt;0</formula>
    </cfRule>
    <cfRule type="expression" dxfId="61" priority="42">
      <formula>AG7&gt;0</formula>
    </cfRule>
  </conditionalFormatting>
  <conditionalFormatting sqref="AG10:AS19">
    <cfRule type="expression" dxfId="60" priority="45" stopIfTrue="1">
      <formula>ROW(AG10)&lt;=Ingresos_max_fila</formula>
    </cfRule>
  </conditionalFormatting>
  <conditionalFormatting sqref="AG38:AS47">
    <cfRule type="expression" dxfId="59" priority="43">
      <formula>ROW(AG38)&lt;=Ahorros_max_fila</formula>
    </cfRule>
  </conditionalFormatting>
  <conditionalFormatting sqref="AU7:BG7">
    <cfRule type="expression" dxfId="58" priority="36">
      <formula>AU7&lt;0</formula>
    </cfRule>
    <cfRule type="expression" dxfId="57" priority="37">
      <formula>AU7&gt;0</formula>
    </cfRule>
  </conditionalFormatting>
  <conditionalFormatting sqref="AU10:BG19">
    <cfRule type="expression" dxfId="56" priority="40" stopIfTrue="1">
      <formula>ROW(AU10)&lt;=Ingresos_max_fila</formula>
    </cfRule>
  </conditionalFormatting>
  <conditionalFormatting sqref="AU38:BG47">
    <cfRule type="expression" dxfId="55" priority="38">
      <formula>ROW(AU38)&lt;=Ahorros_max_fila</formula>
    </cfRule>
  </conditionalFormatting>
  <conditionalFormatting sqref="BI7:BU7">
    <cfRule type="expression" dxfId="54" priority="31">
      <formula>BI7&lt;0</formula>
    </cfRule>
    <cfRule type="expression" dxfId="53" priority="32">
      <formula>BI7&gt;0</formula>
    </cfRule>
  </conditionalFormatting>
  <conditionalFormatting sqref="BI10:BU19">
    <cfRule type="expression" dxfId="52" priority="35" stopIfTrue="1">
      <formula>ROW(BI10)&lt;=Ingresos_max_fila</formula>
    </cfRule>
  </conditionalFormatting>
  <conditionalFormatting sqref="BI38:BU47">
    <cfRule type="expression" dxfId="51" priority="33">
      <formula>ROW(BI38)&lt;=Ahorros_max_fila</formula>
    </cfRule>
  </conditionalFormatting>
  <conditionalFormatting sqref="BW7:CI7">
    <cfRule type="expression" dxfId="50" priority="26">
      <formula>BW7&lt;0</formula>
    </cfRule>
    <cfRule type="expression" dxfId="49" priority="27">
      <formula>BW7&gt;0</formula>
    </cfRule>
  </conditionalFormatting>
  <conditionalFormatting sqref="BW10:CI19">
    <cfRule type="expression" dxfId="48" priority="30" stopIfTrue="1">
      <formula>ROW(BW10)&lt;=Ingresos_max_fila</formula>
    </cfRule>
  </conditionalFormatting>
  <conditionalFormatting sqref="BW38:CI47">
    <cfRule type="expression" dxfId="47" priority="28">
      <formula>ROW(BW38)&lt;=Ahorros_max_fila</formula>
    </cfRule>
  </conditionalFormatting>
  <conditionalFormatting sqref="CK7:CW7">
    <cfRule type="expression" dxfId="46" priority="21">
      <formula>CK7&lt;0</formula>
    </cfRule>
    <cfRule type="expression" dxfId="45" priority="22">
      <formula>CK7&gt;0</formula>
    </cfRule>
  </conditionalFormatting>
  <conditionalFormatting sqref="CK10:CW19">
    <cfRule type="expression" dxfId="44" priority="25" stopIfTrue="1">
      <formula>ROW(CK10)&lt;=Ingresos_max_fila</formula>
    </cfRule>
  </conditionalFormatting>
  <conditionalFormatting sqref="CK38:CW47">
    <cfRule type="expression" dxfId="43" priority="23">
      <formula>ROW(CK38)&lt;=Ahorros_max_fila</formula>
    </cfRule>
  </conditionalFormatting>
  <conditionalFormatting sqref="CY7:DK7">
    <cfRule type="expression" dxfId="42" priority="16">
      <formula>CY7&lt;0</formula>
    </cfRule>
    <cfRule type="expression" dxfId="41" priority="17">
      <formula>CY7&gt;0</formula>
    </cfRule>
  </conditionalFormatting>
  <conditionalFormatting sqref="CY10:DK19">
    <cfRule type="expression" dxfId="40" priority="20" stopIfTrue="1">
      <formula>ROW(CY10)&lt;=Ingresos_max_fila</formula>
    </cfRule>
  </conditionalFormatting>
  <conditionalFormatting sqref="CY38:DK47">
    <cfRule type="expression" dxfId="39" priority="18">
      <formula>ROW(CY38)&lt;=Ahorros_max_fila</formula>
    </cfRule>
  </conditionalFormatting>
  <conditionalFormatting sqref="DM7:DY7">
    <cfRule type="expression" dxfId="38" priority="11">
      <formula>DM7&lt;0</formula>
    </cfRule>
    <cfRule type="expression" dxfId="37" priority="12">
      <formula>DM7&gt;0</formula>
    </cfRule>
  </conditionalFormatting>
  <conditionalFormatting sqref="DM10:DY19">
    <cfRule type="expression" dxfId="36" priority="15" stopIfTrue="1">
      <formula>ROW(DM10)&lt;=Ingresos_max_fila</formula>
    </cfRule>
  </conditionalFormatting>
  <conditionalFormatting sqref="DM38:DY47">
    <cfRule type="expression" dxfId="35" priority="13">
      <formula>ROW(DM38)&lt;=Ahorros_max_fila</formula>
    </cfRule>
  </conditionalFormatting>
  <conditionalFormatting sqref="EA7:EM7">
    <cfRule type="expression" dxfId="34" priority="6">
      <formula>EA7&lt;0</formula>
    </cfRule>
    <cfRule type="expression" dxfId="33" priority="7">
      <formula>EA7&gt;0</formula>
    </cfRule>
  </conditionalFormatting>
  <conditionalFormatting sqref="EA10:EM19">
    <cfRule type="expression" dxfId="32" priority="10" stopIfTrue="1">
      <formula>ROW(EA10)&lt;=Ingresos_max_fila</formula>
    </cfRule>
  </conditionalFormatting>
  <conditionalFormatting sqref="EA38:EM47">
    <cfRule type="expression" dxfId="31" priority="8">
      <formula>ROW(EA38)&lt;=Ahorros_max_fila</formula>
    </cfRule>
  </conditionalFormatting>
  <conditionalFormatting sqref="EO7:FA7">
    <cfRule type="expression" dxfId="30" priority="1">
      <formula>EO7&lt;0</formula>
    </cfRule>
    <cfRule type="expression" dxfId="29" priority="2">
      <formula>EO7&gt;0</formula>
    </cfRule>
  </conditionalFormatting>
  <conditionalFormatting sqref="EO10:FA19">
    <cfRule type="expression" dxfId="28" priority="5" stopIfTrue="1">
      <formula>ROW(EO10)&lt;=Ingresos_max_fila</formula>
    </cfRule>
  </conditionalFormatting>
  <conditionalFormatting sqref="EO38:FA47">
    <cfRule type="expression" dxfId="27" priority="3">
      <formula>ROW(EO38)&lt;=Ahorros_max_fila</formula>
    </cfRule>
  </conditionalFormatting>
  <pageMargins left="0.7" right="0.7" top="0.75" bottom="0.75" header="0.3" footer="0.3"/>
  <pageSetup paperSize="9" orientation="portrait" horizontalDpi="0" verticalDpi="0"/>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6FA9F-2877-3342-91A8-38D64744C3F2}">
  <sheetPr codeName="Hoja7"/>
  <dimension ref="C1:L51"/>
  <sheetViews>
    <sheetView showGridLines="0" zoomScaleNormal="100" workbookViewId="0">
      <selection activeCell="C8" sqref="C8"/>
    </sheetView>
  </sheetViews>
  <sheetFormatPr baseColWidth="10" defaultRowHeight="15.6" x14ac:dyDescent="0.3"/>
  <cols>
    <col min="2" max="2" width="17" bestFit="1" customWidth="1"/>
    <col min="3" max="3" width="16.796875" bestFit="1" customWidth="1"/>
    <col min="4" max="4" width="21.19921875" bestFit="1" customWidth="1"/>
    <col min="5" max="5" width="10.59765625" bestFit="1" customWidth="1"/>
    <col min="6" max="8" width="8.19921875" bestFit="1" customWidth="1"/>
    <col min="9" max="9" width="11.19921875" bestFit="1" customWidth="1"/>
    <col min="10" max="10" width="8.19921875" bestFit="1" customWidth="1"/>
    <col min="11" max="11" width="16.5" bestFit="1" customWidth="1"/>
    <col min="12" max="12" width="18.69921875" bestFit="1" customWidth="1"/>
    <col min="13" max="13" width="11" bestFit="1" customWidth="1"/>
    <col min="14" max="14" width="16.19921875" bestFit="1" customWidth="1"/>
    <col min="15" max="15" width="19" bestFit="1" customWidth="1"/>
    <col min="16" max="16" width="12" bestFit="1" customWidth="1"/>
  </cols>
  <sheetData>
    <row r="1" spans="3:12" s="1" customFormat="1" x14ac:dyDescent="0.3"/>
    <row r="2" spans="3:12" s="1" customFormat="1" ht="28.8" x14ac:dyDescent="0.55000000000000004">
      <c r="C2" s="13" t="s">
        <v>45</v>
      </c>
    </row>
    <row r="3" spans="3:12" s="1" customFormat="1" x14ac:dyDescent="0.3"/>
    <row r="6" spans="3:12" x14ac:dyDescent="0.3">
      <c r="C6" s="47" t="s">
        <v>22</v>
      </c>
      <c r="D6" t="s">
        <v>107</v>
      </c>
      <c r="K6" s="47" t="s">
        <v>22</v>
      </c>
      <c r="L6" t="s">
        <v>107</v>
      </c>
    </row>
    <row r="8" spans="3:12" x14ac:dyDescent="0.3">
      <c r="C8" s="47" t="s">
        <v>73</v>
      </c>
      <c r="D8" t="s">
        <v>55</v>
      </c>
      <c r="K8" s="47" t="s">
        <v>70</v>
      </c>
      <c r="L8" t="s">
        <v>55</v>
      </c>
    </row>
    <row r="9" spans="3:12" x14ac:dyDescent="0.3">
      <c r="C9" s="45" t="s">
        <v>71</v>
      </c>
      <c r="D9" s="44"/>
      <c r="K9" s="45" t="s">
        <v>71</v>
      </c>
      <c r="L9" s="44"/>
    </row>
    <row r="14" spans="3:12" x14ac:dyDescent="0.3">
      <c r="K14" t="s">
        <v>73</v>
      </c>
    </row>
    <row r="49" spans="3:4" x14ac:dyDescent="0.3">
      <c r="D49" s="47" t="s">
        <v>72</v>
      </c>
    </row>
    <row r="50" spans="3:4" x14ac:dyDescent="0.3">
      <c r="D50" t="s">
        <v>108</v>
      </c>
    </row>
    <row r="51" spans="3:4" x14ac:dyDescent="0.3">
      <c r="C51" t="s">
        <v>55</v>
      </c>
      <c r="D51" s="44"/>
    </row>
  </sheetData>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3073" r:id="rId7" name="Button 1">
              <controlPr defaultSize="0" print="0" autoFill="0" autoPict="0" macro="[0]!botón_actualizar">
                <anchor moveWithCells="1" sizeWithCells="1">
                  <from>
                    <xdr:col>16</xdr:col>
                    <xdr:colOff>22860</xdr:colOff>
                    <xdr:row>5</xdr:row>
                    <xdr:rowOff>22860</xdr:rowOff>
                  </from>
                  <to>
                    <xdr:col>17</xdr:col>
                    <xdr:colOff>632460</xdr:colOff>
                    <xdr:row>7</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FC917-CA3F-4267-934B-EB950EC06067}">
  <sheetPr codeName="Hoja9"/>
  <dimension ref="B2:H28"/>
  <sheetViews>
    <sheetView showGridLines="0" workbookViewId="0">
      <selection activeCell="H12" sqref="H12"/>
    </sheetView>
  </sheetViews>
  <sheetFormatPr baseColWidth="10" defaultRowHeight="15.6" x14ac:dyDescent="0.3"/>
  <cols>
    <col min="2" max="2" width="22.59765625" customWidth="1"/>
    <col min="3" max="3" width="12.69921875" customWidth="1"/>
    <col min="6" max="6" width="11.19921875" style="57"/>
    <col min="7" max="7" width="12.19921875" style="57" customWidth="1"/>
    <col min="8" max="8" width="15.09765625" style="57" customWidth="1"/>
  </cols>
  <sheetData>
    <row r="2" spans="2:8" x14ac:dyDescent="0.3">
      <c r="B2" t="s">
        <v>74</v>
      </c>
      <c r="C2" t="s">
        <v>75</v>
      </c>
      <c r="D2" t="s">
        <v>21</v>
      </c>
      <c r="E2" t="s">
        <v>59</v>
      </c>
      <c r="F2" s="57" t="s">
        <v>76</v>
      </c>
      <c r="G2" s="57" t="s">
        <v>77</v>
      </c>
      <c r="H2" s="57" t="s">
        <v>78</v>
      </c>
    </row>
    <row r="3" spans="2:8" x14ac:dyDescent="0.3">
      <c r="B3" t="e" vm="2">
        <v>#VALUE!</v>
      </c>
      <c r="C3" t="s">
        <v>20</v>
      </c>
      <c r="D3" s="36"/>
      <c r="E3" s="61"/>
      <c r="H3" s="57">
        <f>Cotizaciones[[#This Row],[Cantidad]]*Cotizaciones[[#This Row],[Precio]]</f>
        <v>0</v>
      </c>
    </row>
    <row r="4" spans="2:8" x14ac:dyDescent="0.3">
      <c r="D4" s="36"/>
      <c r="E4" s="61"/>
    </row>
    <row r="5" spans="2:8" x14ac:dyDescent="0.3">
      <c r="D5" s="36"/>
      <c r="E5" s="61"/>
    </row>
    <row r="6" spans="2:8" x14ac:dyDescent="0.3">
      <c r="D6" s="36"/>
      <c r="E6" s="61"/>
    </row>
    <row r="7" spans="2:8" x14ac:dyDescent="0.3">
      <c r="D7" s="36"/>
      <c r="E7" s="61"/>
    </row>
    <row r="8" spans="2:8" x14ac:dyDescent="0.3">
      <c r="D8" s="36"/>
      <c r="E8" s="61"/>
    </row>
    <row r="9" spans="2:8" x14ac:dyDescent="0.3">
      <c r="D9" s="36"/>
      <c r="E9" s="61"/>
    </row>
    <row r="10" spans="2:8" x14ac:dyDescent="0.3">
      <c r="D10" s="36"/>
      <c r="E10" s="61"/>
    </row>
    <row r="11" spans="2:8" x14ac:dyDescent="0.3">
      <c r="D11" s="36"/>
      <c r="E11" s="61"/>
    </row>
    <row r="12" spans="2:8" x14ac:dyDescent="0.3">
      <c r="D12" s="36"/>
      <c r="E12" s="61"/>
    </row>
    <row r="13" spans="2:8" x14ac:dyDescent="0.3">
      <c r="D13" s="36"/>
      <c r="E13" s="61"/>
    </row>
    <row r="14" spans="2:8" x14ac:dyDescent="0.3">
      <c r="D14" s="36"/>
      <c r="E14" s="61"/>
    </row>
    <row r="15" spans="2:8" x14ac:dyDescent="0.3">
      <c r="D15" s="36"/>
      <c r="E15" s="61"/>
    </row>
    <row r="16" spans="2:8" x14ac:dyDescent="0.3">
      <c r="D16" s="36"/>
      <c r="E16" s="61"/>
    </row>
    <row r="17" spans="4:5" x14ac:dyDescent="0.3">
      <c r="D17" s="36"/>
      <c r="E17" s="61"/>
    </row>
    <row r="18" spans="4:5" x14ac:dyDescent="0.3">
      <c r="D18" s="36"/>
      <c r="E18" s="61"/>
    </row>
    <row r="19" spans="4:5" x14ac:dyDescent="0.3">
      <c r="D19" s="36"/>
      <c r="E19" s="61"/>
    </row>
    <row r="20" spans="4:5" x14ac:dyDescent="0.3">
      <c r="D20" s="36"/>
      <c r="E20" s="61"/>
    </row>
    <row r="21" spans="4:5" x14ac:dyDescent="0.3">
      <c r="D21" s="36"/>
      <c r="E21" s="61"/>
    </row>
    <row r="22" spans="4:5" x14ac:dyDescent="0.3">
      <c r="D22" s="36"/>
      <c r="E22" s="61"/>
    </row>
    <row r="23" spans="4:5" x14ac:dyDescent="0.3">
      <c r="D23" s="36"/>
      <c r="E23" s="61"/>
    </row>
    <row r="24" spans="4:5" x14ac:dyDescent="0.3">
      <c r="D24" s="36"/>
      <c r="E24" s="61"/>
    </row>
    <row r="25" spans="4:5" x14ac:dyDescent="0.3">
      <c r="D25" s="36"/>
      <c r="E25" s="61"/>
    </row>
    <row r="26" spans="4:5" x14ac:dyDescent="0.3">
      <c r="D26" s="36"/>
      <c r="E26" s="61"/>
    </row>
    <row r="27" spans="4:5" x14ac:dyDescent="0.3">
      <c r="D27" s="36"/>
      <c r="E27" s="61"/>
    </row>
    <row r="28" spans="4:5" x14ac:dyDescent="0.3">
      <c r="D28" s="36"/>
      <c r="E28" s="6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AA0F6-197C-5C46-B6F5-27BFEA9FE7E8}">
  <sheetPr codeName="Hoja8"/>
  <dimension ref="B1:AI30"/>
  <sheetViews>
    <sheetView showGridLines="0" zoomScaleNormal="100" workbookViewId="0">
      <selection activeCell="D30" sqref="D30"/>
    </sheetView>
  </sheetViews>
  <sheetFormatPr baseColWidth="10" defaultRowHeight="15.6" x14ac:dyDescent="0.3"/>
  <cols>
    <col min="1" max="1" width="1.8984375" customWidth="1"/>
    <col min="2" max="2" width="43.69921875" customWidth="1"/>
    <col min="3" max="3" width="37.59765625" customWidth="1"/>
    <col min="4" max="4" width="23.19921875" customWidth="1"/>
    <col min="5" max="5" width="13.5" customWidth="1"/>
    <col min="6" max="6" width="13.5" style="67" customWidth="1"/>
    <col min="7" max="7" width="11.19921875" style="81" customWidth="1"/>
    <col min="8" max="8" width="13.8984375" style="82" bestFit="1" customWidth="1"/>
    <col min="9" max="9" width="13.8984375" style="82" customWidth="1"/>
    <col min="10" max="10" width="13.8984375" style="80" customWidth="1"/>
    <col min="11" max="11" width="13.19921875" style="80" customWidth="1"/>
    <col min="12" max="12" width="11.69921875" customWidth="1"/>
    <col min="13" max="13" width="12.59765625" style="57" customWidth="1"/>
    <col min="14" max="15" width="14.19921875" style="71" customWidth="1"/>
    <col min="16" max="16" width="18.59765625" style="72" customWidth="1"/>
    <col min="17" max="17" width="11.19921875" customWidth="1"/>
  </cols>
  <sheetData>
    <row r="1" spans="2:35" ht="6" customHeight="1" x14ac:dyDescent="0.3">
      <c r="F1"/>
      <c r="G1"/>
      <c r="H1"/>
      <c r="I1"/>
      <c r="J1" s="63"/>
      <c r="K1" s="63"/>
      <c r="N1" s="57"/>
      <c r="O1" s="57"/>
      <c r="P1"/>
    </row>
    <row r="2" spans="2:35" ht="42" customHeight="1" x14ac:dyDescent="0.3">
      <c r="B2" s="87" t="s">
        <v>98</v>
      </c>
      <c r="C2" s="1"/>
      <c r="D2" s="1"/>
      <c r="E2" s="1"/>
      <c r="F2" s="1"/>
      <c r="G2" s="1"/>
      <c r="H2" s="1"/>
      <c r="I2" s="1"/>
      <c r="J2" s="68" t="s">
        <v>100</v>
      </c>
      <c r="K2" s="68" t="s">
        <v>99</v>
      </c>
      <c r="L2" s="68" t="s">
        <v>94</v>
      </c>
      <c r="M2" s="88" t="s">
        <v>95</v>
      </c>
      <c r="N2" s="88"/>
      <c r="O2" s="68" t="s">
        <v>93</v>
      </c>
      <c r="P2" s="68" t="s">
        <v>97</v>
      </c>
    </row>
    <row r="3" spans="2:35" ht="28.8" customHeight="1" x14ac:dyDescent="0.3">
      <c r="B3" s="87"/>
      <c r="C3" s="1"/>
      <c r="D3" s="1"/>
      <c r="E3" s="1"/>
      <c r="F3" s="1"/>
      <c r="G3" s="1"/>
      <c r="H3" s="1"/>
      <c r="I3" s="1"/>
      <c r="J3" s="69">
        <f ca="1">Cálculos!D17</f>
        <v>0</v>
      </c>
      <c r="K3" s="69">
        <f ca="1">J3-(SUM(_xlfn.ANCHORARRAY(M7)))</f>
        <v>0</v>
      </c>
      <c r="L3" s="69">
        <f>IFERROR(SUM(_xlfn.ANCHORARRAY(L7)),"0")</f>
        <v>0</v>
      </c>
      <c r="M3" s="73">
        <f>IFERROR(SUM(_xlfn.ANCHORARRAY(I7)),"0")</f>
        <v>0</v>
      </c>
      <c r="N3" s="74" t="str">
        <f>IFERROR(M3/(L3-M3),"0")</f>
        <v>0</v>
      </c>
      <c r="O3" s="70">
        <f>IFERROR(SUM(_xlfn.ANCHORARRAY(N7)),"0")</f>
        <v>0</v>
      </c>
      <c r="P3" s="70">
        <f>IFERROR(SUM(_xlfn.ANCHORARRAY(P7)),"0")</f>
        <v>0</v>
      </c>
    </row>
    <row r="4" spans="2:35" ht="3.6" customHeight="1" x14ac:dyDescent="0.3">
      <c r="F4"/>
      <c r="G4"/>
      <c r="H4"/>
      <c r="I4"/>
      <c r="J4" s="63"/>
      <c r="K4" s="63"/>
      <c r="N4" s="57"/>
      <c r="O4" s="57"/>
      <c r="P4"/>
    </row>
    <row r="5" spans="2:35" ht="16.2" customHeight="1" x14ac:dyDescent="0.3">
      <c r="B5" s="84" t="s">
        <v>79</v>
      </c>
      <c r="C5" s="84"/>
      <c r="D5" s="84"/>
      <c r="E5" s="84"/>
      <c r="F5" s="84"/>
      <c r="G5" s="84"/>
      <c r="H5" s="84"/>
      <c r="I5" s="84"/>
      <c r="J5" s="84"/>
      <c r="K5" s="84"/>
      <c r="L5" s="84"/>
      <c r="M5" s="84"/>
      <c r="N5" s="84"/>
      <c r="O5" s="84"/>
      <c r="P5" s="84"/>
    </row>
    <row r="6" spans="2:35" ht="39.6" customHeight="1" x14ac:dyDescent="0.3">
      <c r="B6" s="58" t="s">
        <v>80</v>
      </c>
      <c r="C6" s="58" t="s">
        <v>81</v>
      </c>
      <c r="D6" s="58" t="s">
        <v>83</v>
      </c>
      <c r="E6" s="58" t="s">
        <v>84</v>
      </c>
      <c r="F6" s="58" t="s">
        <v>82</v>
      </c>
      <c r="G6" s="58" t="s">
        <v>89</v>
      </c>
      <c r="H6" s="58" t="s">
        <v>90</v>
      </c>
      <c r="I6" s="62" t="s">
        <v>85</v>
      </c>
      <c r="J6" s="64" t="s">
        <v>87</v>
      </c>
      <c r="K6" s="58" t="s">
        <v>86</v>
      </c>
      <c r="L6" s="58" t="s">
        <v>91</v>
      </c>
      <c r="M6" s="62" t="s">
        <v>92</v>
      </c>
      <c r="N6" s="65" t="s">
        <v>93</v>
      </c>
      <c r="O6" s="65" t="s">
        <v>105</v>
      </c>
      <c r="P6" s="58" t="s">
        <v>96</v>
      </c>
    </row>
    <row r="7" spans="2:35" x14ac:dyDescent="0.3">
      <c r="B7" t="str" cm="1">
        <f t="array" ref="B7">IFERROR(_xlfn.UNIQUE(_xlfn._xlws.FILTER(Cotizaciones[Tablero de cotizaciones],SUMIF(Cotizaciones[Tablero de cotizaciones],Cotizaciones[Tablero de cotizaciones],Cotizaciones[Cantidad])&gt;0)),"No hay inversiones")</f>
        <v>No hay inversiones</v>
      </c>
      <c r="C7" t="str" cm="1">
        <f t="array" ref="C7">IFERROR(_FV(_xlfn.ANCHORARRAY(B7),"Sector"),"No hay inversiones")</f>
        <v>No hay inversiones</v>
      </c>
      <c r="D7" s="60" t="str" cm="1">
        <f t="array" ref="D7">IFERROR(_FV(_xlfn.ANCHORARRAY(B7),"Capitalización de mercado",TRUE)/1000000000,"0")</f>
        <v>0</v>
      </c>
      <c r="E7" s="59" t="str" cm="1">
        <f t="array" ref="E7">IF(_xlfn.ANCHORARRAY(D7)&gt;10,"Grd",IF(_xlfn.ANCHORARRAY(D7)&gt;2,"Med","Peq"))</f>
        <v>Grd</v>
      </c>
      <c r="F7" s="66" t="str" cm="1">
        <f t="array" ref="F7">IFERROR(_FV(_xlfn.ANCHORARRAY(B7),"Beta"),"0")</f>
        <v>0</v>
      </c>
      <c r="G7" s="81" cm="1">
        <f t="array" ref="G7">SUMIF(Cotizaciones[Tablero de cotizaciones],_xlfn.ANCHORARRAY('Cartera Inversión'!B7),Cotizaciones[Cantidad])</f>
        <v>0</v>
      </c>
      <c r="H7" s="79" t="str" cm="1">
        <f t="array" ref="H7">IFERROR(_FV(_xlfn.ANCHORARRAY(B7),"Precio"),"0")</f>
        <v>0</v>
      </c>
      <c r="I7" s="79" t="str" cm="1">
        <f t="array" ref="I7">IFERROR(_xlfn.ANCHORARRAY(H7)-_FV(_xlfn.ANCHORARRAY(B7),"Cierre anterior",TRUE),"0")</f>
        <v>0</v>
      </c>
      <c r="J7" s="80" t="str" cm="1">
        <f t="array" ref="J7">IFERROR(_xlfn.ANCHORARRAY(I7)/(L7-_xlfn.ANCHORARRAY(I7)),"0")</f>
        <v>0</v>
      </c>
      <c r="K7" s="83" t="str" cm="1">
        <f t="array" ref="K7">IFERROR(_xlfn.ANCHORARRAY(L7)/SUM(_xlfn.ANCHORARRAY(L7)),"0")</f>
        <v>0</v>
      </c>
      <c r="L7" s="44" cm="1">
        <f t="array" ref="L7">_xlfn.ANCHORARRAY(H7)*_xlfn.ANCHORARRAY(G7)</f>
        <v>0</v>
      </c>
      <c r="M7" s="57" cm="1">
        <f t="array" ref="M7">SUMIFS(Cotizaciones[Cantidad Total],Cotizaciones[Tablero de cotizaciones],_xlfn.ANCHORARRAY('Cartera Inversión'!B7),Cotizaciones[Transacción],"Compra")+SUMIFS(Cotizaciones[Cantidad Total],Cotizaciones[Tablero de cotizaciones],_xlfn.ANCHORARRAY('Cartera Inversión'!B7),Cotizaciones[Transacción],"Venta")</f>
        <v>0</v>
      </c>
      <c r="N7" s="71" cm="1">
        <f t="array" ref="N7">_xlfn.ANCHORARRAY(L7)-_xlfn.ANCHORARRAY(M7)</f>
        <v>0</v>
      </c>
      <c r="O7" s="71" cm="1">
        <f t="array" ref="O7">SUMIF(Cotizaciones[Tablero de cotizaciones],_xlfn.ANCHORARRAY('Cartera Inversión'!B7),Cotizaciones[Dividendo])</f>
        <v>0</v>
      </c>
      <c r="P7" s="72" cm="1">
        <f t="array" ref="P7">_xlfn.ANCHORARRAY(N7)+SUMIF(Cotizaciones[Tablero de cotizaciones],_xlfn.ANCHORARRAY('Cartera Inversión'!B7),Cotizaciones[Dividendo])</f>
        <v>0</v>
      </c>
      <c r="Q7" s="44"/>
    </row>
    <row r="8" spans="2:35" x14ac:dyDescent="0.3">
      <c r="D8" s="60"/>
      <c r="E8" s="59"/>
      <c r="F8" s="66"/>
      <c r="H8" s="79"/>
      <c r="I8" s="79"/>
      <c r="K8" s="83"/>
      <c r="L8" s="44"/>
      <c r="Q8" s="44"/>
      <c r="R8" s="54"/>
      <c r="S8" s="54"/>
      <c r="T8" s="54"/>
      <c r="U8" s="54"/>
      <c r="V8" s="54"/>
      <c r="W8" s="54"/>
      <c r="X8" s="54"/>
      <c r="Y8" s="54"/>
      <c r="Z8" s="54"/>
      <c r="AA8" s="54"/>
      <c r="AB8" s="54"/>
      <c r="AC8" s="54"/>
      <c r="AD8" s="54"/>
      <c r="AE8" s="54"/>
      <c r="AF8" s="54"/>
      <c r="AG8" s="54"/>
      <c r="AH8" s="54"/>
      <c r="AI8" s="54"/>
    </row>
    <row r="9" spans="2:35" x14ac:dyDescent="0.3">
      <c r="D9" s="60"/>
      <c r="E9" s="59"/>
      <c r="F9" s="66"/>
      <c r="H9" s="79"/>
      <c r="I9" s="79"/>
      <c r="K9" s="83"/>
      <c r="L9" s="44"/>
      <c r="Q9" s="44"/>
    </row>
    <row r="10" spans="2:35" x14ac:dyDescent="0.3">
      <c r="D10" s="60"/>
      <c r="E10" s="59"/>
      <c r="F10" s="66"/>
      <c r="H10" s="79"/>
      <c r="I10" s="79"/>
      <c r="K10" s="83"/>
      <c r="L10" s="44"/>
      <c r="Q10" s="44"/>
    </row>
    <row r="11" spans="2:35" x14ac:dyDescent="0.3">
      <c r="D11" s="60"/>
      <c r="E11" s="59"/>
      <c r="F11" s="66"/>
      <c r="H11" s="79"/>
      <c r="I11" s="79"/>
      <c r="K11" s="83"/>
      <c r="L11" s="44"/>
      <c r="Q11" s="44"/>
    </row>
    <row r="12" spans="2:35" x14ac:dyDescent="0.3">
      <c r="D12" s="60"/>
      <c r="E12" s="59"/>
      <c r="F12" s="66"/>
      <c r="H12" s="79"/>
      <c r="I12" s="79"/>
      <c r="K12" s="83"/>
      <c r="L12" s="44"/>
      <c r="Q12" s="44"/>
    </row>
    <row r="13" spans="2:35" x14ac:dyDescent="0.3">
      <c r="D13" s="60"/>
      <c r="E13" s="59"/>
      <c r="F13" s="66"/>
      <c r="H13" s="79"/>
      <c r="I13" s="79"/>
      <c r="K13" s="83"/>
      <c r="L13" s="44"/>
      <c r="Q13" s="44"/>
    </row>
    <row r="14" spans="2:35" x14ac:dyDescent="0.3">
      <c r="D14" s="60"/>
      <c r="E14" s="59"/>
      <c r="F14" s="66"/>
      <c r="H14" s="79"/>
      <c r="I14" s="79"/>
      <c r="K14" s="83"/>
      <c r="L14" s="44"/>
      <c r="Q14" s="44"/>
    </row>
    <row r="15" spans="2:35" x14ac:dyDescent="0.3">
      <c r="D15" s="60"/>
      <c r="E15" s="59"/>
      <c r="F15" s="66"/>
      <c r="H15" s="79"/>
      <c r="I15" s="79"/>
      <c r="K15" s="83"/>
      <c r="L15" s="44"/>
      <c r="Q15" s="44"/>
    </row>
    <row r="16" spans="2:35" x14ac:dyDescent="0.3">
      <c r="E16" s="59"/>
      <c r="F16" s="66"/>
      <c r="I16" s="79"/>
      <c r="K16" s="83"/>
      <c r="L16" s="44"/>
      <c r="Q16" s="44"/>
    </row>
    <row r="17" spans="5:17" x14ac:dyDescent="0.3">
      <c r="E17" s="59"/>
      <c r="F17" s="66"/>
      <c r="I17" s="79"/>
      <c r="K17" s="83"/>
      <c r="L17" s="44"/>
      <c r="Q17" s="44"/>
    </row>
    <row r="18" spans="5:17" x14ac:dyDescent="0.3">
      <c r="E18" s="59"/>
      <c r="F18" s="66"/>
      <c r="I18" s="79"/>
      <c r="K18" s="83"/>
      <c r="L18" s="44"/>
      <c r="Q18" s="44"/>
    </row>
    <row r="19" spans="5:17" x14ac:dyDescent="0.3">
      <c r="E19" s="59"/>
      <c r="F19" s="66"/>
      <c r="I19" s="79"/>
      <c r="K19" s="83"/>
      <c r="L19" s="44"/>
      <c r="Q19" s="44"/>
    </row>
    <row r="20" spans="5:17" x14ac:dyDescent="0.3">
      <c r="E20" s="59"/>
      <c r="I20" s="79"/>
      <c r="K20" s="83"/>
      <c r="L20" s="44"/>
      <c r="Q20" s="44"/>
    </row>
    <row r="21" spans="5:17" x14ac:dyDescent="0.3">
      <c r="E21" s="59" t="s">
        <v>73</v>
      </c>
      <c r="I21" s="79"/>
      <c r="K21" s="83"/>
      <c r="L21" s="44"/>
    </row>
    <row r="27" spans="5:17" x14ac:dyDescent="0.3">
      <c r="J27" s="80" t="s">
        <v>73</v>
      </c>
    </row>
    <row r="30" spans="5:17" x14ac:dyDescent="0.3">
      <c r="G30" s="81" t="s">
        <v>73</v>
      </c>
    </row>
  </sheetData>
  <mergeCells count="3">
    <mergeCell ref="B5:P5"/>
    <mergeCell ref="B2:B3"/>
    <mergeCell ref="M2:N2"/>
  </mergeCells>
  <conditionalFormatting sqref="I7:I1048576">
    <cfRule type="cellIs" dxfId="3" priority="16" operator="lessThan">
      <formula>0</formula>
    </cfRule>
  </conditionalFormatting>
  <conditionalFormatting sqref="J22:K1048576 J7:J21">
    <cfRule type="cellIs" dxfId="2" priority="13" operator="lessThan">
      <formula>0</formula>
    </cfRule>
  </conditionalFormatting>
  <conditionalFormatting sqref="N7:N1048576">
    <cfRule type="cellIs" dxfId="1" priority="11" operator="lessThan">
      <formula>0</formula>
    </cfRule>
  </conditionalFormatting>
  <conditionalFormatting sqref="P7:P1048576">
    <cfRule type="cellIs" dxfId="0" priority="9" operator="lessThan">
      <formula>0</formula>
    </cfRule>
  </conditionalFormatting>
  <conditionalFormatting sqref="L7:L1048576">
    <cfRule type="dataBar" priority="1">
      <dataBar>
        <cfvo type="min"/>
        <cfvo type="max"/>
        <color rgb="FF638EC6"/>
      </dataBar>
      <extLst>
        <ext xmlns:x14="http://schemas.microsoft.com/office/spreadsheetml/2009/9/main" uri="{B025F937-C7B1-47D3-B67F-A62EFF666E3E}">
          <x14:id>{FC881004-FA5F-4872-A56D-112D87E3B6F3}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C881004-FA5F-4872-A56D-112D87E3B6F3}">
            <x14:dataBar minLength="0" maxLength="100" border="1" negativeBarBorderColorSameAsPositive="0">
              <x14:cfvo type="autoMin"/>
              <x14:cfvo type="autoMax"/>
              <x14:borderColor rgb="FF638EC6"/>
              <x14:negativeFillColor rgb="FFFF0000"/>
              <x14:negativeBorderColor rgb="FFFF0000"/>
              <x14:axisColor rgb="FF000000"/>
            </x14:dataBar>
          </x14:cfRule>
          <xm:sqref>L7:L1048576</xm:sqref>
        </x14:conditionalFormatting>
        <x14:conditionalFormatting xmlns:xm="http://schemas.microsoft.com/office/excel/2006/main">
          <x14:cfRule type="iconSet" priority="17" id="{04B3B506-F260-4E9D-BECA-42447ECD8210}">
            <x14:iconSet iconSet="3Triangles">
              <x14:cfvo type="percent">
                <xm:f>0</xm:f>
              </x14:cfvo>
              <x14:cfvo type="num">
                <xm:f>0</xm:f>
              </x14:cfvo>
              <x14:cfvo type="num">
                <xm:f>0</xm:f>
              </x14:cfvo>
            </x14:iconSet>
          </x14:cfRule>
          <x14:cfRule type="iconSet" priority="18" id="{6CBD8F84-7C2E-4BFE-AEB1-4E42C75073EF}">
            <x14:iconSet iconSet="3Triangles">
              <x14:cfvo type="percent">
                <xm:f>0</xm:f>
              </x14:cfvo>
              <x14:cfvo type="percent">
                <xm:f>33</xm:f>
              </x14:cfvo>
              <x14:cfvo type="percent">
                <xm:f>67</xm:f>
              </x14:cfvo>
            </x14:iconSet>
          </x14:cfRule>
          <xm:sqref>I7:I1048576</xm:sqref>
        </x14:conditionalFormatting>
        <x14:conditionalFormatting xmlns:xm="http://schemas.microsoft.com/office/excel/2006/main">
          <x14:cfRule type="iconSet" priority="14" id="{332D88D1-D96D-4E43-A678-BB0547B771E5}">
            <x14:iconSet iconSet="3Triangles">
              <x14:cfvo type="percent">
                <xm:f>0</xm:f>
              </x14:cfvo>
              <x14:cfvo type="num">
                <xm:f>0</xm:f>
              </x14:cfvo>
              <x14:cfvo type="num">
                <xm:f>0</xm:f>
              </x14:cfvo>
            </x14:iconSet>
          </x14:cfRule>
          <xm:sqref>J22:K1048576 J7:J21</xm:sqref>
        </x14:conditionalFormatting>
        <x14:conditionalFormatting xmlns:xm="http://schemas.microsoft.com/office/excel/2006/main">
          <x14:cfRule type="iconSet" priority="8" id="{2EC2AF81-35F9-4797-A4AE-902B9E049606}">
            <x14:iconSet iconSet="3Triangles">
              <x14:cfvo type="percent">
                <xm:f>0</xm:f>
              </x14:cfvo>
              <x14:cfvo type="num">
                <xm:f>0</xm:f>
              </x14:cfvo>
              <x14:cfvo type="num">
                <xm:f>0</xm:f>
              </x14:cfvo>
            </x14:iconSet>
          </x14:cfRule>
          <xm:sqref>N7:N1048576</xm:sqref>
        </x14:conditionalFormatting>
        <x14:conditionalFormatting xmlns:xm="http://schemas.microsoft.com/office/excel/2006/main">
          <x14:cfRule type="iconSet" priority="7" id="{35AC6271-665F-4413-B614-D5C4000F5B2A}">
            <x14:iconSet iconSet="3Triangles">
              <x14:cfvo type="percent">
                <xm:f>0</xm:f>
              </x14:cfvo>
              <x14:cfvo type="num">
                <xm:f>0</xm:f>
              </x14:cfvo>
              <x14:cfvo type="num">
                <xm:f>0</xm:f>
              </x14:cfvo>
            </x14:iconSet>
          </x14:cfRule>
          <xm:sqref>P7:P1048576</xm:sqref>
        </x14:conditionalFormatting>
        <x14:conditionalFormatting xmlns:xm="http://schemas.microsoft.com/office/excel/2006/main">
          <x14:cfRule type="iconSet" priority="5" id="{931B7D78-35A5-45B8-BC73-CD02404729A2}">
            <x14:iconSet iconSet="3Triangles">
              <x14:cfvo type="percent">
                <xm:f>0</xm:f>
              </x14:cfvo>
              <x14:cfvo type="num">
                <xm:f>0</xm:f>
              </x14:cfvo>
              <x14:cfvo type="num">
                <xm:f>0</xm:f>
              </x14:cfvo>
            </x14:iconSet>
          </x14:cfRule>
          <xm:sqref>P3</xm:sqref>
        </x14:conditionalFormatting>
        <x14:conditionalFormatting xmlns:xm="http://schemas.microsoft.com/office/excel/2006/main">
          <x14:cfRule type="iconSet" priority="4" id="{E250AF51-2C09-4728-98CF-84E346054278}">
            <x14:iconSet iconSet="3Triangles">
              <x14:cfvo type="percent">
                <xm:f>0</xm:f>
              </x14:cfvo>
              <x14:cfvo type="num">
                <xm:f>0</xm:f>
              </x14:cfvo>
              <x14:cfvo type="num">
                <xm:f>0</xm:f>
              </x14:cfvo>
            </x14:iconSet>
          </x14:cfRule>
          <xm:sqref>M3</xm:sqref>
        </x14:conditionalFormatting>
        <x14:conditionalFormatting xmlns:xm="http://schemas.microsoft.com/office/excel/2006/main">
          <x14:cfRule type="iconSet" priority="3" id="{D7EE4205-0D60-4F8F-9E41-629E33CD231E}">
            <x14:iconSet iconSet="3Triangles">
              <x14:cfvo type="percent">
                <xm:f>0</xm:f>
              </x14:cfvo>
              <x14:cfvo type="percent" gte="0">
                <xm:f>0</xm:f>
              </x14:cfvo>
              <x14:cfvo type="num" gte="0">
                <xm:f>0</xm:f>
              </x14:cfvo>
            </x14:iconSet>
          </x14:cfRule>
          <xm:sqref>N3</xm:sqref>
        </x14:conditionalFormatting>
        <x14:conditionalFormatting xmlns:xm="http://schemas.microsoft.com/office/excel/2006/main">
          <x14:cfRule type="iconSet" priority="57" id="{B3E1CC0F-0E81-44BD-8061-EF9A88D125B7}">
            <x14:iconSet iconSet="3Triangles">
              <x14:cfvo type="percent">
                <xm:f>0</xm:f>
              </x14:cfvo>
              <x14:cfvo type="num">
                <xm:f>0</xm:f>
              </x14:cfvo>
              <x14:cfvo type="num">
                <xm:f>0</xm:f>
              </x14:cfvo>
            </x14:iconSet>
          </x14:cfRule>
          <xm:sqref>O3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8E80D-59D8-4723-85A5-876240ACB1E5}">
  <sheetPr codeName="Hoja10"/>
  <dimension ref="B35"/>
  <sheetViews>
    <sheetView showGridLines="0" workbookViewId="0">
      <selection activeCell="P22" sqref="P22"/>
    </sheetView>
  </sheetViews>
  <sheetFormatPr baseColWidth="10" defaultRowHeight="15.6" x14ac:dyDescent="0.3"/>
  <cols>
    <col min="2" max="3" width="17.59765625" bestFit="1" customWidth="1"/>
  </cols>
  <sheetData>
    <row r="35" spans="2:2" x14ac:dyDescent="0.3">
      <c r="B35" t="s">
        <v>104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A32DB-D573-B245-A268-5973BABB3854}">
  <sheetPr codeName="Hoja6"/>
  <dimension ref="C5:L18"/>
  <sheetViews>
    <sheetView showGridLines="0" topLeftCell="A6" workbookViewId="0">
      <selection activeCell="L21" sqref="L21"/>
    </sheetView>
  </sheetViews>
  <sheetFormatPr baseColWidth="10" defaultRowHeight="15.6" x14ac:dyDescent="0.3"/>
  <cols>
    <col min="3" max="3" width="30.69921875" customWidth="1"/>
    <col min="9" max="9" width="11.19921875" customWidth="1"/>
  </cols>
  <sheetData>
    <row r="5" spans="3:12" ht="28.8" x14ac:dyDescent="0.55000000000000004">
      <c r="C5" s="43" t="s">
        <v>48</v>
      </c>
      <c r="D5" s="1"/>
      <c r="E5" s="1"/>
      <c r="F5" s="1"/>
      <c r="I5" s="43" t="s">
        <v>109</v>
      </c>
      <c r="J5" s="43"/>
      <c r="K5" s="1"/>
      <c r="L5" s="1"/>
    </row>
    <row r="6" spans="3:12" x14ac:dyDescent="0.3">
      <c r="C6" s="98">
        <f ca="1">I6+Cálculos!D15+Cálculos!D16</f>
        <v>0</v>
      </c>
      <c r="D6" s="99"/>
      <c r="E6" s="99"/>
      <c r="F6" s="100"/>
      <c r="I6" s="89"/>
      <c r="J6" s="90"/>
      <c r="K6" s="90"/>
      <c r="L6" s="91"/>
    </row>
    <row r="7" spans="3:12" ht="21" customHeight="1" x14ac:dyDescent="0.3">
      <c r="C7" s="98"/>
      <c r="D7" s="99"/>
      <c r="E7" s="99"/>
      <c r="F7" s="100"/>
      <c r="I7" s="92"/>
      <c r="J7" s="93"/>
      <c r="K7" s="93"/>
      <c r="L7" s="94"/>
    </row>
    <row r="8" spans="3:12" x14ac:dyDescent="0.3">
      <c r="C8" s="101"/>
      <c r="D8" s="102"/>
      <c r="E8" s="102"/>
      <c r="F8" s="103"/>
      <c r="I8" s="95"/>
      <c r="J8" s="96"/>
      <c r="K8" s="96"/>
      <c r="L8" s="97"/>
    </row>
    <row r="10" spans="3:12" ht="28.8" x14ac:dyDescent="0.55000000000000004">
      <c r="C10" s="13" t="s">
        <v>49</v>
      </c>
      <c r="D10" s="1"/>
      <c r="E10" s="1"/>
      <c r="F10" s="1"/>
    </row>
    <row r="11" spans="3:12" x14ac:dyDescent="0.3">
      <c r="C11" s="104">
        <f ca="1">'Cartera Inversión'!K3+'Cartera Inversión'!L3</f>
        <v>0</v>
      </c>
      <c r="D11" s="105"/>
      <c r="E11" s="105"/>
      <c r="F11" s="106"/>
    </row>
    <row r="12" spans="3:12" ht="21" customHeight="1" x14ac:dyDescent="0.3">
      <c r="C12" s="104"/>
      <c r="D12" s="105"/>
      <c r="E12" s="105"/>
      <c r="F12" s="106"/>
    </row>
    <row r="13" spans="3:12" x14ac:dyDescent="0.3">
      <c r="C13" s="107"/>
      <c r="D13" s="108"/>
      <c r="E13" s="108"/>
      <c r="F13" s="109"/>
    </row>
    <row r="15" spans="3:12" ht="28.8" x14ac:dyDescent="0.55000000000000004">
      <c r="C15" s="13" t="s">
        <v>50</v>
      </c>
      <c r="D15" s="1"/>
      <c r="E15" s="1"/>
      <c r="F15" s="1"/>
    </row>
    <row r="16" spans="3:12" ht="15.6" customHeight="1" x14ac:dyDescent="0.3">
      <c r="C16" s="104">
        <f ca="1">C6+C11</f>
        <v>0</v>
      </c>
      <c r="D16" s="105"/>
      <c r="E16" s="105"/>
      <c r="F16" s="106"/>
    </row>
    <row r="17" spans="3:10" ht="21" customHeight="1" x14ac:dyDescent="0.3">
      <c r="C17" s="104"/>
      <c r="D17" s="105"/>
      <c r="E17" s="105"/>
      <c r="F17" s="106"/>
      <c r="J17" s="44"/>
    </row>
    <row r="18" spans="3:10" ht="15.6" customHeight="1" x14ac:dyDescent="0.3">
      <c r="C18" s="107"/>
      <c r="D18" s="108"/>
      <c r="E18" s="108"/>
      <c r="F18" s="109"/>
    </row>
  </sheetData>
  <mergeCells count="4">
    <mergeCell ref="I6:L8"/>
    <mergeCell ref="C6:F8"/>
    <mergeCell ref="C11:F13"/>
    <mergeCell ref="C16:F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Ajustes</vt:lpstr>
      <vt:lpstr>Cálculos</vt:lpstr>
      <vt:lpstr>Presupuestos de Gastos</vt:lpstr>
      <vt:lpstr>Libro Diario</vt:lpstr>
      <vt:lpstr>Libro Mayor</vt:lpstr>
      <vt:lpstr>Dashboard I&amp;G</vt:lpstr>
      <vt:lpstr>Transacciones Inversión</vt:lpstr>
      <vt:lpstr>Cartera Inversión</vt:lpstr>
      <vt:lpstr>Dashboard Inversión</vt:lpstr>
      <vt:lpstr>Patrimonio</vt:lpstr>
      <vt:lpstr>Año_de_inicio</vt:lpstr>
      <vt:lpstr>Cambio_Ingresos_tardios_dia_inicio</vt:lpstr>
      <vt:lpstr>Cambio_Ingresos_tardios_estatus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 riera guardia</dc:creator>
  <cp:lastModifiedBy>PAU RIERA GUARDIA</cp:lastModifiedBy>
  <cp:lastPrinted>2023-11-30T16:26:00Z</cp:lastPrinted>
  <dcterms:created xsi:type="dcterms:W3CDTF">2023-09-05T08:56:25Z</dcterms:created>
  <dcterms:modified xsi:type="dcterms:W3CDTF">2024-06-18T08:35:02Z</dcterms:modified>
</cp:coreProperties>
</file>