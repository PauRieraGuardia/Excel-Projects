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6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1a7edefa746d31/Escritorio/"/>
    </mc:Choice>
  </mc:AlternateContent>
  <xr:revisionPtr revIDLastSave="0" documentId="8_{C2AC61BA-3CFC-4908-AFAC-CF28AA9F9F99}" xr6:coauthVersionLast="47" xr6:coauthVersionMax="47" xr10:uidLastSave="{00000000-0000-0000-0000-000000000000}"/>
  <bookViews>
    <workbookView xWindow="-28920" yWindow="-120" windowWidth="29040" windowHeight="15720" tabRatio="821" firstSheet="2" activeTab="2" xr2:uid="{38D620CB-1BB7-2444-A829-12B654074556}"/>
  </bookViews>
  <sheets>
    <sheet name="Ajustes" sheetId="1" state="hidden" r:id="rId1"/>
    <sheet name="Cálculos" sheetId="7" state="hidden" r:id="rId2"/>
    <sheet name="Presupuestos de Gastos" sheetId="11" r:id="rId3"/>
    <sheet name="Libro Mayor" sheetId="2" r:id="rId4"/>
    <sheet name="Libro Diario" sheetId="4" r:id="rId5"/>
    <sheet name="Dashboard I&amp;G" sheetId="6" r:id="rId6"/>
    <sheet name="Transacciones Inversión" sheetId="12" r:id="rId7"/>
    <sheet name="Cartera Inversión" sheetId="10" r:id="rId8"/>
    <sheet name="Dashboard Inversión" sheetId="14" r:id="rId9"/>
    <sheet name="Patrimonio" sheetId="8" r:id="rId10"/>
  </sheets>
  <definedNames>
    <definedName name="_xleta.SUM" hidden="1" xlm="1">#NAME?</definedName>
    <definedName name="Ahorros_encabezados_fila">ROW(Ahorros[#Headers])</definedName>
    <definedName name="Ahorros_max_fila">MAX(ROW(Ahorros[]))</definedName>
    <definedName name="Ahorros_min_fila">MIN(ROW(Ahorros[]))</definedName>
    <definedName name="Ahorros_total_fila">ROW('Libro Mayor'!$C$52)</definedName>
    <definedName name="Año_de_inicio">Ajustes!$E$8</definedName>
    <definedName name="Cambio_Ingresos_tardios_dia_inicio">Ajustes!$E$18</definedName>
    <definedName name="Cambio_Ingresos_tardios_estatus">Ajustes!$E$16</definedName>
    <definedName name="CAPITALIZACIÓN_NOMBRES">OFFSET(Cálculos!$C$21,0,0,COUNTA(Cálculos!$C$21:$C$200))</definedName>
    <definedName name="CAPITALIZACIÓN_PORCENTAJE">OFFSET(Cálculos!$D$21,0,0,COUNTA(Cálculos!$D$21:$D$200))</definedName>
    <definedName name="DIVIDENDOS_EUROS">OFFSET(Cálculos!$M$21,0,0,COUNTA(Cálculos!$M$21:$M$200))</definedName>
    <definedName name="DIVIDENDOS_NOMBRES">OFFSET(Cálculos!$L$21,0,0,COUNTA(Cálculos!$L$21:$L$200))</definedName>
    <definedName name="Gastos_encabezados_fila">ROW(Gastos[#Headers])</definedName>
    <definedName name="Gastos_max_fila">MAX(ROW(Gastos[]))</definedName>
    <definedName name="Gastos_min_fila">MIN(ROW(Gastos[]))</definedName>
    <definedName name="Gastos_total_fila">ROW('Libro Mayor'!$C$37)</definedName>
    <definedName name="Ingresos_encabezados_fila">ROW(Ingresos[#Headers])</definedName>
    <definedName name="Ingresos_max_fila">MAX(ROW(Ingresos[]))</definedName>
    <definedName name="Ingresos_min_fila">MIN(ROW(Ingresos[]))</definedName>
    <definedName name="Ingresos_total_fila">ROW('Libro Mayor'!$C$20)</definedName>
    <definedName name="SECTOR_NOMBRE">OFFSET(Cálculos!$F$21,0,0,COUNTA(Cálculos!$F$21:$F$200))</definedName>
    <definedName name="SECTOR_PORCENTAJE">OFFSET(Cálculos!$G$21,0,0,COUNTA(Cálculos!$G$21:$G$200))</definedName>
    <definedName name="SIMBOLO_NOMBRE">OFFSET(Cálculos!$I$21,0,0,COUNTA(Cálculos!$I$21:$I$200))</definedName>
    <definedName name="SIMBOLO_PORCENTAJE">OFFSET(Cálculos!$J$21,0,0,COUNTA(Cálculos!$J$21:$J$200))</definedName>
    <definedName name="solver_eng" localSheetId="9" hidden="1">1</definedName>
    <definedName name="solver_lin" localSheetId="9" hidden="1">2</definedName>
    <definedName name="solver_neg" localSheetId="9" hidden="1">1</definedName>
    <definedName name="solver_num" localSheetId="9" hidden="1">0</definedName>
    <definedName name="solver_opt" localSheetId="9" hidden="1">Patrimonio!#REF!</definedName>
    <definedName name="solver_typ" localSheetId="9" hidden="1">1</definedName>
    <definedName name="solver_val" localSheetId="9" hidden="1">0</definedName>
    <definedName name="solver_ver" localSheetId="9" hidden="1">2</definedName>
  </definedNames>
  <calcPr calcId="191028"/>
  <pivotCaches>
    <pivotCache cacheId="0" r:id="rId11"/>
    <pivotCache cacheId="7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10" i="4" l="1"/>
  <c r="I1110" i="4"/>
  <c r="H1109" i="4"/>
  <c r="I1109" i="4"/>
  <c r="H1108" i="4"/>
  <c r="I1108" i="4"/>
  <c r="H1107" i="4"/>
  <c r="I1107" i="4"/>
  <c r="H1106" i="4"/>
  <c r="I1106" i="4"/>
  <c r="H1105" i="4"/>
  <c r="I1105" i="4"/>
  <c r="H1104" i="4"/>
  <c r="I1104" i="4"/>
  <c r="H1103" i="4"/>
  <c r="I1103" i="4"/>
  <c r="H1102" i="4"/>
  <c r="I1102" i="4"/>
  <c r="H1101" i="4"/>
  <c r="I1101" i="4"/>
  <c r="H1100" i="4"/>
  <c r="I1100" i="4"/>
  <c r="H1099" i="4"/>
  <c r="I1099" i="4"/>
  <c r="H1098" i="4"/>
  <c r="I1098" i="4"/>
  <c r="H1097" i="4"/>
  <c r="I1097" i="4"/>
  <c r="H1096" i="4"/>
  <c r="I1096" i="4"/>
  <c r="H1095" i="4"/>
  <c r="I1095" i="4"/>
  <c r="H1094" i="4"/>
  <c r="I1094" i="4"/>
  <c r="H1093" i="4"/>
  <c r="I1093" i="4"/>
  <c r="H1092" i="4"/>
  <c r="I1092" i="4"/>
  <c r="H1091" i="4"/>
  <c r="I1091" i="4"/>
  <c r="H1090" i="4"/>
  <c r="I1090" i="4"/>
  <c r="H1089" i="4"/>
  <c r="I1089" i="4"/>
  <c r="H1088" i="4"/>
  <c r="I1088" i="4"/>
  <c r="H1087" i="4"/>
  <c r="I1087" i="4"/>
  <c r="H1086" i="4"/>
  <c r="I1086" i="4"/>
  <c r="H1085" i="4"/>
  <c r="I1085" i="4"/>
  <c r="H1084" i="4"/>
  <c r="I1084" i="4"/>
  <c r="H1083" i="4"/>
  <c r="I1083" i="4"/>
  <c r="H1082" i="4"/>
  <c r="I1082" i="4"/>
  <c r="H1081" i="4"/>
  <c r="I1081" i="4"/>
  <c r="H1080" i="4"/>
  <c r="I1080" i="4"/>
  <c r="H1079" i="4"/>
  <c r="I1079" i="4"/>
  <c r="H1078" i="4"/>
  <c r="I1078" i="4"/>
  <c r="BG45" i="2"/>
  <c r="BG46" i="2"/>
  <c r="BG47" i="2"/>
  <c r="BG48" i="2"/>
  <c r="BG49" i="2"/>
  <c r="BG50" i="2"/>
  <c r="BG51" i="2"/>
  <c r="DK45" i="2"/>
  <c r="DK46" i="2"/>
  <c r="DK47" i="2"/>
  <c r="DK48" i="2"/>
  <c r="DK49" i="2"/>
  <c r="DK50" i="2"/>
  <c r="DK51" i="2"/>
  <c r="H1077" i="4"/>
  <c r="I1077" i="4"/>
  <c r="AE47" i="2"/>
  <c r="H1076" i="4"/>
  <c r="I1076" i="4"/>
  <c r="H1075" i="4"/>
  <c r="I1075" i="4"/>
  <c r="H1074" i="4"/>
  <c r="I1074" i="4"/>
  <c r="H1073" i="4"/>
  <c r="I1073" i="4"/>
  <c r="H1072" i="4"/>
  <c r="I1072" i="4"/>
  <c r="H1071" i="4"/>
  <c r="I1071" i="4"/>
  <c r="H1070" i="4"/>
  <c r="I1070" i="4"/>
  <c r="H1069" i="4"/>
  <c r="I1069" i="4"/>
  <c r="H1068" i="4"/>
  <c r="I1068" i="4"/>
  <c r="H1067" i="4"/>
  <c r="I1067" i="4"/>
  <c r="H1066" i="4"/>
  <c r="I1066" i="4"/>
  <c r="H1065" i="4"/>
  <c r="I1065" i="4"/>
  <c r="H1064" i="4"/>
  <c r="I1064" i="4"/>
  <c r="H1063" i="4"/>
  <c r="I1063" i="4"/>
  <c r="H1062" i="4"/>
  <c r="I1062" i="4"/>
  <c r="H1061" i="4"/>
  <c r="I1061" i="4"/>
  <c r="H1060" i="4"/>
  <c r="I1060" i="4"/>
  <c r="H1059" i="4"/>
  <c r="I1059" i="4"/>
  <c r="H1058" i="4"/>
  <c r="I1058" i="4"/>
  <c r="H1057" i="4"/>
  <c r="I1057" i="4"/>
  <c r="H1056" i="4"/>
  <c r="I1056" i="4"/>
  <c r="H1055" i="4"/>
  <c r="I1055" i="4"/>
  <c r="H1054" i="4"/>
  <c r="I1054" i="4"/>
  <c r="H1053" i="4"/>
  <c r="I1053" i="4"/>
  <c r="H1052" i="4"/>
  <c r="I1052" i="4"/>
  <c r="H1051" i="4"/>
  <c r="I1051" i="4"/>
  <c r="H1050" i="4"/>
  <c r="I1050" i="4"/>
  <c r="H1049" i="4"/>
  <c r="I1049" i="4"/>
  <c r="H1048" i="4"/>
  <c r="I1048" i="4"/>
  <c r="H1047" i="4"/>
  <c r="I1047" i="4"/>
  <c r="H1046" i="4"/>
  <c r="I1046" i="4"/>
  <c r="H1045" i="4"/>
  <c r="I1045" i="4"/>
  <c r="H1044" i="4"/>
  <c r="I1044" i="4"/>
  <c r="H1043" i="4"/>
  <c r="I1043" i="4"/>
  <c r="H1042" i="4"/>
  <c r="I1042" i="4"/>
  <c r="H1041" i="4"/>
  <c r="I1041" i="4"/>
  <c r="H1040" i="4"/>
  <c r="I1040" i="4"/>
  <c r="H1039" i="4"/>
  <c r="I1039" i="4"/>
  <c r="H1038" i="4"/>
  <c r="I1038" i="4"/>
  <c r="H1037" i="4"/>
  <c r="I1037" i="4"/>
  <c r="H1036" i="4"/>
  <c r="I1036" i="4"/>
  <c r="H1035" i="4"/>
  <c r="I1035" i="4"/>
  <c r="H1034" i="4"/>
  <c r="I1034" i="4"/>
  <c r="H1033" i="4"/>
  <c r="I1033" i="4"/>
  <c r="Q34" i="2"/>
  <c r="H1032" i="4"/>
  <c r="I1032" i="4"/>
  <c r="H1031" i="4"/>
  <c r="I1031" i="4"/>
  <c r="H1030" i="4"/>
  <c r="I1030" i="4"/>
  <c r="H1029" i="4"/>
  <c r="I1029" i="4"/>
  <c r="H1028" i="4"/>
  <c r="I1028" i="4"/>
  <c r="H1027" i="4"/>
  <c r="I1027" i="4"/>
  <c r="H1026" i="4"/>
  <c r="I1026" i="4"/>
  <c r="H1025" i="4"/>
  <c r="I1025" i="4"/>
  <c r="H1024" i="4"/>
  <c r="I1024" i="4"/>
  <c r="H1023" i="4"/>
  <c r="I1023" i="4"/>
  <c r="H1022" i="4"/>
  <c r="I1022" i="4"/>
  <c r="H1021" i="4"/>
  <c r="I1021" i="4"/>
  <c r="H1020" i="4"/>
  <c r="I1020" i="4"/>
  <c r="H1019" i="4"/>
  <c r="I1019" i="4"/>
  <c r="H1018" i="4"/>
  <c r="I1018" i="4"/>
  <c r="H1017" i="4"/>
  <c r="I1017" i="4"/>
  <c r="H1016" i="4"/>
  <c r="I1016" i="4"/>
  <c r="H1015" i="4"/>
  <c r="I1015" i="4"/>
  <c r="H1014" i="4"/>
  <c r="I1014" i="4"/>
  <c r="H1013" i="4"/>
  <c r="I1013" i="4"/>
  <c r="H1012" i="4"/>
  <c r="I1012" i="4"/>
  <c r="H1011" i="4"/>
  <c r="I1011" i="4"/>
  <c r="H1010" i="4"/>
  <c r="I1010" i="4"/>
  <c r="H1009" i="4"/>
  <c r="I1009" i="4"/>
  <c r="H1008" i="4"/>
  <c r="I1008" i="4"/>
  <c r="H1007" i="4"/>
  <c r="I1007" i="4"/>
  <c r="H1006" i="4"/>
  <c r="I1006" i="4"/>
  <c r="H1005" i="4"/>
  <c r="I1005" i="4"/>
  <c r="H1004" i="4"/>
  <c r="I1004" i="4"/>
  <c r="H1003" i="4"/>
  <c r="I1003" i="4"/>
  <c r="H1002" i="4"/>
  <c r="I1002" i="4"/>
  <c r="H1001" i="4"/>
  <c r="I1001" i="4"/>
  <c r="H1000" i="4"/>
  <c r="I1000" i="4"/>
  <c r="H999" i="4"/>
  <c r="I999" i="4"/>
  <c r="H998" i="4"/>
  <c r="I998" i="4"/>
  <c r="H997" i="4"/>
  <c r="I997" i="4"/>
  <c r="H996" i="4"/>
  <c r="I996" i="4"/>
  <c r="H995" i="4"/>
  <c r="I995" i="4"/>
  <c r="H994" i="4"/>
  <c r="I994" i="4"/>
  <c r="H993" i="4"/>
  <c r="I993" i="4"/>
  <c r="H992" i="4"/>
  <c r="I992" i="4"/>
  <c r="H991" i="4"/>
  <c r="I991" i="4"/>
  <c r="H990" i="4"/>
  <c r="I990" i="4"/>
  <c r="H989" i="4"/>
  <c r="I989" i="4"/>
  <c r="H988" i="4"/>
  <c r="I988" i="4"/>
  <c r="H987" i="4"/>
  <c r="I987" i="4"/>
  <c r="H986" i="4"/>
  <c r="I986" i="4"/>
  <c r="H985" i="4"/>
  <c r="I985" i="4"/>
  <c r="H984" i="4"/>
  <c r="I984" i="4"/>
  <c r="H983" i="4"/>
  <c r="I983" i="4"/>
  <c r="H982" i="4"/>
  <c r="I982" i="4"/>
  <c r="H981" i="4"/>
  <c r="I981" i="4"/>
  <c r="H980" i="4"/>
  <c r="I980" i="4"/>
  <c r="H979" i="4"/>
  <c r="I979" i="4"/>
  <c r="H978" i="4"/>
  <c r="I978" i="4"/>
  <c r="H977" i="4"/>
  <c r="I977" i="4"/>
  <c r="H976" i="4"/>
  <c r="I976" i="4"/>
  <c r="H975" i="4"/>
  <c r="I975" i="4"/>
  <c r="H974" i="4"/>
  <c r="I974" i="4"/>
  <c r="H973" i="4"/>
  <c r="I973" i="4"/>
  <c r="H972" i="4"/>
  <c r="I972" i="4"/>
  <c r="H971" i="4"/>
  <c r="I971" i="4"/>
  <c r="H970" i="4"/>
  <c r="I970" i="4"/>
  <c r="H969" i="4"/>
  <c r="I969" i="4"/>
  <c r="H968" i="4"/>
  <c r="I968" i="4"/>
  <c r="H967" i="4"/>
  <c r="I967" i="4"/>
  <c r="H966" i="4"/>
  <c r="I966" i="4"/>
  <c r="H965" i="4"/>
  <c r="I965" i="4"/>
  <c r="H964" i="4"/>
  <c r="I964" i="4"/>
  <c r="H963" i="4"/>
  <c r="I963" i="4"/>
  <c r="H962" i="4"/>
  <c r="I962" i="4"/>
  <c r="H961" i="4"/>
  <c r="I961" i="4"/>
  <c r="H960" i="4"/>
  <c r="I960" i="4"/>
  <c r="H959" i="4"/>
  <c r="I959" i="4"/>
  <c r="H958" i="4"/>
  <c r="I958" i="4"/>
  <c r="H957" i="4"/>
  <c r="I957" i="4"/>
  <c r="H956" i="4"/>
  <c r="I956" i="4"/>
  <c r="H955" i="4"/>
  <c r="I955" i="4"/>
  <c r="H954" i="4"/>
  <c r="I954" i="4"/>
  <c r="H953" i="4"/>
  <c r="I953" i="4"/>
  <c r="H952" i="4"/>
  <c r="I952" i="4"/>
  <c r="H951" i="4"/>
  <c r="I951" i="4"/>
  <c r="H950" i="4"/>
  <c r="I950" i="4"/>
  <c r="H949" i="4"/>
  <c r="I949" i="4"/>
  <c r="H948" i="4"/>
  <c r="I948" i="4"/>
  <c r="H947" i="4"/>
  <c r="I947" i="4"/>
  <c r="H946" i="4"/>
  <c r="I946" i="4"/>
  <c r="H945" i="4"/>
  <c r="I945" i="4"/>
  <c r="H944" i="4"/>
  <c r="I944" i="4"/>
  <c r="H943" i="4"/>
  <c r="I943" i="4"/>
  <c r="H942" i="4"/>
  <c r="I942" i="4"/>
  <c r="H941" i="4"/>
  <c r="I941" i="4"/>
  <c r="H940" i="4"/>
  <c r="I940" i="4"/>
  <c r="H939" i="4"/>
  <c r="I939" i="4"/>
  <c r="H938" i="4"/>
  <c r="I938" i="4"/>
  <c r="H937" i="4"/>
  <c r="I937" i="4"/>
  <c r="H936" i="4"/>
  <c r="I936" i="4"/>
  <c r="H935" i="4"/>
  <c r="I935" i="4"/>
  <c r="H934" i="4"/>
  <c r="I934" i="4"/>
  <c r="H933" i="4"/>
  <c r="I933" i="4"/>
  <c r="H932" i="4"/>
  <c r="I932" i="4"/>
  <c r="H931" i="4"/>
  <c r="I931" i="4"/>
  <c r="H930" i="4"/>
  <c r="I930" i="4"/>
  <c r="H929" i="4"/>
  <c r="I929" i="4"/>
  <c r="H928" i="4"/>
  <c r="I928" i="4"/>
  <c r="H927" i="4"/>
  <c r="I927" i="4"/>
  <c r="H926" i="4"/>
  <c r="I926" i="4"/>
  <c r="H925" i="4"/>
  <c r="I925" i="4"/>
  <c r="H924" i="4"/>
  <c r="I924" i="4"/>
  <c r="H923" i="4"/>
  <c r="I923" i="4"/>
  <c r="H922" i="4"/>
  <c r="I922" i="4"/>
  <c r="H921" i="4"/>
  <c r="I921" i="4"/>
  <c r="H920" i="4"/>
  <c r="I920" i="4"/>
  <c r="H919" i="4"/>
  <c r="I919" i="4"/>
  <c r="H918" i="4"/>
  <c r="I918" i="4"/>
  <c r="H917" i="4"/>
  <c r="I917" i="4"/>
  <c r="H916" i="4"/>
  <c r="I916" i="4"/>
  <c r="H915" i="4"/>
  <c r="I915" i="4"/>
  <c r="H914" i="4"/>
  <c r="I914" i="4"/>
  <c r="H913" i="4"/>
  <c r="I913" i="4"/>
  <c r="H912" i="4"/>
  <c r="I912" i="4"/>
  <c r="H911" i="4"/>
  <c r="I911" i="4"/>
  <c r="H910" i="4"/>
  <c r="I910" i="4"/>
  <c r="H909" i="4"/>
  <c r="I909" i="4"/>
  <c r="H908" i="4"/>
  <c r="I908" i="4"/>
  <c r="H907" i="4"/>
  <c r="I907" i="4"/>
  <c r="H906" i="4"/>
  <c r="I906" i="4"/>
  <c r="H905" i="4"/>
  <c r="I905" i="4"/>
  <c r="H904" i="4"/>
  <c r="I904" i="4"/>
  <c r="H903" i="4"/>
  <c r="I903" i="4"/>
  <c r="H902" i="4"/>
  <c r="I902" i="4"/>
  <c r="H901" i="4"/>
  <c r="I901" i="4"/>
  <c r="H900" i="4"/>
  <c r="I900" i="4"/>
  <c r="H899" i="4"/>
  <c r="I899" i="4"/>
  <c r="H898" i="4"/>
  <c r="I898" i="4"/>
  <c r="H897" i="4"/>
  <c r="I897" i="4"/>
  <c r="H896" i="4"/>
  <c r="I896" i="4"/>
  <c r="H895" i="4"/>
  <c r="I895" i="4"/>
  <c r="H894" i="4"/>
  <c r="I894" i="4"/>
  <c r="H893" i="4"/>
  <c r="I893" i="4"/>
  <c r="H892" i="4"/>
  <c r="I892" i="4"/>
  <c r="H891" i="4"/>
  <c r="I891" i="4"/>
  <c r="H890" i="4"/>
  <c r="I890" i="4"/>
  <c r="H889" i="4"/>
  <c r="I889" i="4"/>
  <c r="H888" i="4"/>
  <c r="I888" i="4"/>
  <c r="H887" i="4"/>
  <c r="I887" i="4"/>
  <c r="H886" i="4"/>
  <c r="I886" i="4"/>
  <c r="H885" i="4"/>
  <c r="I885" i="4"/>
  <c r="H884" i="4"/>
  <c r="I884" i="4"/>
  <c r="H883" i="4"/>
  <c r="I883" i="4"/>
  <c r="H882" i="4"/>
  <c r="I882" i="4"/>
  <c r="H881" i="4"/>
  <c r="I881" i="4"/>
  <c r="H880" i="4"/>
  <c r="I880" i="4"/>
  <c r="H879" i="4"/>
  <c r="I879" i="4"/>
  <c r="H878" i="4"/>
  <c r="I878" i="4"/>
  <c r="H877" i="4"/>
  <c r="I877" i="4"/>
  <c r="H876" i="4"/>
  <c r="I876" i="4"/>
  <c r="H875" i="4"/>
  <c r="I875" i="4"/>
  <c r="H874" i="4"/>
  <c r="I874" i="4"/>
  <c r="H873" i="4"/>
  <c r="I873" i="4"/>
  <c r="H872" i="4"/>
  <c r="I872" i="4"/>
  <c r="H871" i="4"/>
  <c r="I871" i="4"/>
  <c r="H870" i="4"/>
  <c r="I870" i="4"/>
  <c r="H869" i="4"/>
  <c r="I869" i="4"/>
  <c r="H868" i="4"/>
  <c r="I868" i="4"/>
  <c r="H867" i="4"/>
  <c r="I867" i="4"/>
  <c r="H866" i="4"/>
  <c r="I866" i="4"/>
  <c r="H865" i="4"/>
  <c r="I865" i="4"/>
  <c r="H864" i="4"/>
  <c r="I864" i="4"/>
  <c r="H863" i="4"/>
  <c r="I863" i="4"/>
  <c r="H862" i="4"/>
  <c r="I862" i="4"/>
  <c r="H861" i="4"/>
  <c r="I861" i="4"/>
  <c r="H860" i="4"/>
  <c r="I860" i="4"/>
  <c r="H859" i="4"/>
  <c r="I859" i="4"/>
  <c r="H858" i="4"/>
  <c r="I858" i="4"/>
  <c r="H857" i="4"/>
  <c r="I857" i="4"/>
  <c r="H856" i="4"/>
  <c r="I856" i="4"/>
  <c r="H855" i="4"/>
  <c r="I855" i="4"/>
  <c r="H854" i="4"/>
  <c r="I854" i="4"/>
  <c r="H853" i="4"/>
  <c r="I853" i="4"/>
  <c r="H852" i="4"/>
  <c r="I852" i="4"/>
  <c r="H851" i="4"/>
  <c r="I851" i="4"/>
  <c r="H850" i="4"/>
  <c r="I850" i="4"/>
  <c r="H849" i="4"/>
  <c r="I849" i="4"/>
  <c r="H848" i="4"/>
  <c r="I848" i="4"/>
  <c r="H847" i="4"/>
  <c r="I847" i="4"/>
  <c r="H846" i="4"/>
  <c r="I846" i="4"/>
  <c r="H845" i="4"/>
  <c r="I845" i="4"/>
  <c r="H844" i="4"/>
  <c r="I844" i="4"/>
  <c r="H843" i="4"/>
  <c r="I843" i="4"/>
  <c r="H842" i="4"/>
  <c r="I842" i="4"/>
  <c r="H841" i="4"/>
  <c r="I841" i="4"/>
  <c r="H840" i="4"/>
  <c r="I840" i="4"/>
  <c r="H839" i="4"/>
  <c r="I839" i="4"/>
  <c r="H838" i="4"/>
  <c r="I838" i="4"/>
  <c r="H837" i="4"/>
  <c r="I837" i="4"/>
  <c r="H836" i="4"/>
  <c r="I836" i="4"/>
  <c r="H835" i="4"/>
  <c r="I835" i="4"/>
  <c r="H834" i="4"/>
  <c r="I834" i="4"/>
  <c r="H833" i="4"/>
  <c r="I833" i="4"/>
  <c r="H832" i="4"/>
  <c r="I832" i="4"/>
  <c r="H831" i="4"/>
  <c r="I831" i="4"/>
  <c r="H830" i="4"/>
  <c r="I830" i="4"/>
  <c r="H829" i="4"/>
  <c r="I829" i="4"/>
  <c r="H828" i="4"/>
  <c r="I828" i="4"/>
  <c r="H827" i="4"/>
  <c r="I827" i="4"/>
  <c r="H826" i="4"/>
  <c r="I826" i="4"/>
  <c r="H825" i="4"/>
  <c r="I825" i="4"/>
  <c r="H824" i="4"/>
  <c r="I824" i="4"/>
  <c r="H823" i="4"/>
  <c r="I823" i="4"/>
  <c r="H822" i="4"/>
  <c r="I822" i="4"/>
  <c r="H821" i="4"/>
  <c r="I821" i="4"/>
  <c r="H820" i="4"/>
  <c r="I820" i="4"/>
  <c r="H819" i="4"/>
  <c r="I819" i="4"/>
  <c r="H818" i="4"/>
  <c r="I818" i="4"/>
  <c r="H817" i="4"/>
  <c r="I817" i="4"/>
  <c r="H816" i="4"/>
  <c r="I816" i="4"/>
  <c r="H815" i="4"/>
  <c r="I815" i="4"/>
  <c r="H814" i="4"/>
  <c r="I814" i="4"/>
  <c r="H813" i="4"/>
  <c r="I813" i="4"/>
  <c r="H812" i="4"/>
  <c r="I812" i="4"/>
  <c r="H811" i="4"/>
  <c r="I811" i="4"/>
  <c r="H810" i="4"/>
  <c r="I810" i="4"/>
  <c r="H809" i="4"/>
  <c r="I809" i="4"/>
  <c r="H808" i="4"/>
  <c r="I808" i="4"/>
  <c r="H807" i="4"/>
  <c r="I807" i="4"/>
  <c r="H806" i="4"/>
  <c r="I806" i="4"/>
  <c r="H805" i="4"/>
  <c r="I805" i="4"/>
  <c r="H804" i="4"/>
  <c r="I804" i="4"/>
  <c r="H803" i="4"/>
  <c r="I803" i="4"/>
  <c r="H802" i="4"/>
  <c r="I802" i="4"/>
  <c r="H801" i="4"/>
  <c r="I801" i="4"/>
  <c r="H800" i="4"/>
  <c r="I800" i="4"/>
  <c r="H799" i="4"/>
  <c r="I799" i="4"/>
  <c r="H798" i="4"/>
  <c r="I798" i="4"/>
  <c r="H797" i="4"/>
  <c r="I797" i="4"/>
  <c r="H796" i="4"/>
  <c r="I796" i="4"/>
  <c r="H795" i="4"/>
  <c r="I795" i="4"/>
  <c r="H794" i="4"/>
  <c r="I794" i="4"/>
  <c r="H793" i="4"/>
  <c r="I793" i="4"/>
  <c r="H792" i="4"/>
  <c r="I792" i="4"/>
  <c r="H791" i="4"/>
  <c r="I791" i="4"/>
  <c r="H790" i="4"/>
  <c r="I790" i="4"/>
  <c r="H789" i="4"/>
  <c r="I789" i="4"/>
  <c r="H788" i="4"/>
  <c r="I788" i="4"/>
  <c r="H787" i="4"/>
  <c r="I787" i="4"/>
  <c r="H786" i="4"/>
  <c r="I786" i="4"/>
  <c r="H785" i="4"/>
  <c r="I785" i="4"/>
  <c r="H784" i="4"/>
  <c r="I784" i="4"/>
  <c r="H783" i="4"/>
  <c r="I783" i="4"/>
  <c r="H782" i="4"/>
  <c r="I782" i="4"/>
  <c r="H781" i="4"/>
  <c r="I781" i="4"/>
  <c r="H780" i="4"/>
  <c r="I780" i="4"/>
  <c r="H779" i="4"/>
  <c r="I779" i="4"/>
  <c r="H778" i="4"/>
  <c r="I778" i="4"/>
  <c r="H777" i="4"/>
  <c r="I777" i="4"/>
  <c r="H776" i="4"/>
  <c r="I776" i="4"/>
  <c r="H775" i="4"/>
  <c r="I775" i="4"/>
  <c r="H774" i="4"/>
  <c r="I774" i="4"/>
  <c r="H773" i="4"/>
  <c r="I773" i="4"/>
  <c r="H772" i="4"/>
  <c r="I772" i="4"/>
  <c r="H771" i="4"/>
  <c r="I771" i="4"/>
  <c r="H770" i="4"/>
  <c r="I770" i="4"/>
  <c r="H769" i="4"/>
  <c r="I769" i="4"/>
  <c r="H768" i="4"/>
  <c r="I768" i="4"/>
  <c r="H767" i="4"/>
  <c r="I767" i="4"/>
  <c r="H766" i="4"/>
  <c r="I766" i="4"/>
  <c r="H765" i="4"/>
  <c r="I765" i="4"/>
  <c r="H764" i="4"/>
  <c r="I764" i="4"/>
  <c r="H763" i="4"/>
  <c r="I763" i="4"/>
  <c r="H762" i="4"/>
  <c r="I762" i="4"/>
  <c r="H761" i="4"/>
  <c r="I761" i="4"/>
  <c r="H760" i="4"/>
  <c r="I760" i="4"/>
  <c r="H759" i="4"/>
  <c r="I759" i="4"/>
  <c r="H758" i="4"/>
  <c r="I758" i="4"/>
  <c r="H757" i="4"/>
  <c r="I757" i="4"/>
  <c r="H756" i="4"/>
  <c r="I756" i="4"/>
  <c r="H755" i="4"/>
  <c r="I755" i="4"/>
  <c r="H754" i="4"/>
  <c r="I754" i="4"/>
  <c r="H753" i="4"/>
  <c r="I753" i="4"/>
  <c r="H752" i="4"/>
  <c r="I752" i="4"/>
  <c r="H751" i="4"/>
  <c r="I751" i="4"/>
  <c r="H750" i="4"/>
  <c r="I750" i="4"/>
  <c r="H749" i="4"/>
  <c r="I749" i="4"/>
  <c r="H748" i="4"/>
  <c r="I748" i="4"/>
  <c r="H747" i="4"/>
  <c r="I747" i="4"/>
  <c r="H746" i="4"/>
  <c r="I746" i="4"/>
  <c r="H745" i="4"/>
  <c r="I745" i="4"/>
  <c r="H744" i="4"/>
  <c r="I744" i="4"/>
  <c r="H743" i="4"/>
  <c r="I743" i="4"/>
  <c r="H742" i="4"/>
  <c r="I742" i="4"/>
  <c r="H741" i="4"/>
  <c r="I741" i="4"/>
  <c r="Q35" i="2"/>
  <c r="H740" i="4"/>
  <c r="I740" i="4"/>
  <c r="H739" i="4"/>
  <c r="I739" i="4"/>
  <c r="H738" i="4"/>
  <c r="I738" i="4"/>
  <c r="H737" i="4"/>
  <c r="I737" i="4"/>
  <c r="H736" i="4"/>
  <c r="I736" i="4"/>
  <c r="H735" i="4"/>
  <c r="I735" i="4"/>
  <c r="H734" i="4"/>
  <c r="I734" i="4"/>
  <c r="H733" i="4"/>
  <c r="I733" i="4"/>
  <c r="H732" i="4"/>
  <c r="I732" i="4"/>
  <c r="H731" i="4"/>
  <c r="I731" i="4"/>
  <c r="H730" i="4"/>
  <c r="I730" i="4"/>
  <c r="H729" i="4"/>
  <c r="I729" i="4"/>
  <c r="H728" i="4"/>
  <c r="I728" i="4"/>
  <c r="H727" i="4"/>
  <c r="I727" i="4"/>
  <c r="H726" i="4"/>
  <c r="I726" i="4"/>
  <c r="H725" i="4"/>
  <c r="I725" i="4"/>
  <c r="H724" i="4"/>
  <c r="I724" i="4"/>
  <c r="H723" i="4"/>
  <c r="I723" i="4"/>
  <c r="H722" i="4"/>
  <c r="I722" i="4"/>
  <c r="H721" i="4"/>
  <c r="I721" i="4"/>
  <c r="H720" i="4"/>
  <c r="I720" i="4"/>
  <c r="H719" i="4"/>
  <c r="I719" i="4"/>
  <c r="H718" i="4"/>
  <c r="I718" i="4"/>
  <c r="H717" i="4"/>
  <c r="I717" i="4"/>
  <c r="H716" i="4"/>
  <c r="I716" i="4"/>
  <c r="H715" i="4"/>
  <c r="I715" i="4"/>
  <c r="H714" i="4"/>
  <c r="I714" i="4"/>
  <c r="H713" i="4"/>
  <c r="I713" i="4"/>
  <c r="H712" i="4"/>
  <c r="I712" i="4"/>
  <c r="H711" i="4"/>
  <c r="I711" i="4"/>
  <c r="H710" i="4"/>
  <c r="I710" i="4"/>
  <c r="H709" i="4"/>
  <c r="I709" i="4"/>
  <c r="H708" i="4"/>
  <c r="I708" i="4"/>
  <c r="H707" i="4"/>
  <c r="I707" i="4"/>
  <c r="H706" i="4"/>
  <c r="I706" i="4"/>
  <c r="H705" i="4"/>
  <c r="I705" i="4"/>
  <c r="H704" i="4"/>
  <c r="I704" i="4"/>
  <c r="H703" i="4"/>
  <c r="I703" i="4"/>
  <c r="H702" i="4"/>
  <c r="I702" i="4"/>
  <c r="H701" i="4"/>
  <c r="I701" i="4"/>
  <c r="H700" i="4"/>
  <c r="I700" i="4"/>
  <c r="H699" i="4"/>
  <c r="I699" i="4"/>
  <c r="H698" i="4"/>
  <c r="I698" i="4"/>
  <c r="H697" i="4"/>
  <c r="I697" i="4"/>
  <c r="H696" i="4"/>
  <c r="I696" i="4"/>
  <c r="H695" i="4"/>
  <c r="I695" i="4"/>
  <c r="H694" i="4"/>
  <c r="I694" i="4"/>
  <c r="H693" i="4"/>
  <c r="I693" i="4"/>
  <c r="H692" i="4"/>
  <c r="I692" i="4"/>
  <c r="H691" i="4"/>
  <c r="I691" i="4"/>
  <c r="H690" i="4"/>
  <c r="I690" i="4"/>
  <c r="H689" i="4"/>
  <c r="I689" i="4"/>
  <c r="H688" i="4"/>
  <c r="I688" i="4"/>
  <c r="H687" i="4"/>
  <c r="I687" i="4"/>
  <c r="H686" i="4"/>
  <c r="I686" i="4"/>
  <c r="H685" i="4"/>
  <c r="I685" i="4"/>
  <c r="H684" i="4"/>
  <c r="I684" i="4"/>
  <c r="H683" i="4"/>
  <c r="I683" i="4"/>
  <c r="H682" i="4"/>
  <c r="I682" i="4"/>
  <c r="H681" i="4"/>
  <c r="I681" i="4"/>
  <c r="H680" i="4"/>
  <c r="I680" i="4"/>
  <c r="H679" i="4"/>
  <c r="I679" i="4"/>
  <c r="H678" i="4"/>
  <c r="I678" i="4"/>
  <c r="H677" i="4"/>
  <c r="I677" i="4"/>
  <c r="H676" i="4"/>
  <c r="I676" i="4"/>
  <c r="H675" i="4"/>
  <c r="I675" i="4"/>
  <c r="H674" i="4"/>
  <c r="I674" i="4"/>
  <c r="H673" i="4"/>
  <c r="I673" i="4"/>
  <c r="H672" i="4"/>
  <c r="I672" i="4"/>
  <c r="H671" i="4"/>
  <c r="I671" i="4"/>
  <c r="H670" i="4"/>
  <c r="I670" i="4"/>
  <c r="H669" i="4"/>
  <c r="I669" i="4"/>
  <c r="H668" i="4"/>
  <c r="I668" i="4"/>
  <c r="H667" i="4"/>
  <c r="I667" i="4"/>
  <c r="H666" i="4"/>
  <c r="I666" i="4"/>
  <c r="H665" i="4"/>
  <c r="I665" i="4"/>
  <c r="H664" i="4"/>
  <c r="I664" i="4"/>
  <c r="H663" i="4"/>
  <c r="I663" i="4"/>
  <c r="H662" i="4"/>
  <c r="I662" i="4"/>
  <c r="H661" i="4"/>
  <c r="I661" i="4"/>
  <c r="H660" i="4"/>
  <c r="I660" i="4"/>
  <c r="H659" i="4"/>
  <c r="I659" i="4"/>
  <c r="H658" i="4"/>
  <c r="I658" i="4"/>
  <c r="H657" i="4"/>
  <c r="I657" i="4"/>
  <c r="H656" i="4"/>
  <c r="I656" i="4"/>
  <c r="H655" i="4"/>
  <c r="I655" i="4"/>
  <c r="H654" i="4"/>
  <c r="I654" i="4"/>
  <c r="H653" i="4"/>
  <c r="I653" i="4"/>
  <c r="H652" i="4"/>
  <c r="I652" i="4"/>
  <c r="H651" i="4"/>
  <c r="I651" i="4"/>
  <c r="H650" i="4"/>
  <c r="I650" i="4"/>
  <c r="H649" i="4"/>
  <c r="I649" i="4"/>
  <c r="H648" i="4"/>
  <c r="I648" i="4"/>
  <c r="H647" i="4"/>
  <c r="I647" i="4"/>
  <c r="H646" i="4"/>
  <c r="I646" i="4"/>
  <c r="H645" i="4"/>
  <c r="I645" i="4"/>
  <c r="H644" i="4"/>
  <c r="I644" i="4"/>
  <c r="H643" i="4"/>
  <c r="I643" i="4"/>
  <c r="H642" i="4"/>
  <c r="I642" i="4"/>
  <c r="H641" i="4"/>
  <c r="I641" i="4"/>
  <c r="H640" i="4"/>
  <c r="I640" i="4"/>
  <c r="H639" i="4"/>
  <c r="I639" i="4"/>
  <c r="H638" i="4"/>
  <c r="I638" i="4"/>
  <c r="H637" i="4"/>
  <c r="I637" i="4"/>
  <c r="H636" i="4"/>
  <c r="I636" i="4"/>
  <c r="H635" i="4"/>
  <c r="I635" i="4"/>
  <c r="H634" i="4"/>
  <c r="I634" i="4"/>
  <c r="H633" i="4"/>
  <c r="I633" i="4"/>
  <c r="H632" i="4"/>
  <c r="I632" i="4"/>
  <c r="H631" i="4"/>
  <c r="I631" i="4"/>
  <c r="H630" i="4"/>
  <c r="I630" i="4"/>
  <c r="H629" i="4"/>
  <c r="I629" i="4"/>
  <c r="H628" i="4"/>
  <c r="I628" i="4"/>
  <c r="H627" i="4"/>
  <c r="I627" i="4"/>
  <c r="H626" i="4"/>
  <c r="I626" i="4"/>
  <c r="H625" i="4"/>
  <c r="I625" i="4"/>
  <c r="H624" i="4"/>
  <c r="I624" i="4"/>
  <c r="H623" i="4"/>
  <c r="I623" i="4"/>
  <c r="H622" i="4"/>
  <c r="I622" i="4"/>
  <c r="H621" i="4"/>
  <c r="I621" i="4"/>
  <c r="H620" i="4"/>
  <c r="I620" i="4"/>
  <c r="H619" i="4"/>
  <c r="I619" i="4"/>
  <c r="H618" i="4"/>
  <c r="I618" i="4"/>
  <c r="H617" i="4"/>
  <c r="I617" i="4"/>
  <c r="H616" i="4"/>
  <c r="I616" i="4"/>
  <c r="H615" i="4"/>
  <c r="I615" i="4"/>
  <c r="H614" i="4"/>
  <c r="I614" i="4"/>
  <c r="H613" i="4"/>
  <c r="I613" i="4"/>
  <c r="H612" i="4"/>
  <c r="I612" i="4"/>
  <c r="H611" i="4"/>
  <c r="I611" i="4"/>
  <c r="H610" i="4"/>
  <c r="I610" i="4"/>
  <c r="H609" i="4"/>
  <c r="I609" i="4"/>
  <c r="H608" i="4"/>
  <c r="I608" i="4"/>
  <c r="H607" i="4"/>
  <c r="I607" i="4"/>
  <c r="H606" i="4"/>
  <c r="I606" i="4"/>
  <c r="H605" i="4"/>
  <c r="I605" i="4"/>
  <c r="H604" i="4"/>
  <c r="I604" i="4"/>
  <c r="H603" i="4"/>
  <c r="I603" i="4"/>
  <c r="H602" i="4"/>
  <c r="I602" i="4"/>
  <c r="H601" i="4"/>
  <c r="I601" i="4"/>
  <c r="H600" i="4"/>
  <c r="I600" i="4"/>
  <c r="H599" i="4"/>
  <c r="I599" i="4"/>
  <c r="H598" i="4"/>
  <c r="I598" i="4"/>
  <c r="H597" i="4"/>
  <c r="I597" i="4"/>
  <c r="H596" i="4"/>
  <c r="I596" i="4"/>
  <c r="H595" i="4"/>
  <c r="I595" i="4"/>
  <c r="H594" i="4"/>
  <c r="I594" i="4"/>
  <c r="H593" i="4"/>
  <c r="I593" i="4"/>
  <c r="H592" i="4"/>
  <c r="I592" i="4"/>
  <c r="H591" i="4"/>
  <c r="I591" i="4"/>
  <c r="H590" i="4"/>
  <c r="I590" i="4"/>
  <c r="H589" i="4"/>
  <c r="I589" i="4"/>
  <c r="H588" i="4"/>
  <c r="I588" i="4"/>
  <c r="H587" i="4"/>
  <c r="I587" i="4"/>
  <c r="H586" i="4"/>
  <c r="I586" i="4"/>
  <c r="H585" i="4"/>
  <c r="I585" i="4"/>
  <c r="H584" i="4"/>
  <c r="I584" i="4"/>
  <c r="H583" i="4"/>
  <c r="I583" i="4"/>
  <c r="H582" i="4"/>
  <c r="I582" i="4"/>
  <c r="H581" i="4"/>
  <c r="I581" i="4"/>
  <c r="H580" i="4"/>
  <c r="I580" i="4"/>
  <c r="H579" i="4"/>
  <c r="I579" i="4"/>
  <c r="H578" i="4"/>
  <c r="I578" i="4"/>
  <c r="H577" i="4"/>
  <c r="I577" i="4"/>
  <c r="H576" i="4"/>
  <c r="I576" i="4"/>
  <c r="H575" i="4"/>
  <c r="I575" i="4"/>
  <c r="H574" i="4"/>
  <c r="I574" i="4"/>
  <c r="H573" i="4"/>
  <c r="I573" i="4"/>
  <c r="H572" i="4"/>
  <c r="I572" i="4"/>
  <c r="H571" i="4"/>
  <c r="I571" i="4"/>
  <c r="H570" i="4"/>
  <c r="I570" i="4"/>
  <c r="H569" i="4"/>
  <c r="I569" i="4"/>
  <c r="H568" i="4"/>
  <c r="I568" i="4"/>
  <c r="H567" i="4"/>
  <c r="I567" i="4"/>
  <c r="H566" i="4"/>
  <c r="I566" i="4"/>
  <c r="H565" i="4"/>
  <c r="I565" i="4"/>
  <c r="H564" i="4"/>
  <c r="I564" i="4"/>
  <c r="H563" i="4"/>
  <c r="I563" i="4"/>
  <c r="H562" i="4"/>
  <c r="I562" i="4"/>
  <c r="H561" i="4"/>
  <c r="I561" i="4"/>
  <c r="H560" i="4"/>
  <c r="I560" i="4"/>
  <c r="H559" i="4"/>
  <c r="I559" i="4"/>
  <c r="H558" i="4"/>
  <c r="I558" i="4"/>
  <c r="H557" i="4"/>
  <c r="I557" i="4"/>
  <c r="H556" i="4"/>
  <c r="I556" i="4"/>
  <c r="H555" i="4"/>
  <c r="I555" i="4"/>
  <c r="H554" i="4"/>
  <c r="I554" i="4"/>
  <c r="H553" i="4"/>
  <c r="I553" i="4"/>
  <c r="H552" i="4"/>
  <c r="I552" i="4"/>
  <c r="H551" i="4"/>
  <c r="I551" i="4"/>
  <c r="H550" i="4"/>
  <c r="I550" i="4"/>
  <c r="H549" i="4"/>
  <c r="I549" i="4"/>
  <c r="H548" i="4"/>
  <c r="I548" i="4"/>
  <c r="H547" i="4"/>
  <c r="I547" i="4"/>
  <c r="H546" i="4"/>
  <c r="I546" i="4"/>
  <c r="H545" i="4"/>
  <c r="I545" i="4"/>
  <c r="H544" i="4"/>
  <c r="I544" i="4"/>
  <c r="H543" i="4"/>
  <c r="I543" i="4"/>
  <c r="H542" i="4"/>
  <c r="I542" i="4"/>
  <c r="H541" i="4"/>
  <c r="I541" i="4"/>
  <c r="H540" i="4"/>
  <c r="I540" i="4"/>
  <c r="H539" i="4"/>
  <c r="I539" i="4"/>
  <c r="H538" i="4"/>
  <c r="I538" i="4"/>
  <c r="H537" i="4"/>
  <c r="I537" i="4"/>
  <c r="H536" i="4"/>
  <c r="I536" i="4"/>
  <c r="H535" i="4"/>
  <c r="I535" i="4"/>
  <c r="H534" i="4"/>
  <c r="I534" i="4"/>
  <c r="H533" i="4"/>
  <c r="I533" i="4"/>
  <c r="H532" i="4"/>
  <c r="I532" i="4"/>
  <c r="H531" i="4"/>
  <c r="I531" i="4"/>
  <c r="H530" i="4"/>
  <c r="I530" i="4"/>
  <c r="H529" i="4"/>
  <c r="I529" i="4"/>
  <c r="H528" i="4"/>
  <c r="I528" i="4"/>
  <c r="H527" i="4"/>
  <c r="I527" i="4"/>
  <c r="H526" i="4"/>
  <c r="I526" i="4"/>
  <c r="H525" i="4"/>
  <c r="I525" i="4"/>
  <c r="H524" i="4"/>
  <c r="I524" i="4"/>
  <c r="H523" i="4"/>
  <c r="I523" i="4"/>
  <c r="H522" i="4"/>
  <c r="I522" i="4"/>
  <c r="H521" i="4"/>
  <c r="I521" i="4"/>
  <c r="H520" i="4"/>
  <c r="I520" i="4"/>
  <c r="H519" i="4"/>
  <c r="I519" i="4"/>
  <c r="H518" i="4"/>
  <c r="I518" i="4"/>
  <c r="H517" i="4"/>
  <c r="I517" i="4"/>
  <c r="H516" i="4"/>
  <c r="I516" i="4"/>
  <c r="H515" i="4"/>
  <c r="I515" i="4"/>
  <c r="H514" i="4"/>
  <c r="I514" i="4"/>
  <c r="H513" i="4"/>
  <c r="I513" i="4"/>
  <c r="H512" i="4"/>
  <c r="I512" i="4"/>
  <c r="H511" i="4"/>
  <c r="I511" i="4"/>
  <c r="H510" i="4"/>
  <c r="I510" i="4"/>
  <c r="H509" i="4"/>
  <c r="I509" i="4"/>
  <c r="B7" i="10" a="1"/>
  <c r="B7" i="10" s="1"/>
  <c r="H508" i="4"/>
  <c r="I508" i="4"/>
  <c r="H507" i="4"/>
  <c r="I507" i="4"/>
  <c r="H506" i="4"/>
  <c r="I506" i="4"/>
  <c r="H505" i="4"/>
  <c r="I505" i="4"/>
  <c r="H504" i="4"/>
  <c r="I504" i="4"/>
  <c r="H503" i="4"/>
  <c r="I503" i="4"/>
  <c r="H502" i="4"/>
  <c r="I502" i="4"/>
  <c r="H501" i="4"/>
  <c r="I501" i="4"/>
  <c r="H500" i="4"/>
  <c r="I500" i="4"/>
  <c r="H499" i="4"/>
  <c r="I499" i="4"/>
  <c r="H498" i="4"/>
  <c r="I498" i="4"/>
  <c r="H497" i="4"/>
  <c r="I497" i="4"/>
  <c r="H496" i="4"/>
  <c r="I496" i="4"/>
  <c r="H495" i="4"/>
  <c r="I495" i="4"/>
  <c r="H494" i="4"/>
  <c r="I494" i="4"/>
  <c r="H493" i="4"/>
  <c r="I493" i="4"/>
  <c r="H492" i="4"/>
  <c r="I492" i="4"/>
  <c r="H491" i="4"/>
  <c r="I491" i="4"/>
  <c r="Q33" i="2"/>
  <c r="H490" i="4"/>
  <c r="I490" i="4"/>
  <c r="H489" i="4"/>
  <c r="I489" i="4"/>
  <c r="H488" i="4"/>
  <c r="I488" i="4"/>
  <c r="H487" i="4"/>
  <c r="I487" i="4"/>
  <c r="H486" i="4"/>
  <c r="I486" i="4"/>
  <c r="H485" i="4"/>
  <c r="I485" i="4"/>
  <c r="H484" i="4"/>
  <c r="I484" i="4"/>
  <c r="H483" i="4"/>
  <c r="I483" i="4"/>
  <c r="H482" i="4"/>
  <c r="I482" i="4"/>
  <c r="H481" i="4"/>
  <c r="I481" i="4"/>
  <c r="H480" i="4"/>
  <c r="I480" i="4"/>
  <c r="H479" i="4"/>
  <c r="I479" i="4"/>
  <c r="H478" i="4"/>
  <c r="I478" i="4"/>
  <c r="H477" i="4"/>
  <c r="I477" i="4"/>
  <c r="H476" i="4"/>
  <c r="I476" i="4"/>
  <c r="H472" i="4"/>
  <c r="I472" i="4"/>
  <c r="H473" i="4"/>
  <c r="I473" i="4"/>
  <c r="H475" i="4"/>
  <c r="I475" i="4"/>
  <c r="H474" i="4"/>
  <c r="I474" i="4"/>
  <c r="H471" i="4"/>
  <c r="I471" i="4"/>
  <c r="H470" i="4"/>
  <c r="I470" i="4"/>
  <c r="H469" i="4"/>
  <c r="I469" i="4"/>
  <c r="H468" i="4"/>
  <c r="I468" i="4"/>
  <c r="H467" i="4"/>
  <c r="I467" i="4"/>
  <c r="H466" i="4"/>
  <c r="I466" i="4"/>
  <c r="H465" i="4"/>
  <c r="I465" i="4"/>
  <c r="H464" i="4"/>
  <c r="I464" i="4"/>
  <c r="H463" i="4"/>
  <c r="I463" i="4"/>
  <c r="H462" i="4"/>
  <c r="I462" i="4"/>
  <c r="H461" i="4"/>
  <c r="I461" i="4"/>
  <c r="H460" i="4"/>
  <c r="I460" i="4"/>
  <c r="H459" i="4"/>
  <c r="I459" i="4"/>
  <c r="H458" i="4"/>
  <c r="I458" i="4"/>
  <c r="H457" i="4"/>
  <c r="I457" i="4"/>
  <c r="H456" i="4"/>
  <c r="I456" i="4"/>
  <c r="H455" i="4"/>
  <c r="I455" i="4"/>
  <c r="H454" i="4"/>
  <c r="I454" i="4"/>
  <c r="H453" i="4"/>
  <c r="I453" i="4"/>
  <c r="H452" i="4"/>
  <c r="I452" i="4"/>
  <c r="H451" i="4"/>
  <c r="I451" i="4"/>
  <c r="H450" i="4"/>
  <c r="I450" i="4"/>
  <c r="H449" i="4"/>
  <c r="I449" i="4"/>
  <c r="H448" i="4"/>
  <c r="I448" i="4"/>
  <c r="H447" i="4"/>
  <c r="I447" i="4"/>
  <c r="H446" i="4"/>
  <c r="I446" i="4"/>
  <c r="H445" i="4"/>
  <c r="I445" i="4"/>
  <c r="H444" i="4"/>
  <c r="I444" i="4"/>
  <c r="H443" i="4"/>
  <c r="I443" i="4"/>
  <c r="H442" i="4"/>
  <c r="I442" i="4"/>
  <c r="H441" i="4"/>
  <c r="I441" i="4"/>
  <c r="H440" i="4"/>
  <c r="I440" i="4"/>
  <c r="H439" i="4"/>
  <c r="I439" i="4"/>
  <c r="H438" i="4"/>
  <c r="I438" i="4"/>
  <c r="H437" i="4"/>
  <c r="I437" i="4"/>
  <c r="H436" i="4"/>
  <c r="I436" i="4"/>
  <c r="H435" i="4"/>
  <c r="I435" i="4"/>
  <c r="H434" i="4"/>
  <c r="I434" i="4"/>
  <c r="H433" i="4"/>
  <c r="I433" i="4"/>
  <c r="H432" i="4"/>
  <c r="I432" i="4"/>
  <c r="H431" i="4"/>
  <c r="I431" i="4"/>
  <c r="H430" i="4"/>
  <c r="I430" i="4"/>
  <c r="H429" i="4"/>
  <c r="I429" i="4"/>
  <c r="H428" i="4"/>
  <c r="I428" i="4"/>
  <c r="H427" i="4"/>
  <c r="I427" i="4"/>
  <c r="H426" i="4"/>
  <c r="I426" i="4"/>
  <c r="H425" i="4"/>
  <c r="I425" i="4"/>
  <c r="H424" i="4"/>
  <c r="I424" i="4"/>
  <c r="H423" i="4"/>
  <c r="I423" i="4"/>
  <c r="H422" i="4"/>
  <c r="I422" i="4"/>
  <c r="H421" i="4"/>
  <c r="I421" i="4"/>
  <c r="H420" i="4"/>
  <c r="I420" i="4"/>
  <c r="H419" i="4"/>
  <c r="I419" i="4"/>
  <c r="H418" i="4"/>
  <c r="I418" i="4"/>
  <c r="H417" i="4"/>
  <c r="I417" i="4"/>
  <c r="H416" i="4"/>
  <c r="I416" i="4"/>
  <c r="H415" i="4"/>
  <c r="I415" i="4"/>
  <c r="H414" i="4"/>
  <c r="I414" i="4"/>
  <c r="H413" i="4"/>
  <c r="I413" i="4"/>
  <c r="H412" i="4"/>
  <c r="I412" i="4"/>
  <c r="H411" i="4"/>
  <c r="I411" i="4"/>
  <c r="H410" i="4"/>
  <c r="I410" i="4"/>
  <c r="H409" i="4"/>
  <c r="I409" i="4"/>
  <c r="H408" i="4"/>
  <c r="I408" i="4"/>
  <c r="H407" i="4"/>
  <c r="I407" i="4"/>
  <c r="H406" i="4"/>
  <c r="I406" i="4"/>
  <c r="H405" i="4"/>
  <c r="I405" i="4"/>
  <c r="H404" i="4"/>
  <c r="I404" i="4"/>
  <c r="H403" i="4"/>
  <c r="I403" i="4"/>
  <c r="H402" i="4"/>
  <c r="I402" i="4"/>
  <c r="H401" i="4"/>
  <c r="I401" i="4"/>
  <c r="H400" i="4"/>
  <c r="I400" i="4"/>
  <c r="H399" i="4"/>
  <c r="I399" i="4"/>
  <c r="H398" i="4"/>
  <c r="I398" i="4"/>
  <c r="H397" i="4"/>
  <c r="I397" i="4"/>
  <c r="H396" i="4"/>
  <c r="I396" i="4"/>
  <c r="H395" i="4"/>
  <c r="I395" i="4"/>
  <c r="H394" i="4"/>
  <c r="I394" i="4"/>
  <c r="H393" i="4"/>
  <c r="I393" i="4"/>
  <c r="H392" i="4"/>
  <c r="I392" i="4"/>
  <c r="H391" i="4"/>
  <c r="I391" i="4"/>
  <c r="H390" i="4"/>
  <c r="I390" i="4"/>
  <c r="H389" i="4"/>
  <c r="I389" i="4"/>
  <c r="H388" i="4"/>
  <c r="I388" i="4"/>
  <c r="H387" i="4"/>
  <c r="I387" i="4"/>
  <c r="H386" i="4"/>
  <c r="I386" i="4"/>
  <c r="H385" i="4"/>
  <c r="I385" i="4"/>
  <c r="H384" i="4"/>
  <c r="I384" i="4"/>
  <c r="H383" i="4"/>
  <c r="I383" i="4"/>
  <c r="H382" i="4"/>
  <c r="I382" i="4"/>
  <c r="H381" i="4"/>
  <c r="I381" i="4"/>
  <c r="H380" i="4"/>
  <c r="I380" i="4"/>
  <c r="H379" i="4"/>
  <c r="I379" i="4"/>
  <c r="H378" i="4"/>
  <c r="I378" i="4"/>
  <c r="H377" i="4"/>
  <c r="I377" i="4"/>
  <c r="H376" i="4"/>
  <c r="I376" i="4"/>
  <c r="H375" i="4"/>
  <c r="I375" i="4"/>
  <c r="H374" i="4"/>
  <c r="I374" i="4"/>
  <c r="H373" i="4"/>
  <c r="I373" i="4"/>
  <c r="H372" i="4"/>
  <c r="I372" i="4"/>
  <c r="H371" i="4"/>
  <c r="I371" i="4"/>
  <c r="H370" i="4"/>
  <c r="I370" i="4"/>
  <c r="H369" i="4"/>
  <c r="I369" i="4"/>
  <c r="H368" i="4"/>
  <c r="I368" i="4"/>
  <c r="H367" i="4"/>
  <c r="I367" i="4"/>
  <c r="H366" i="4"/>
  <c r="I366" i="4"/>
  <c r="H365" i="4"/>
  <c r="I365" i="4"/>
  <c r="H364" i="4"/>
  <c r="I364" i="4"/>
  <c r="H363" i="4"/>
  <c r="I363" i="4"/>
  <c r="H362" i="4"/>
  <c r="I362" i="4"/>
  <c r="H361" i="4"/>
  <c r="I361" i="4"/>
  <c r="H360" i="4"/>
  <c r="I360" i="4"/>
  <c r="H359" i="4"/>
  <c r="I359" i="4"/>
  <c r="H358" i="4"/>
  <c r="I358" i="4"/>
  <c r="H357" i="4"/>
  <c r="I357" i="4"/>
  <c r="H356" i="4"/>
  <c r="I356" i="4"/>
  <c r="H355" i="4"/>
  <c r="I355" i="4"/>
  <c r="H354" i="4"/>
  <c r="I354" i="4"/>
  <c r="H353" i="4"/>
  <c r="I353" i="4"/>
  <c r="H352" i="4"/>
  <c r="I352" i="4"/>
  <c r="H351" i="4"/>
  <c r="I351" i="4"/>
  <c r="H350" i="4"/>
  <c r="I350" i="4"/>
  <c r="H349" i="4"/>
  <c r="I349" i="4"/>
  <c r="H348" i="4"/>
  <c r="I348" i="4"/>
  <c r="H347" i="4"/>
  <c r="I347" i="4"/>
  <c r="H346" i="4"/>
  <c r="I346" i="4"/>
  <c r="H345" i="4"/>
  <c r="I345" i="4"/>
  <c r="H344" i="4"/>
  <c r="I344" i="4"/>
  <c r="H343" i="4"/>
  <c r="I343" i="4"/>
  <c r="H342" i="4"/>
  <c r="I342" i="4"/>
  <c r="H341" i="4"/>
  <c r="I341" i="4"/>
  <c r="H340" i="4"/>
  <c r="I340" i="4"/>
  <c r="H339" i="4"/>
  <c r="I339" i="4"/>
  <c r="H338" i="4"/>
  <c r="I338" i="4"/>
  <c r="H337" i="4"/>
  <c r="I337" i="4"/>
  <c r="H336" i="4"/>
  <c r="I336" i="4"/>
  <c r="H335" i="4"/>
  <c r="I335" i="4"/>
  <c r="H334" i="4"/>
  <c r="I334" i="4"/>
  <c r="H333" i="4"/>
  <c r="I333" i="4"/>
  <c r="H332" i="4"/>
  <c r="I332" i="4"/>
  <c r="H331" i="4"/>
  <c r="I331" i="4"/>
  <c r="H330" i="4"/>
  <c r="I330" i="4"/>
  <c r="H329" i="4"/>
  <c r="I329" i="4"/>
  <c r="H328" i="4"/>
  <c r="I328" i="4"/>
  <c r="H327" i="4"/>
  <c r="I327" i="4"/>
  <c r="H326" i="4"/>
  <c r="I326" i="4"/>
  <c r="H325" i="4"/>
  <c r="I325" i="4"/>
  <c r="H324" i="4"/>
  <c r="I324" i="4"/>
  <c r="H323" i="4"/>
  <c r="I323" i="4"/>
  <c r="H322" i="4"/>
  <c r="I322" i="4"/>
  <c r="H321" i="4"/>
  <c r="I321" i="4"/>
  <c r="H320" i="4"/>
  <c r="I320" i="4"/>
  <c r="H319" i="4"/>
  <c r="I319" i="4"/>
  <c r="H318" i="4"/>
  <c r="I318" i="4"/>
  <c r="H317" i="4"/>
  <c r="I317" i="4"/>
  <c r="H316" i="4"/>
  <c r="I316" i="4"/>
  <c r="H315" i="4"/>
  <c r="I315" i="4"/>
  <c r="H314" i="4"/>
  <c r="I314" i="4"/>
  <c r="H313" i="4"/>
  <c r="I313" i="4"/>
  <c r="H312" i="4"/>
  <c r="I312" i="4"/>
  <c r="H311" i="4"/>
  <c r="I311" i="4"/>
  <c r="H310" i="4"/>
  <c r="I310" i="4"/>
  <c r="H309" i="4"/>
  <c r="I309" i="4"/>
  <c r="H308" i="4"/>
  <c r="I308" i="4"/>
  <c r="H307" i="4"/>
  <c r="I307" i="4"/>
  <c r="H306" i="4"/>
  <c r="I306" i="4"/>
  <c r="H305" i="4"/>
  <c r="I305" i="4"/>
  <c r="H304" i="4"/>
  <c r="I304" i="4"/>
  <c r="H303" i="4"/>
  <c r="I303" i="4"/>
  <c r="H302" i="4"/>
  <c r="I302" i="4"/>
  <c r="H301" i="4"/>
  <c r="I301" i="4"/>
  <c r="H300" i="4"/>
  <c r="I300" i="4"/>
  <c r="H299" i="4"/>
  <c r="I299" i="4"/>
  <c r="H298" i="4"/>
  <c r="I298" i="4"/>
  <c r="H297" i="4"/>
  <c r="I297" i="4"/>
  <c r="H296" i="4"/>
  <c r="I296" i="4"/>
  <c r="H295" i="4"/>
  <c r="I295" i="4"/>
  <c r="H294" i="4"/>
  <c r="I294" i="4"/>
  <c r="H293" i="4"/>
  <c r="I293" i="4"/>
  <c r="H292" i="4"/>
  <c r="I292" i="4"/>
  <c r="H291" i="4"/>
  <c r="I291" i="4"/>
  <c r="H290" i="4"/>
  <c r="I290" i="4"/>
  <c r="H289" i="4"/>
  <c r="I289" i="4"/>
  <c r="H288" i="4"/>
  <c r="I288" i="4"/>
  <c r="H287" i="4"/>
  <c r="I287" i="4"/>
  <c r="H286" i="4"/>
  <c r="I286" i="4"/>
  <c r="H285" i="4"/>
  <c r="I285" i="4"/>
  <c r="H284" i="4"/>
  <c r="I284" i="4"/>
  <c r="H283" i="4"/>
  <c r="I283" i="4"/>
  <c r="H282" i="4"/>
  <c r="I282" i="4"/>
  <c r="H281" i="4"/>
  <c r="I281" i="4"/>
  <c r="H280" i="4"/>
  <c r="I280" i="4"/>
  <c r="H279" i="4"/>
  <c r="I279" i="4"/>
  <c r="H278" i="4"/>
  <c r="I278" i="4"/>
  <c r="H277" i="4"/>
  <c r="I277" i="4"/>
  <c r="H276" i="4"/>
  <c r="I276" i="4"/>
  <c r="H275" i="4"/>
  <c r="I275" i="4"/>
  <c r="H274" i="4"/>
  <c r="I274" i="4"/>
  <c r="H273" i="4"/>
  <c r="I273" i="4"/>
  <c r="H272" i="4"/>
  <c r="I272" i="4"/>
  <c r="H271" i="4"/>
  <c r="I271" i="4"/>
  <c r="H270" i="4"/>
  <c r="I270" i="4"/>
  <c r="H269" i="4"/>
  <c r="I269" i="4"/>
  <c r="H268" i="4"/>
  <c r="I268" i="4"/>
  <c r="H267" i="4"/>
  <c r="I267" i="4"/>
  <c r="H264" i="4"/>
  <c r="I264" i="4"/>
  <c r="H266" i="4"/>
  <c r="I266" i="4"/>
  <c r="H265" i="4"/>
  <c r="I265" i="4"/>
  <c r="H263" i="4"/>
  <c r="I263" i="4"/>
  <c r="H258" i="4"/>
  <c r="I258" i="4"/>
  <c r="H260" i="4"/>
  <c r="I260" i="4"/>
  <c r="H255" i="4"/>
  <c r="I255" i="4"/>
  <c r="H262" i="4"/>
  <c r="I262" i="4"/>
  <c r="H261" i="4"/>
  <c r="I261" i="4"/>
  <c r="H259" i="4"/>
  <c r="I259" i="4"/>
  <c r="H257" i="4"/>
  <c r="I257" i="4"/>
  <c r="H256" i="4"/>
  <c r="I256" i="4"/>
  <c r="H254" i="4"/>
  <c r="I254" i="4"/>
  <c r="H253" i="4"/>
  <c r="I253" i="4"/>
  <c r="H252" i="4"/>
  <c r="I252" i="4"/>
  <c r="H251" i="4"/>
  <c r="I251" i="4"/>
  <c r="H250" i="4"/>
  <c r="I250" i="4"/>
  <c r="H249" i="4"/>
  <c r="I249" i="4"/>
  <c r="H248" i="4"/>
  <c r="I248" i="4"/>
  <c r="H247" i="4"/>
  <c r="I247" i="4"/>
  <c r="H246" i="4"/>
  <c r="I246" i="4"/>
  <c r="H245" i="4"/>
  <c r="I245" i="4"/>
  <c r="H244" i="4"/>
  <c r="I244" i="4"/>
  <c r="H243" i="4"/>
  <c r="I243" i="4"/>
  <c r="H242" i="4"/>
  <c r="I242" i="4"/>
  <c r="H241" i="4"/>
  <c r="I241" i="4"/>
  <c r="H240" i="4"/>
  <c r="I240" i="4"/>
  <c r="H239" i="4"/>
  <c r="I239" i="4"/>
  <c r="H238" i="4"/>
  <c r="I238" i="4"/>
  <c r="H237" i="4"/>
  <c r="I237" i="4"/>
  <c r="H236" i="4"/>
  <c r="I236" i="4"/>
  <c r="H235" i="4"/>
  <c r="I235" i="4"/>
  <c r="H234" i="4"/>
  <c r="I234" i="4"/>
  <c r="H233" i="4"/>
  <c r="I233" i="4"/>
  <c r="H232" i="4"/>
  <c r="I232" i="4"/>
  <c r="H231" i="4"/>
  <c r="I231" i="4"/>
  <c r="H230" i="4"/>
  <c r="I230" i="4"/>
  <c r="H229" i="4"/>
  <c r="I229" i="4"/>
  <c r="H228" i="4"/>
  <c r="I228" i="4"/>
  <c r="H227" i="4"/>
  <c r="I227" i="4"/>
  <c r="H226" i="4"/>
  <c r="I226" i="4"/>
  <c r="H225" i="4"/>
  <c r="I225" i="4"/>
  <c r="H224" i="4"/>
  <c r="I224" i="4"/>
  <c r="H223" i="4"/>
  <c r="I223" i="4"/>
  <c r="H222" i="4"/>
  <c r="I222" i="4"/>
  <c r="H221" i="4"/>
  <c r="I221" i="4"/>
  <c r="H220" i="4"/>
  <c r="I220" i="4"/>
  <c r="H219" i="4"/>
  <c r="I219" i="4"/>
  <c r="H218" i="4"/>
  <c r="I218" i="4"/>
  <c r="H217" i="4"/>
  <c r="I217" i="4"/>
  <c r="H216" i="4"/>
  <c r="I216" i="4"/>
  <c r="H215" i="4"/>
  <c r="I215" i="4"/>
  <c r="H214" i="4"/>
  <c r="I214" i="4"/>
  <c r="H213" i="4"/>
  <c r="I213" i="4"/>
  <c r="H212" i="4"/>
  <c r="I212" i="4"/>
  <c r="H211" i="4"/>
  <c r="I211" i="4"/>
  <c r="H210" i="4"/>
  <c r="I210" i="4"/>
  <c r="H209" i="4"/>
  <c r="I209" i="4"/>
  <c r="H208" i="4"/>
  <c r="I208" i="4"/>
  <c r="H207" i="4"/>
  <c r="I207" i="4"/>
  <c r="H206" i="4"/>
  <c r="I206" i="4"/>
  <c r="H205" i="4"/>
  <c r="I205" i="4"/>
  <c r="H204" i="4"/>
  <c r="I204" i="4"/>
  <c r="H203" i="4"/>
  <c r="I203" i="4"/>
  <c r="H202" i="4"/>
  <c r="I202" i="4"/>
  <c r="H201" i="4"/>
  <c r="I201" i="4"/>
  <c r="H200" i="4"/>
  <c r="I200" i="4"/>
  <c r="H199" i="4"/>
  <c r="I199" i="4"/>
  <c r="H198" i="4"/>
  <c r="I198" i="4"/>
  <c r="H197" i="4"/>
  <c r="I197" i="4"/>
  <c r="H196" i="4"/>
  <c r="I196" i="4"/>
  <c r="H195" i="4"/>
  <c r="I195" i="4"/>
  <c r="H194" i="4"/>
  <c r="I194" i="4"/>
  <c r="H193" i="4"/>
  <c r="I193" i="4"/>
  <c r="H192" i="4"/>
  <c r="I192" i="4"/>
  <c r="H191" i="4"/>
  <c r="I191" i="4"/>
  <c r="H190" i="4"/>
  <c r="I190" i="4"/>
  <c r="H189" i="4"/>
  <c r="I189" i="4"/>
  <c r="H188" i="4"/>
  <c r="I188" i="4"/>
  <c r="H187" i="4"/>
  <c r="I187" i="4"/>
  <c r="H186" i="4"/>
  <c r="I186" i="4"/>
  <c r="Q45" i="2"/>
  <c r="AE45" i="2"/>
  <c r="AS45" i="2"/>
  <c r="BU45" i="2"/>
  <c r="CI45" i="2"/>
  <c r="CW45" i="2"/>
  <c r="DY45" i="2"/>
  <c r="EM45" i="2"/>
  <c r="FA45" i="2"/>
  <c r="Q46" i="2"/>
  <c r="AS46" i="2"/>
  <c r="BU46" i="2"/>
  <c r="CI46" i="2"/>
  <c r="CW46" i="2"/>
  <c r="DY46" i="2"/>
  <c r="EM46" i="2"/>
  <c r="FA46" i="2"/>
  <c r="Q47" i="2"/>
  <c r="AS47" i="2"/>
  <c r="BU47" i="2"/>
  <c r="CI47" i="2"/>
  <c r="CW47" i="2"/>
  <c r="DY47" i="2"/>
  <c r="EM47" i="2"/>
  <c r="FA47" i="2"/>
  <c r="Q48" i="2"/>
  <c r="AE48" i="2"/>
  <c r="AS48" i="2"/>
  <c r="BU48" i="2"/>
  <c r="CI48" i="2"/>
  <c r="CW48" i="2"/>
  <c r="DY48" i="2"/>
  <c r="EM48" i="2"/>
  <c r="FA48" i="2"/>
  <c r="Q49" i="2"/>
  <c r="AS49" i="2"/>
  <c r="BU49" i="2"/>
  <c r="CI49" i="2"/>
  <c r="CW49" i="2"/>
  <c r="DY49" i="2"/>
  <c r="EM49" i="2"/>
  <c r="FA49" i="2"/>
  <c r="Q50" i="2"/>
  <c r="AS50" i="2"/>
  <c r="BU50" i="2"/>
  <c r="CI50" i="2"/>
  <c r="CW50" i="2"/>
  <c r="DY50" i="2"/>
  <c r="EM50" i="2"/>
  <c r="FA50" i="2"/>
  <c r="Q51" i="2"/>
  <c r="AE51" i="2"/>
  <c r="AS51" i="2"/>
  <c r="BU51" i="2"/>
  <c r="CI51" i="2"/>
  <c r="CW51" i="2"/>
  <c r="DY51" i="2"/>
  <c r="EM51" i="2"/>
  <c r="FA51" i="2"/>
  <c r="H185" i="4"/>
  <c r="I185" i="4"/>
  <c r="H184" i="4"/>
  <c r="I184" i="4"/>
  <c r="H183" i="4"/>
  <c r="I183" i="4"/>
  <c r="H182" i="4"/>
  <c r="I182" i="4"/>
  <c r="H181" i="4"/>
  <c r="I181" i="4"/>
  <c r="H180" i="4"/>
  <c r="I180" i="4"/>
  <c r="H179" i="4"/>
  <c r="I179" i="4"/>
  <c r="H178" i="4"/>
  <c r="I178" i="4"/>
  <c r="H177" i="4"/>
  <c r="I177" i="4"/>
  <c r="H176" i="4"/>
  <c r="I176" i="4"/>
  <c r="H175" i="4"/>
  <c r="I175" i="4"/>
  <c r="H174" i="4"/>
  <c r="I174" i="4"/>
  <c r="H173" i="4"/>
  <c r="I173" i="4"/>
  <c r="H170" i="4"/>
  <c r="I170" i="4"/>
  <c r="H167" i="4"/>
  <c r="I167" i="4"/>
  <c r="H168" i="4"/>
  <c r="I168" i="4"/>
  <c r="H169" i="4"/>
  <c r="I169" i="4"/>
  <c r="H172" i="4"/>
  <c r="I172" i="4"/>
  <c r="H171" i="4"/>
  <c r="I171" i="4"/>
  <c r="H166" i="4"/>
  <c r="I166" i="4"/>
  <c r="H165" i="4"/>
  <c r="I165" i="4"/>
  <c r="H164" i="4"/>
  <c r="I164" i="4"/>
  <c r="H163" i="4"/>
  <c r="I163" i="4"/>
  <c r="H162" i="4"/>
  <c r="I162" i="4"/>
  <c r="H161" i="4"/>
  <c r="I161" i="4"/>
  <c r="H160" i="4"/>
  <c r="I160" i="4"/>
  <c r="H159" i="4"/>
  <c r="I159" i="4"/>
  <c r="H158" i="4"/>
  <c r="I158" i="4"/>
  <c r="H157" i="4"/>
  <c r="I157" i="4"/>
  <c r="H156" i="4"/>
  <c r="I156" i="4"/>
  <c r="H155" i="4"/>
  <c r="I155" i="4"/>
  <c r="H154" i="4"/>
  <c r="I154" i="4"/>
  <c r="H153" i="4"/>
  <c r="I153" i="4"/>
  <c r="H152" i="4"/>
  <c r="I152" i="4"/>
  <c r="H151" i="4"/>
  <c r="I151" i="4"/>
  <c r="H150" i="4"/>
  <c r="I150" i="4"/>
  <c r="H149" i="4"/>
  <c r="I149" i="4"/>
  <c r="H148" i="4"/>
  <c r="I148" i="4"/>
  <c r="H147" i="4"/>
  <c r="I147" i="4"/>
  <c r="H146" i="4"/>
  <c r="I146" i="4"/>
  <c r="H145" i="4"/>
  <c r="I145" i="4"/>
  <c r="H144" i="4"/>
  <c r="I144" i="4"/>
  <c r="H143" i="4"/>
  <c r="I143" i="4"/>
  <c r="H142" i="4"/>
  <c r="I142" i="4"/>
  <c r="H141" i="4"/>
  <c r="I141" i="4"/>
  <c r="H140" i="4"/>
  <c r="I140" i="4"/>
  <c r="H139" i="4"/>
  <c r="I139" i="4"/>
  <c r="H138" i="4"/>
  <c r="I138" i="4"/>
  <c r="H137" i="4"/>
  <c r="I137" i="4"/>
  <c r="H136" i="4"/>
  <c r="I136" i="4"/>
  <c r="H132" i="4"/>
  <c r="I132" i="4"/>
  <c r="H135" i="4"/>
  <c r="I135" i="4"/>
  <c r="H134" i="4"/>
  <c r="I134" i="4"/>
  <c r="C23" i="11"/>
  <c r="H133" i="4"/>
  <c r="I133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H131" i="4"/>
  <c r="H130" i="4"/>
  <c r="H129" i="4"/>
  <c r="H128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I8" i="7"/>
  <c r="I9" i="7"/>
  <c r="I10" i="7"/>
  <c r="I11" i="7"/>
  <c r="I12" i="7"/>
  <c r="I13" i="7"/>
  <c r="I14" i="7"/>
  <c r="I15" i="7"/>
  <c r="I16" i="7"/>
  <c r="I17" i="7"/>
  <c r="I18" i="7"/>
  <c r="I7" i="7"/>
  <c r="D11" i="7"/>
  <c r="D9" i="7"/>
  <c r="D8" i="7"/>
  <c r="E5" i="2"/>
  <c r="L42" i="2" s="1"/>
  <c r="I39" i="2" l="1"/>
  <c r="J39" i="2"/>
  <c r="K39" i="2"/>
  <c r="L39" i="2"/>
  <c r="M39" i="2"/>
  <c r="N39" i="2"/>
  <c r="O39" i="2"/>
  <c r="P39" i="2"/>
  <c r="E39" i="2"/>
  <c r="F39" i="2"/>
  <c r="G39" i="2"/>
  <c r="H39" i="2"/>
  <c r="G42" i="2"/>
  <c r="J22" i="2"/>
  <c r="F42" i="2"/>
  <c r="F22" i="2"/>
  <c r="E22" i="2"/>
  <c r="H9" i="2"/>
  <c r="M22" i="2"/>
  <c r="O22" i="2"/>
  <c r="S5" i="2"/>
  <c r="L9" i="2"/>
  <c r="E42" i="2"/>
  <c r="P9" i="2"/>
  <c r="M9" i="2"/>
  <c r="M32" i="2" s="1"/>
  <c r="O42" i="2"/>
  <c r="I9" i="2"/>
  <c r="K42" i="2"/>
  <c r="J9" i="2"/>
  <c r="J11" i="2" s="1"/>
  <c r="I42" i="2"/>
  <c r="N22" i="2"/>
  <c r="F9" i="2"/>
  <c r="F11" i="2" s="1"/>
  <c r="K22" i="2"/>
  <c r="H42" i="2"/>
  <c r="Q9" i="2"/>
  <c r="P42" i="2"/>
  <c r="M42" i="2"/>
  <c r="N42" i="2"/>
  <c r="O9" i="2"/>
  <c r="O11" i="2" s="1"/>
  <c r="P22" i="2"/>
  <c r="K9" i="2"/>
  <c r="K11" i="2" s="1"/>
  <c r="H22" i="2"/>
  <c r="G9" i="2"/>
  <c r="G11" i="2" s="1"/>
  <c r="G22" i="2"/>
  <c r="N9" i="2"/>
  <c r="N11" i="2" s="1"/>
  <c r="Q22" i="2"/>
  <c r="E9" i="2"/>
  <c r="E11" i="2" s="1"/>
  <c r="I22" i="2"/>
  <c r="L22" i="2"/>
  <c r="J42" i="2"/>
  <c r="Q42" i="2"/>
  <c r="H7" i="10" a="1"/>
  <c r="H7" i="10" s="1"/>
  <c r="L21" i="7" a="1"/>
  <c r="L21" i="7" s="1"/>
  <c r="O7" i="10" a="1"/>
  <c r="O7" i="10" s="1"/>
  <c r="M21" i="7" s="1" a="1"/>
  <c r="M21" i="7" s="1"/>
  <c r="F7" i="10" a="1"/>
  <c r="F7" i="10" s="1"/>
  <c r="D7" i="10" a="1"/>
  <c r="D7" i="10" s="1"/>
  <c r="E7" i="10" s="1" a="1"/>
  <c r="E7" i="10" s="1"/>
  <c r="G7" i="10" a="1"/>
  <c r="G7" i="10" s="1"/>
  <c r="C7" i="10" a="1"/>
  <c r="C7" i="10" s="1"/>
  <c r="I21" i="7" a="1"/>
  <c r="I21" i="7" s="1"/>
  <c r="M7" i="10" a="1"/>
  <c r="M7" i="10" s="1"/>
  <c r="D11" i="11"/>
  <c r="E11" i="11" s="1"/>
  <c r="D19" i="11"/>
  <c r="E19" i="11" s="1"/>
  <c r="D16" i="11"/>
  <c r="E16" i="11" s="1"/>
  <c r="D22" i="11"/>
  <c r="E22" i="11" s="1"/>
  <c r="D13" i="11"/>
  <c r="E13" i="11" s="1"/>
  <c r="D10" i="11"/>
  <c r="E10" i="11" s="1"/>
  <c r="D18" i="11"/>
  <c r="E18" i="11" s="1"/>
  <c r="D14" i="11"/>
  <c r="E14" i="11" s="1"/>
  <c r="D21" i="11"/>
  <c r="E21" i="11" s="1"/>
  <c r="D15" i="11"/>
  <c r="E15" i="11" s="1"/>
  <c r="D20" i="11"/>
  <c r="E20" i="11" s="1"/>
  <c r="D17" i="11"/>
  <c r="E17" i="11" s="1"/>
  <c r="D12" i="11"/>
  <c r="E12" i="11" s="1"/>
  <c r="D10" i="7"/>
  <c r="L7" i="10" l="1" a="1"/>
  <c r="L7" i="10" s="1"/>
  <c r="L3" i="10" s="1"/>
  <c r="P29" i="2"/>
  <c r="P11" i="2"/>
  <c r="I28" i="2"/>
  <c r="I11" i="2"/>
  <c r="L29" i="2"/>
  <c r="L11" i="2"/>
  <c r="H30" i="2"/>
  <c r="H11" i="2"/>
  <c r="AD42" i="2"/>
  <c r="Z39" i="2"/>
  <c r="Y39" i="2"/>
  <c r="X39" i="2"/>
  <c r="W39" i="2"/>
  <c r="V39" i="2"/>
  <c r="U39" i="2"/>
  <c r="T39" i="2"/>
  <c r="S39" i="2"/>
  <c r="AD39" i="2"/>
  <c r="AC39" i="2"/>
  <c r="AB39" i="2"/>
  <c r="AA39" i="2"/>
  <c r="H12" i="2"/>
  <c r="H24" i="2"/>
  <c r="H31" i="2"/>
  <c r="H28" i="2"/>
  <c r="H27" i="2"/>
  <c r="H18" i="2"/>
  <c r="Q18" i="2" s="1"/>
  <c r="AC22" i="2"/>
  <c r="AB9" i="2"/>
  <c r="AB29" i="2" s="1"/>
  <c r="U22" i="2"/>
  <c r="U42" i="2"/>
  <c r="V42" i="2"/>
  <c r="T22" i="2"/>
  <c r="AA9" i="2"/>
  <c r="AA22" i="2"/>
  <c r="W42" i="2"/>
  <c r="T9" i="2"/>
  <c r="Y9" i="2"/>
  <c r="M25" i="2"/>
  <c r="Z42" i="2"/>
  <c r="W22" i="2"/>
  <c r="P36" i="2"/>
  <c r="S9" i="2"/>
  <c r="X9" i="2"/>
  <c r="X29" i="2" s="1"/>
  <c r="P25" i="2"/>
  <c r="M36" i="2"/>
  <c r="AA42" i="2"/>
  <c r="I24" i="2"/>
  <c r="Y42" i="2"/>
  <c r="X22" i="2"/>
  <c r="I27" i="2"/>
  <c r="M26" i="2"/>
  <c r="I25" i="2"/>
  <c r="I31" i="2"/>
  <c r="M28" i="2"/>
  <c r="I29" i="2"/>
  <c r="H26" i="2"/>
  <c r="M27" i="2"/>
  <c r="I30" i="2"/>
  <c r="M23" i="2"/>
  <c r="M24" i="2"/>
  <c r="M30" i="2"/>
  <c r="I12" i="2"/>
  <c r="H17" i="2"/>
  <c r="Q17" i="2" s="1"/>
  <c r="Z9" i="2"/>
  <c r="AE42" i="2"/>
  <c r="P32" i="2"/>
  <c r="I36" i="2"/>
  <c r="H16" i="2"/>
  <c r="Q16" i="2" s="1"/>
  <c r="S22" i="2"/>
  <c r="W9" i="2"/>
  <c r="P23" i="2"/>
  <c r="I32" i="2"/>
  <c r="P30" i="2"/>
  <c r="I26" i="2"/>
  <c r="H15" i="2"/>
  <c r="Q15" i="2" s="1"/>
  <c r="V22" i="2"/>
  <c r="Y22" i="2"/>
  <c r="P27" i="2"/>
  <c r="I23" i="2"/>
  <c r="H19" i="2"/>
  <c r="Q19" i="2" s="1"/>
  <c r="P26" i="2"/>
  <c r="H13" i="2"/>
  <c r="Q13" i="2" s="1"/>
  <c r="AC42" i="2"/>
  <c r="AB42" i="2"/>
  <c r="P28" i="2"/>
  <c r="H32" i="2"/>
  <c r="M31" i="2"/>
  <c r="I10" i="2"/>
  <c r="H29" i="2"/>
  <c r="H10" i="2"/>
  <c r="H14" i="2"/>
  <c r="Q14" i="2" s="1"/>
  <c r="H23" i="2"/>
  <c r="L23" i="2"/>
  <c r="L26" i="2"/>
  <c r="H25" i="2"/>
  <c r="L10" i="2"/>
  <c r="L25" i="2"/>
  <c r="L31" i="2"/>
  <c r="L28" i="2"/>
  <c r="L32" i="2"/>
  <c r="L30" i="2"/>
  <c r="L12" i="2"/>
  <c r="H36" i="2"/>
  <c r="M12" i="2"/>
  <c r="M29" i="2"/>
  <c r="P24" i="2"/>
  <c r="P31" i="2"/>
  <c r="P10" i="2"/>
  <c r="L24" i="2"/>
  <c r="L27" i="2"/>
  <c r="P12" i="2"/>
  <c r="L36" i="2"/>
  <c r="X42" i="2"/>
  <c r="T42" i="2"/>
  <c r="AB22" i="2"/>
  <c r="AG5" i="2"/>
  <c r="U9" i="2"/>
  <c r="V9" i="2"/>
  <c r="AD22" i="2"/>
  <c r="AC9" i="2"/>
  <c r="S42" i="2"/>
  <c r="AD9" i="2"/>
  <c r="Z22" i="2"/>
  <c r="AE22" i="2"/>
  <c r="AA33" i="2"/>
  <c r="AA29" i="2"/>
  <c r="AA26" i="2"/>
  <c r="AA27" i="2"/>
  <c r="AA32" i="2"/>
  <c r="AA36" i="2"/>
  <c r="AA30" i="2"/>
  <c r="O26" i="2"/>
  <c r="O28" i="2"/>
  <c r="O32" i="2"/>
  <c r="O30" i="2"/>
  <c r="O12" i="2"/>
  <c r="O31" i="2"/>
  <c r="O29" i="2"/>
  <c r="O27" i="2"/>
  <c r="O23" i="2"/>
  <c r="O25" i="2"/>
  <c r="O10" i="2"/>
  <c r="O36" i="2"/>
  <c r="O24" i="2"/>
  <c r="X36" i="2"/>
  <c r="X10" i="2"/>
  <c r="X26" i="2"/>
  <c r="X27" i="2"/>
  <c r="N27" i="2"/>
  <c r="N32" i="2"/>
  <c r="N25" i="2"/>
  <c r="N10" i="2"/>
  <c r="N26" i="2"/>
  <c r="N30" i="2"/>
  <c r="N28" i="2"/>
  <c r="N36" i="2"/>
  <c r="N23" i="2"/>
  <c r="N24" i="2"/>
  <c r="N12" i="2"/>
  <c r="N29" i="2"/>
  <c r="N31" i="2"/>
  <c r="J26" i="2"/>
  <c r="J28" i="2"/>
  <c r="J32" i="2"/>
  <c r="J36" i="2"/>
  <c r="J29" i="2"/>
  <c r="J31" i="2"/>
  <c r="J12" i="2"/>
  <c r="J24" i="2"/>
  <c r="J23" i="2"/>
  <c r="J25" i="2"/>
  <c r="J27" i="2"/>
  <c r="J10" i="2"/>
  <c r="J30" i="2"/>
  <c r="F23" i="2"/>
  <c r="F27" i="2"/>
  <c r="F10" i="2"/>
  <c r="F30" i="2"/>
  <c r="F31" i="2"/>
  <c r="F26" i="2"/>
  <c r="F25" i="2"/>
  <c r="F32" i="2"/>
  <c r="F36" i="2"/>
  <c r="F12" i="2"/>
  <c r="F24" i="2"/>
  <c r="F28" i="2"/>
  <c r="F29" i="2"/>
  <c r="Y28" i="2"/>
  <c r="Y36" i="2"/>
  <c r="Y35" i="2"/>
  <c r="G30" i="2"/>
  <c r="G25" i="2"/>
  <c r="G27" i="2"/>
  <c r="G24" i="2"/>
  <c r="G28" i="2"/>
  <c r="G32" i="2"/>
  <c r="G36" i="2"/>
  <c r="G12" i="2"/>
  <c r="G23" i="2"/>
  <c r="G10" i="2"/>
  <c r="G26" i="2"/>
  <c r="G29" i="2"/>
  <c r="G31" i="2"/>
  <c r="AB25" i="2"/>
  <c r="AB23" i="2"/>
  <c r="AB26" i="2"/>
  <c r="AB24" i="2"/>
  <c r="E28" i="2"/>
  <c r="E29" i="2"/>
  <c r="E32" i="2"/>
  <c r="E36" i="2"/>
  <c r="E30" i="2"/>
  <c r="E10" i="2"/>
  <c r="E23" i="2"/>
  <c r="E24" i="2"/>
  <c r="E26" i="2"/>
  <c r="E27" i="2"/>
  <c r="E25" i="2"/>
  <c r="E31" i="2"/>
  <c r="E12" i="2"/>
  <c r="Z13" i="2"/>
  <c r="Z28" i="2"/>
  <c r="Z31" i="2"/>
  <c r="Z30" i="2"/>
  <c r="Z16" i="2"/>
  <c r="Z24" i="2"/>
  <c r="Z18" i="2"/>
  <c r="Z27" i="2"/>
  <c r="Z33" i="2"/>
  <c r="Z23" i="2"/>
  <c r="Z17" i="2"/>
  <c r="Z35" i="2"/>
  <c r="Z29" i="2"/>
  <c r="Z10" i="2"/>
  <c r="Z25" i="2"/>
  <c r="Z19" i="2"/>
  <c r="Z15" i="2"/>
  <c r="Z32" i="2"/>
  <c r="Z36" i="2"/>
  <c r="Z14" i="2"/>
  <c r="Z26" i="2"/>
  <c r="K36" i="2"/>
  <c r="K12" i="2"/>
  <c r="K32" i="2"/>
  <c r="K25" i="2"/>
  <c r="K27" i="2"/>
  <c r="K24" i="2"/>
  <c r="K30" i="2"/>
  <c r="K28" i="2"/>
  <c r="K31" i="2"/>
  <c r="K23" i="2"/>
  <c r="K10" i="2"/>
  <c r="K26" i="2"/>
  <c r="K29" i="2"/>
  <c r="F21" i="7" a="1"/>
  <c r="F21" i="7" s="1"/>
  <c r="C21" i="7" a="1"/>
  <c r="C21" i="7" s="1"/>
  <c r="I7" i="10" a="1"/>
  <c r="I7" i="10" s="1"/>
  <c r="D23" i="11"/>
  <c r="E23" i="11" s="1"/>
  <c r="N37" i="2" a="1"/>
  <c r="I37" i="2" a="1"/>
  <c r="F37" i="2" a="1"/>
  <c r="J37" i="2" a="1"/>
  <c r="N20" i="2" a="1"/>
  <c r="M37" i="2" a="1"/>
  <c r="E20" i="2" a="1"/>
  <c r="P37" i="2" a="1"/>
  <c r="E37" i="2" a="1"/>
  <c r="K20" i="2" a="1"/>
  <c r="P20" i="2" a="1"/>
  <c r="G20" i="2" a="1"/>
  <c r="G37" i="2" a="1"/>
  <c r="H37" i="2" a="1"/>
  <c r="K37" i="2" a="1"/>
  <c r="O37" i="2" a="1"/>
  <c r="L20" i="2" a="1"/>
  <c r="I20" i="2" a="1"/>
  <c r="O20" i="2" a="1"/>
  <c r="M20" i="2" a="1"/>
  <c r="F20" i="2" a="1"/>
  <c r="L37" i="2" a="1"/>
  <c r="J20" i="2" a="1"/>
  <c r="H20" i="2" a="1"/>
  <c r="Q11" i="2" l="1"/>
  <c r="AD34" i="2"/>
  <c r="AD12" i="2"/>
  <c r="AD11" i="2"/>
  <c r="X35" i="2"/>
  <c r="X23" i="2"/>
  <c r="AB27" i="2"/>
  <c r="U34" i="2"/>
  <c r="U11" i="2"/>
  <c r="U12" i="2"/>
  <c r="Y34" i="2"/>
  <c r="Y12" i="2"/>
  <c r="Y11" i="2"/>
  <c r="S11" i="2"/>
  <c r="S12" i="2"/>
  <c r="AB14" i="2"/>
  <c r="V34" i="2"/>
  <c r="V11" i="2"/>
  <c r="V12" i="2"/>
  <c r="AB36" i="2"/>
  <c r="X31" i="2"/>
  <c r="T11" i="2"/>
  <c r="T12" i="2"/>
  <c r="AB32" i="2"/>
  <c r="X33" i="2"/>
  <c r="AB16" i="2"/>
  <c r="X24" i="2"/>
  <c r="AA34" i="2"/>
  <c r="AA12" i="2"/>
  <c r="AA11" i="2"/>
  <c r="AB34" i="2"/>
  <c r="AB12" i="2"/>
  <c r="AB11" i="2"/>
  <c r="AB33" i="2"/>
  <c r="X34" i="2"/>
  <c r="X12" i="2"/>
  <c r="X11" i="2"/>
  <c r="AB15" i="2"/>
  <c r="X32" i="2"/>
  <c r="AB19" i="2"/>
  <c r="AC34" i="2"/>
  <c r="AC12" i="2"/>
  <c r="AC11" i="2"/>
  <c r="X25" i="2"/>
  <c r="AB31" i="2"/>
  <c r="X28" i="2"/>
  <c r="W11" i="2"/>
  <c r="W12" i="2"/>
  <c r="AB30" i="2"/>
  <c r="X30" i="2"/>
  <c r="AB10" i="2"/>
  <c r="Z34" i="2"/>
  <c r="Z12" i="2"/>
  <c r="Z11" i="2"/>
  <c r="Y32" i="2"/>
  <c r="Y29" i="2"/>
  <c r="T32" i="2"/>
  <c r="T34" i="2"/>
  <c r="AA10" i="2"/>
  <c r="AA25" i="2"/>
  <c r="AB28" i="2"/>
  <c r="AB17" i="2"/>
  <c r="Y10" i="2"/>
  <c r="W30" i="2"/>
  <c r="W34" i="2"/>
  <c r="Y31" i="2"/>
  <c r="AA23" i="2"/>
  <c r="S25" i="2"/>
  <c r="S34" i="2"/>
  <c r="Y30" i="2"/>
  <c r="Y27" i="2"/>
  <c r="AB18" i="2"/>
  <c r="AB35" i="2"/>
  <c r="AA24" i="2"/>
  <c r="Y24" i="2"/>
  <c r="AA35" i="2"/>
  <c r="Y26" i="2"/>
  <c r="Y23" i="2"/>
  <c r="AA28" i="2"/>
  <c r="Y25" i="2"/>
  <c r="AB13" i="2"/>
  <c r="Y33" i="2"/>
  <c r="AA31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T27" i="2"/>
  <c r="T10" i="2"/>
  <c r="T35" i="2"/>
  <c r="T29" i="2"/>
  <c r="T23" i="2"/>
  <c r="T30" i="2"/>
  <c r="W26" i="2"/>
  <c r="T28" i="2"/>
  <c r="T24" i="2"/>
  <c r="T25" i="2"/>
  <c r="T33" i="2"/>
  <c r="T31" i="2"/>
  <c r="T26" i="2"/>
  <c r="T36" i="2"/>
  <c r="W28" i="2"/>
  <c r="S29" i="2"/>
  <c r="W25" i="2"/>
  <c r="S24" i="2"/>
  <c r="W36" i="2"/>
  <c r="S33" i="2"/>
  <c r="S30" i="2"/>
  <c r="W24" i="2"/>
  <c r="W32" i="2"/>
  <c r="S31" i="2"/>
  <c r="W29" i="2"/>
  <c r="S10" i="2"/>
  <c r="W35" i="2"/>
  <c r="S32" i="2"/>
  <c r="S23" i="2"/>
  <c r="W10" i="2"/>
  <c r="S27" i="2"/>
  <c r="S28" i="2"/>
  <c r="S36" i="2"/>
  <c r="S26" i="2"/>
  <c r="S35" i="2"/>
  <c r="W33" i="2"/>
  <c r="W23" i="2"/>
  <c r="W27" i="2"/>
  <c r="W31" i="2"/>
  <c r="I37" i="2"/>
  <c r="I40" i="2" s="1"/>
  <c r="I20" i="2"/>
  <c r="H20" i="2"/>
  <c r="H37" i="2"/>
  <c r="H40" i="2" s="1"/>
  <c r="L20" i="2"/>
  <c r="L37" i="2"/>
  <c r="L40" i="2" s="1"/>
  <c r="P20" i="2"/>
  <c r="P37" i="2"/>
  <c r="P40" i="2" s="1"/>
  <c r="M37" i="2"/>
  <c r="M40" i="2" s="1"/>
  <c r="M20" i="2"/>
  <c r="V14" i="2"/>
  <c r="V15" i="2"/>
  <c r="V16" i="2"/>
  <c r="V26" i="2"/>
  <c r="V33" i="2"/>
  <c r="V32" i="2"/>
  <c r="V27" i="2"/>
  <c r="V23" i="2"/>
  <c r="V25" i="2"/>
  <c r="V30" i="2"/>
  <c r="V17" i="2"/>
  <c r="V19" i="2"/>
  <c r="V29" i="2"/>
  <c r="V35" i="2"/>
  <c r="V28" i="2"/>
  <c r="V36" i="2"/>
  <c r="V24" i="2"/>
  <c r="V13" i="2"/>
  <c r="V31" i="2"/>
  <c r="V10" i="2"/>
  <c r="V18" i="2"/>
  <c r="U30" i="2"/>
  <c r="U10" i="2"/>
  <c r="U25" i="2"/>
  <c r="U28" i="2"/>
  <c r="U29" i="2"/>
  <c r="U26" i="2"/>
  <c r="U23" i="2"/>
  <c r="U33" i="2"/>
  <c r="U31" i="2"/>
  <c r="U35" i="2"/>
  <c r="U27" i="2"/>
  <c r="U36" i="2"/>
  <c r="U32" i="2"/>
  <c r="U24" i="2"/>
  <c r="AM9" i="2"/>
  <c r="AR42" i="2"/>
  <c r="AP22" i="2"/>
  <c r="AI22" i="2"/>
  <c r="AM22" i="2"/>
  <c r="AG9" i="2"/>
  <c r="AP42" i="2"/>
  <c r="AR9" i="2"/>
  <c r="AK9" i="2"/>
  <c r="AQ22" i="2"/>
  <c r="AM42" i="2"/>
  <c r="AJ42" i="2"/>
  <c r="AN22" i="2"/>
  <c r="AU5" i="2"/>
  <c r="AQ9" i="2"/>
  <c r="AL42" i="2"/>
  <c r="AR22" i="2"/>
  <c r="AL9" i="2"/>
  <c r="AN42" i="2"/>
  <c r="AO42" i="2"/>
  <c r="AN9" i="2"/>
  <c r="AS22" i="2"/>
  <c r="AJ22" i="2"/>
  <c r="AO9" i="2"/>
  <c r="AH22" i="2"/>
  <c r="AI9" i="2"/>
  <c r="AG42" i="2"/>
  <c r="AL22" i="2"/>
  <c r="AI42" i="2"/>
  <c r="AG22" i="2"/>
  <c r="AH42" i="2"/>
  <c r="AO22" i="2"/>
  <c r="AK42" i="2"/>
  <c r="AJ9" i="2"/>
  <c r="AS42" i="2"/>
  <c r="AQ42" i="2"/>
  <c r="AK22" i="2"/>
  <c r="AP9" i="2"/>
  <c r="AH9" i="2"/>
  <c r="Q32" i="2"/>
  <c r="AD30" i="2"/>
  <c r="AD33" i="2"/>
  <c r="AD27" i="2"/>
  <c r="AD25" i="2"/>
  <c r="AD28" i="2"/>
  <c r="AD23" i="2"/>
  <c r="AD10" i="2"/>
  <c r="AD35" i="2"/>
  <c r="AD36" i="2"/>
  <c r="AD24" i="2"/>
  <c r="AD26" i="2"/>
  <c r="AD31" i="2"/>
  <c r="AD32" i="2"/>
  <c r="AD29" i="2"/>
  <c r="AC25" i="2"/>
  <c r="AC33" i="2"/>
  <c r="AC26" i="2"/>
  <c r="AC32" i="2"/>
  <c r="AC27" i="2"/>
  <c r="AC23" i="2"/>
  <c r="AC24" i="2"/>
  <c r="AC36" i="2"/>
  <c r="AC30" i="2"/>
  <c r="AC10" i="2"/>
  <c r="AC31" i="2"/>
  <c r="AC29" i="2"/>
  <c r="AC35" i="2"/>
  <c r="AC28" i="2"/>
  <c r="Q29" i="2"/>
  <c r="O20" i="2"/>
  <c r="J20" i="2"/>
  <c r="J37" i="2"/>
  <c r="J40" i="2" s="1"/>
  <c r="F37" i="2"/>
  <c r="F40" i="2" s="1"/>
  <c r="O37" i="2"/>
  <c r="O40" i="2" s="1"/>
  <c r="E37" i="2"/>
  <c r="E40" i="2" s="1"/>
  <c r="G20" i="2"/>
  <c r="F20" i="2"/>
  <c r="N37" i="2"/>
  <c r="N40" i="2" s="1"/>
  <c r="K20" i="2"/>
  <c r="K37" i="2"/>
  <c r="K40" i="2" s="1"/>
  <c r="N20" i="2"/>
  <c r="E20" i="2"/>
  <c r="G37" i="2"/>
  <c r="G40" i="2" s="1"/>
  <c r="Q12" i="2"/>
  <c r="Q31" i="2"/>
  <c r="Q24" i="2"/>
  <c r="Q28" i="2"/>
  <c r="Q23" i="2"/>
  <c r="Q25" i="2"/>
  <c r="Q27" i="2"/>
  <c r="Q26" i="2"/>
  <c r="Q10" i="2"/>
  <c r="Q30" i="2"/>
  <c r="Q36" i="2"/>
  <c r="K7" i="10" a="1"/>
  <c r="K7" i="10" s="1"/>
  <c r="J21" i="7" s="1" a="1"/>
  <c r="J21" i="7" s="1"/>
  <c r="N7" i="10" a="1"/>
  <c r="N7" i="10" s="1"/>
  <c r="M3" i="10"/>
  <c r="J7" i="10" a="1"/>
  <c r="J7" i="10" s="1"/>
  <c r="S20" i="2" a="1"/>
  <c r="X20" i="2" a="1"/>
  <c r="AB20" i="2" a="1"/>
  <c r="Q37" i="2" a="1"/>
  <c r="T20" i="2" a="1"/>
  <c r="AD20" i="2" a="1"/>
  <c r="V37" i="2" a="1"/>
  <c r="Y20" i="2" a="1"/>
  <c r="Z20" i="2" a="1"/>
  <c r="U20" i="2" a="1"/>
  <c r="AD37" i="2" a="1"/>
  <c r="W20" i="2" a="1"/>
  <c r="Y37" i="2" a="1"/>
  <c r="V20" i="2" a="1"/>
  <c r="W37" i="2" a="1"/>
  <c r="AC37" i="2" a="1"/>
  <c r="Z37" i="2" a="1"/>
  <c r="X37" i="2" a="1"/>
  <c r="Q20" i="2" a="1"/>
  <c r="T37" i="2" a="1"/>
  <c r="AB37" i="2" a="1"/>
  <c r="AC20" i="2" a="1"/>
  <c r="AA20" i="2" a="1"/>
  <c r="U37" i="2" a="1"/>
  <c r="S37" i="2" a="1"/>
  <c r="AA37" i="2" a="1"/>
  <c r="AE19" i="2" l="1"/>
  <c r="AB37" i="2"/>
  <c r="AE14" i="2"/>
  <c r="Z37" i="2"/>
  <c r="Z40" i="2" s="1"/>
  <c r="AB20" i="2"/>
  <c r="Z20" i="2"/>
  <c r="X37" i="2"/>
  <c r="X40" i="2" s="1"/>
  <c r="X20" i="2"/>
  <c r="AE11" i="2"/>
  <c r="AJ34" i="2"/>
  <c r="AJ17" i="2"/>
  <c r="AJ13" i="2"/>
  <c r="AJ11" i="2"/>
  <c r="AJ18" i="2"/>
  <c r="AJ14" i="2"/>
  <c r="AJ15" i="2"/>
  <c r="AJ19" i="2"/>
  <c r="AJ12" i="2"/>
  <c r="AJ16" i="2"/>
  <c r="AL34" i="2"/>
  <c r="AL14" i="2"/>
  <c r="AL18" i="2"/>
  <c r="AL12" i="2"/>
  <c r="AL16" i="2"/>
  <c r="AL11" i="2"/>
  <c r="AL17" i="2"/>
  <c r="AL15" i="2"/>
  <c r="AL19" i="2"/>
  <c r="AL13" i="2"/>
  <c r="AE18" i="2"/>
  <c r="AM34" i="2"/>
  <c r="AM14" i="2"/>
  <c r="AM18" i="2"/>
  <c r="AM11" i="2"/>
  <c r="AM12" i="2"/>
  <c r="AM16" i="2"/>
  <c r="AM13" i="2"/>
  <c r="AM17" i="2"/>
  <c r="AM15" i="2"/>
  <c r="AM19" i="2"/>
  <c r="AO34" i="2"/>
  <c r="AO15" i="2"/>
  <c r="AO19" i="2"/>
  <c r="AO18" i="2"/>
  <c r="AO14" i="2"/>
  <c r="AO16" i="2"/>
  <c r="AO12" i="2"/>
  <c r="AO11" i="2"/>
  <c r="AO13" i="2"/>
  <c r="AO17" i="2"/>
  <c r="AR34" i="2"/>
  <c r="AR15" i="2"/>
  <c r="AR19" i="2"/>
  <c r="AR14" i="2"/>
  <c r="AR18" i="2"/>
  <c r="AR12" i="2"/>
  <c r="AR11" i="2"/>
  <c r="AR13" i="2"/>
  <c r="AR16" i="2"/>
  <c r="AR17" i="2"/>
  <c r="AP34" i="2"/>
  <c r="AP15" i="2"/>
  <c r="AP19" i="2"/>
  <c r="AP14" i="2"/>
  <c r="AP11" i="2"/>
  <c r="AP18" i="2"/>
  <c r="AP12" i="2"/>
  <c r="AP16" i="2"/>
  <c r="AP13" i="2"/>
  <c r="AP17" i="2"/>
  <c r="AG34" i="2"/>
  <c r="AG13" i="2"/>
  <c r="AG17" i="2"/>
  <c r="AG16" i="2"/>
  <c r="AG12" i="2"/>
  <c r="AG11" i="2"/>
  <c r="AG15" i="2"/>
  <c r="AG19" i="2"/>
  <c r="AG14" i="2"/>
  <c r="AG18" i="2"/>
  <c r="AN34" i="2"/>
  <c r="AN14" i="2"/>
  <c r="AN18" i="2"/>
  <c r="AN16" i="2"/>
  <c r="AN11" i="2"/>
  <c r="AN12" i="2"/>
  <c r="AN13" i="2"/>
  <c r="AN17" i="2"/>
  <c r="AN15" i="2"/>
  <c r="AN19" i="2"/>
  <c r="AE34" i="2"/>
  <c r="AE16" i="2"/>
  <c r="AI34" i="2"/>
  <c r="AI17" i="2"/>
  <c r="AI13" i="2"/>
  <c r="AI14" i="2"/>
  <c r="AI18" i="2"/>
  <c r="AI19" i="2"/>
  <c r="AI11" i="2"/>
  <c r="AI15" i="2"/>
  <c r="AI12" i="2"/>
  <c r="AI16" i="2"/>
  <c r="AK34" i="2"/>
  <c r="AK14" i="2"/>
  <c r="AK18" i="2"/>
  <c r="AK13" i="2"/>
  <c r="AK17" i="2"/>
  <c r="AK16" i="2"/>
  <c r="AK11" i="2"/>
  <c r="AK15" i="2"/>
  <c r="AK19" i="2"/>
  <c r="AK12" i="2"/>
  <c r="AH34" i="2"/>
  <c r="AH13" i="2"/>
  <c r="AH17" i="2"/>
  <c r="AH18" i="2"/>
  <c r="AH15" i="2"/>
  <c r="AH12" i="2"/>
  <c r="AH11" i="2"/>
  <c r="AH14" i="2"/>
  <c r="AH16" i="2"/>
  <c r="AH19" i="2"/>
  <c r="AQ34" i="2"/>
  <c r="AQ19" i="2"/>
  <c r="AQ15" i="2"/>
  <c r="AQ16" i="2"/>
  <c r="AQ14" i="2"/>
  <c r="AQ18" i="2"/>
  <c r="AQ12" i="2"/>
  <c r="AQ13" i="2"/>
  <c r="AQ11" i="2"/>
  <c r="AQ17" i="2"/>
  <c r="AE13" i="2"/>
  <c r="AE15" i="2"/>
  <c r="Y20" i="2"/>
  <c r="AA37" i="2"/>
  <c r="AA40" i="2" s="1"/>
  <c r="Y37" i="2"/>
  <c r="Y40" i="2" s="1"/>
  <c r="AA20" i="2"/>
  <c r="AE17" i="2"/>
  <c r="J43" i="2"/>
  <c r="J44" i="2"/>
  <c r="P44" i="2"/>
  <c r="P43" i="2"/>
  <c r="N43" i="2"/>
  <c r="N44" i="2"/>
  <c r="M43" i="2"/>
  <c r="M44" i="2"/>
  <c r="K43" i="2"/>
  <c r="K44" i="2"/>
  <c r="F43" i="2"/>
  <c r="F44" i="2"/>
  <c r="G43" i="2"/>
  <c r="G44" i="2"/>
  <c r="L43" i="2"/>
  <c r="L44" i="2"/>
  <c r="H43" i="2"/>
  <c r="H44" i="2"/>
  <c r="I43" i="2"/>
  <c r="I44" i="2"/>
  <c r="O43" i="2"/>
  <c r="O44" i="2"/>
  <c r="E43" i="2"/>
  <c r="E44" i="2"/>
  <c r="BF39" i="2"/>
  <c r="BE39" i="2"/>
  <c r="BD39" i="2"/>
  <c r="BC39" i="2"/>
  <c r="BB39" i="2"/>
  <c r="BA39" i="2"/>
  <c r="AY39" i="2"/>
  <c r="AZ39" i="2"/>
  <c r="AX39" i="2"/>
  <c r="AW39" i="2"/>
  <c r="AV39" i="2"/>
  <c r="AU39" i="2"/>
  <c r="I7" i="2"/>
  <c r="H7" i="2"/>
  <c r="L7" i="2"/>
  <c r="T20" i="2"/>
  <c r="T37" i="2"/>
  <c r="T40" i="2" s="1"/>
  <c r="AE29" i="2"/>
  <c r="W20" i="2"/>
  <c r="S37" i="2"/>
  <c r="S40" i="2" s="1"/>
  <c r="S20" i="2"/>
  <c r="AE12" i="2"/>
  <c r="W37" i="2"/>
  <c r="W40" i="2" s="1"/>
  <c r="AE32" i="2"/>
  <c r="AE25" i="2"/>
  <c r="AE30" i="2"/>
  <c r="AE36" i="2"/>
  <c r="AE33" i="2"/>
  <c r="AE28" i="2"/>
  <c r="AE24" i="2"/>
  <c r="AE31" i="2"/>
  <c r="AE27" i="2"/>
  <c r="AE23" i="2"/>
  <c r="AE35" i="2"/>
  <c r="AE26" i="2"/>
  <c r="P7" i="2"/>
  <c r="AC20" i="2"/>
  <c r="U20" i="2"/>
  <c r="V37" i="2"/>
  <c r="V40" i="2" s="1"/>
  <c r="AD20" i="2"/>
  <c r="V20" i="2"/>
  <c r="AD37" i="2"/>
  <c r="AC37" i="2"/>
  <c r="U37" i="2"/>
  <c r="U40" i="2" s="1"/>
  <c r="AP29" i="2"/>
  <c r="AP31" i="2"/>
  <c r="AP28" i="2"/>
  <c r="AP25" i="2"/>
  <c r="AP30" i="2"/>
  <c r="AP35" i="2"/>
  <c r="AP32" i="2"/>
  <c r="AP10" i="2"/>
  <c r="AP24" i="2"/>
  <c r="AP26" i="2"/>
  <c r="AP27" i="2"/>
  <c r="AP23" i="2"/>
  <c r="AP33" i="2"/>
  <c r="AP36" i="2"/>
  <c r="AG32" i="2"/>
  <c r="AG23" i="2"/>
  <c r="AG31" i="2"/>
  <c r="AG27" i="2"/>
  <c r="AG29" i="2"/>
  <c r="AG33" i="2"/>
  <c r="AG35" i="2"/>
  <c r="AG36" i="2"/>
  <c r="AG28" i="2"/>
  <c r="AG26" i="2"/>
  <c r="AG30" i="2"/>
  <c r="AG24" i="2"/>
  <c r="AG10" i="2"/>
  <c r="AG25" i="2"/>
  <c r="AN29" i="2"/>
  <c r="AN23" i="2"/>
  <c r="AN24" i="2"/>
  <c r="AN33" i="2"/>
  <c r="AN32" i="2"/>
  <c r="AN31" i="2"/>
  <c r="AN30" i="2"/>
  <c r="AN27" i="2"/>
  <c r="AN28" i="2"/>
  <c r="AN26" i="2"/>
  <c r="AN25" i="2"/>
  <c r="AN35" i="2"/>
  <c r="AN10" i="2"/>
  <c r="AN36" i="2"/>
  <c r="AJ23" i="2"/>
  <c r="AJ28" i="2"/>
  <c r="AJ36" i="2"/>
  <c r="AJ27" i="2"/>
  <c r="AJ30" i="2"/>
  <c r="AJ33" i="2"/>
  <c r="AJ26" i="2"/>
  <c r="AJ24" i="2"/>
  <c r="AJ25" i="2"/>
  <c r="AJ29" i="2"/>
  <c r="AJ32" i="2"/>
  <c r="AJ31" i="2"/>
  <c r="AJ10" i="2"/>
  <c r="AJ35" i="2"/>
  <c r="AL29" i="2"/>
  <c r="AL35" i="2"/>
  <c r="AL32" i="2"/>
  <c r="AL27" i="2"/>
  <c r="AL23" i="2"/>
  <c r="AL33" i="2"/>
  <c r="AL25" i="2"/>
  <c r="AL30" i="2"/>
  <c r="AL24" i="2"/>
  <c r="AL10" i="2"/>
  <c r="AL26" i="2"/>
  <c r="AL31" i="2"/>
  <c r="AL36" i="2"/>
  <c r="AL28" i="2"/>
  <c r="AM24" i="2"/>
  <c r="AM23" i="2"/>
  <c r="AM27" i="2"/>
  <c r="AM35" i="2"/>
  <c r="AM28" i="2"/>
  <c r="AM36" i="2"/>
  <c r="AM30" i="2"/>
  <c r="AM32" i="2"/>
  <c r="AM10" i="2"/>
  <c r="AM33" i="2"/>
  <c r="AM29" i="2"/>
  <c r="AM31" i="2"/>
  <c r="AM25" i="2"/>
  <c r="AM26" i="2"/>
  <c r="AX22" i="2"/>
  <c r="AW9" i="2"/>
  <c r="AZ9" i="2"/>
  <c r="BB9" i="2"/>
  <c r="BD22" i="2"/>
  <c r="AU22" i="2"/>
  <c r="BE42" i="2"/>
  <c r="BA42" i="2"/>
  <c r="AY42" i="2"/>
  <c r="BF22" i="2"/>
  <c r="AY22" i="2"/>
  <c r="BF9" i="2"/>
  <c r="BB22" i="2"/>
  <c r="BD42" i="2"/>
  <c r="BB42" i="2"/>
  <c r="AV22" i="2"/>
  <c r="AZ22" i="2"/>
  <c r="BE9" i="2"/>
  <c r="BG42" i="2"/>
  <c r="AY9" i="2"/>
  <c r="AX9" i="2"/>
  <c r="AU42" i="2"/>
  <c r="BF42" i="2"/>
  <c r="BA9" i="2"/>
  <c r="BA22" i="2"/>
  <c r="AX42" i="2"/>
  <c r="BC22" i="2"/>
  <c r="AW22" i="2"/>
  <c r="BC42" i="2"/>
  <c r="BD9" i="2"/>
  <c r="AU9" i="2"/>
  <c r="AZ42" i="2"/>
  <c r="AW42" i="2"/>
  <c r="AV9" i="2"/>
  <c r="BE22" i="2"/>
  <c r="BC9" i="2"/>
  <c r="AV42" i="2"/>
  <c r="BI5" i="2"/>
  <c r="BG22" i="2"/>
  <c r="AQ31" i="2"/>
  <c r="AQ33" i="2"/>
  <c r="AQ10" i="2"/>
  <c r="AQ35" i="2"/>
  <c r="AQ25" i="2"/>
  <c r="AQ29" i="2"/>
  <c r="AQ30" i="2"/>
  <c r="AQ24" i="2"/>
  <c r="AQ36" i="2"/>
  <c r="AQ27" i="2"/>
  <c r="AQ32" i="2"/>
  <c r="AQ26" i="2"/>
  <c r="AQ28" i="2"/>
  <c r="AQ23" i="2"/>
  <c r="AI23" i="2"/>
  <c r="AI33" i="2"/>
  <c r="AI26" i="2"/>
  <c r="AI25" i="2"/>
  <c r="AI30" i="2"/>
  <c r="AI36" i="2"/>
  <c r="AI29" i="2"/>
  <c r="AI10" i="2"/>
  <c r="AI24" i="2"/>
  <c r="AI31" i="2"/>
  <c r="AI32" i="2"/>
  <c r="AI28" i="2"/>
  <c r="AI27" i="2"/>
  <c r="AI35" i="2"/>
  <c r="M7" i="2"/>
  <c r="AE10" i="2"/>
  <c r="AK36" i="2"/>
  <c r="AK31" i="2"/>
  <c r="AK24" i="2"/>
  <c r="AK23" i="2"/>
  <c r="AK28" i="2"/>
  <c r="AK35" i="2"/>
  <c r="AK29" i="2"/>
  <c r="AK10" i="2"/>
  <c r="AK33" i="2"/>
  <c r="AK30" i="2"/>
  <c r="AK26" i="2"/>
  <c r="AK32" i="2"/>
  <c r="AK27" i="2"/>
  <c r="AK25" i="2"/>
  <c r="AO27" i="2"/>
  <c r="AO28" i="2"/>
  <c r="AO23" i="2"/>
  <c r="AO36" i="2"/>
  <c r="AO25" i="2"/>
  <c r="AO31" i="2"/>
  <c r="AO35" i="2"/>
  <c r="AO10" i="2"/>
  <c r="AO32" i="2"/>
  <c r="AO29" i="2"/>
  <c r="AO24" i="2"/>
  <c r="AO26" i="2"/>
  <c r="AO33" i="2"/>
  <c r="AO30" i="2"/>
  <c r="AR24" i="2"/>
  <c r="AR33" i="2"/>
  <c r="AR26" i="2"/>
  <c r="AR10" i="2"/>
  <c r="AR32" i="2"/>
  <c r="AR27" i="2"/>
  <c r="AR35" i="2"/>
  <c r="AR31" i="2"/>
  <c r="AR29" i="2"/>
  <c r="AR25" i="2"/>
  <c r="AR30" i="2"/>
  <c r="AR28" i="2"/>
  <c r="AR36" i="2"/>
  <c r="AR23" i="2"/>
  <c r="AH23" i="2"/>
  <c r="AH25" i="2"/>
  <c r="AH30" i="2"/>
  <c r="AH32" i="2"/>
  <c r="AH36" i="2"/>
  <c r="AH31" i="2"/>
  <c r="AH28" i="2"/>
  <c r="AH27" i="2"/>
  <c r="AH10" i="2"/>
  <c r="AH35" i="2"/>
  <c r="AH29" i="2"/>
  <c r="AH26" i="2"/>
  <c r="AH33" i="2"/>
  <c r="AH24" i="2"/>
  <c r="E7" i="2"/>
  <c r="N7" i="2"/>
  <c r="Q37" i="2"/>
  <c r="Q20" i="2"/>
  <c r="F7" i="2"/>
  <c r="G7" i="2"/>
  <c r="J7" i="2"/>
  <c r="K7" i="2"/>
  <c r="O7" i="2"/>
  <c r="N3" i="10"/>
  <c r="P7" i="10" a="1"/>
  <c r="P7" i="10" s="1"/>
  <c r="P3" i="10" s="1"/>
  <c r="O3" i="10"/>
  <c r="R3" i="10" s="1"/>
  <c r="G21" i="7" a="1"/>
  <c r="G21" i="7" s="1"/>
  <c r="D21" i="7" a="1"/>
  <c r="D21" i="7" s="1"/>
  <c r="AG37" i="2" a="1"/>
  <c r="AO37" i="2" a="1"/>
  <c r="AK37" i="2" a="1"/>
  <c r="AJ20" i="2" a="1"/>
  <c r="AO20" i="2" a="1"/>
  <c r="AQ20" i="2" a="1"/>
  <c r="AI20" i="2" a="1"/>
  <c r="AE20" i="2" a="1"/>
  <c r="AM37" i="2" a="1"/>
  <c r="AN20" i="2" a="1"/>
  <c r="AK20" i="2" a="1"/>
  <c r="AL37" i="2" a="1"/>
  <c r="AG20" i="2" a="1"/>
  <c r="AQ37" i="2" a="1"/>
  <c r="AP37" i="2" a="1"/>
  <c r="AI37" i="2" a="1"/>
  <c r="AM20" i="2" a="1"/>
  <c r="AP20" i="2" a="1"/>
  <c r="AR37" i="2" a="1"/>
  <c r="AH20" i="2" a="1"/>
  <c r="AR20" i="2" a="1"/>
  <c r="AL20" i="2" a="1"/>
  <c r="AE37" i="2" a="1"/>
  <c r="AH37" i="2" a="1"/>
  <c r="AJ37" i="2" a="1"/>
  <c r="AN37" i="2" a="1"/>
  <c r="AC44" i="2" l="1"/>
  <c r="AD44" i="2"/>
  <c r="AB44" i="2"/>
  <c r="AE50" i="2"/>
  <c r="Z43" i="2"/>
  <c r="Z7" i="2"/>
  <c r="AA7" i="2"/>
  <c r="AA43" i="2" s="1"/>
  <c r="Z44" i="2"/>
  <c r="X7" i="2"/>
  <c r="AS34" i="2"/>
  <c r="X44" i="2"/>
  <c r="Y44" i="2"/>
  <c r="AU34" i="2"/>
  <c r="AU11" i="2"/>
  <c r="AU12" i="2"/>
  <c r="BF34" i="2"/>
  <c r="BF12" i="2"/>
  <c r="BF11" i="2"/>
  <c r="AS11" i="2"/>
  <c r="BD34" i="2"/>
  <c r="BD12" i="2"/>
  <c r="BD11" i="2"/>
  <c r="AZ34" i="2"/>
  <c r="AZ11" i="2"/>
  <c r="AZ12" i="2"/>
  <c r="BA34" i="2"/>
  <c r="BA11" i="2"/>
  <c r="BA12" i="2"/>
  <c r="AX34" i="2"/>
  <c r="AX11" i="2"/>
  <c r="AX12" i="2"/>
  <c r="BC34" i="2"/>
  <c r="BC12" i="2"/>
  <c r="BC11" i="2"/>
  <c r="AY34" i="2"/>
  <c r="AY11" i="2"/>
  <c r="AY12" i="2"/>
  <c r="BB34" i="2"/>
  <c r="BB12" i="2"/>
  <c r="BB11" i="2"/>
  <c r="AV34" i="2"/>
  <c r="AV11" i="2"/>
  <c r="AV12" i="2"/>
  <c r="BE34" i="2"/>
  <c r="BE12" i="2"/>
  <c r="BE11" i="2"/>
  <c r="AW34" i="2"/>
  <c r="AW11" i="2"/>
  <c r="AW12" i="2"/>
  <c r="Y7" i="2"/>
  <c r="AB7" i="2"/>
  <c r="AA44" i="2"/>
  <c r="Q44" i="2"/>
  <c r="Q43" i="2"/>
  <c r="S44" i="2"/>
  <c r="U44" i="2"/>
  <c r="U43" i="2"/>
  <c r="T44" i="2"/>
  <c r="T43" i="2"/>
  <c r="V44" i="2"/>
  <c r="W44" i="2"/>
  <c r="W43" i="2"/>
  <c r="M52" i="2"/>
  <c r="BL39" i="2"/>
  <c r="BK39" i="2"/>
  <c r="BJ39" i="2"/>
  <c r="BI39" i="2"/>
  <c r="BT39" i="2"/>
  <c r="BQ39" i="2"/>
  <c r="BS39" i="2"/>
  <c r="BR39" i="2"/>
  <c r="BP39" i="2"/>
  <c r="BO39" i="2"/>
  <c r="BN39" i="2"/>
  <c r="BM39" i="2"/>
  <c r="E52" i="2"/>
  <c r="G52" i="2"/>
  <c r="K52" i="2"/>
  <c r="J52" i="2"/>
  <c r="F52" i="2"/>
  <c r="I52" i="2"/>
  <c r="L52" i="2"/>
  <c r="H52" i="2"/>
  <c r="T7" i="2"/>
  <c r="W7" i="2"/>
  <c r="S7" i="2"/>
  <c r="AS15" i="2"/>
  <c r="AS18" i="2"/>
  <c r="AS14" i="2"/>
  <c r="AS16" i="2"/>
  <c r="AS12" i="2"/>
  <c r="AE37" i="2"/>
  <c r="V7" i="2"/>
  <c r="AG37" i="2"/>
  <c r="AG40" i="2" s="1"/>
  <c r="AM20" i="2"/>
  <c r="AQ20" i="2"/>
  <c r="AN20" i="2"/>
  <c r="AN37" i="2"/>
  <c r="AN40" i="2" s="1"/>
  <c r="AK37" i="2"/>
  <c r="AK40" i="2" s="1"/>
  <c r="AL37" i="2"/>
  <c r="AL40" i="2" s="1"/>
  <c r="AO20" i="2"/>
  <c r="AH20" i="2"/>
  <c r="AG20" i="2"/>
  <c r="AP37" i="2"/>
  <c r="AP40" i="2" s="1"/>
  <c r="AO37" i="2"/>
  <c r="AO40" i="2" s="1"/>
  <c r="AI37" i="2"/>
  <c r="AI40" i="2" s="1"/>
  <c r="AQ37" i="2"/>
  <c r="AQ40" i="2" s="1"/>
  <c r="AM37" i="2"/>
  <c r="AM40" i="2" s="1"/>
  <c r="AE20" i="2"/>
  <c r="AP20" i="2"/>
  <c r="AJ20" i="2"/>
  <c r="AR20" i="2"/>
  <c r="AH37" i="2"/>
  <c r="AH40" i="2" s="1"/>
  <c r="AJ37" i="2"/>
  <c r="AJ40" i="2" s="1"/>
  <c r="AR37" i="2"/>
  <c r="AR40" i="2" s="1"/>
  <c r="AL20" i="2"/>
  <c r="AK20" i="2"/>
  <c r="AI20" i="2"/>
  <c r="BF27" i="2"/>
  <c r="BF28" i="2"/>
  <c r="BF29" i="2"/>
  <c r="BF32" i="2"/>
  <c r="BF33" i="2"/>
  <c r="BF24" i="2"/>
  <c r="BF10" i="2"/>
  <c r="BF30" i="2"/>
  <c r="BF23" i="2"/>
  <c r="BF36" i="2"/>
  <c r="BF31" i="2"/>
  <c r="BF26" i="2"/>
  <c r="BF35" i="2"/>
  <c r="BF25" i="2"/>
  <c r="AS23" i="2"/>
  <c r="AS32" i="2"/>
  <c r="BA33" i="2"/>
  <c r="BA10" i="2"/>
  <c r="BA23" i="2"/>
  <c r="BA25" i="2"/>
  <c r="BA32" i="2"/>
  <c r="BA31" i="2"/>
  <c r="BA35" i="2"/>
  <c r="BA36" i="2"/>
  <c r="BA29" i="2"/>
  <c r="BA27" i="2"/>
  <c r="BA28" i="2"/>
  <c r="BA24" i="2"/>
  <c r="BA26" i="2"/>
  <c r="BA30" i="2"/>
  <c r="AS25" i="2"/>
  <c r="AS10" i="2"/>
  <c r="BR42" i="2"/>
  <c r="BP42" i="2"/>
  <c r="BO42" i="2"/>
  <c r="BS9" i="2"/>
  <c r="BU22" i="2"/>
  <c r="BI42" i="2"/>
  <c r="BQ42" i="2"/>
  <c r="BQ9" i="2"/>
  <c r="BL42" i="2"/>
  <c r="BO9" i="2"/>
  <c r="BP9" i="2"/>
  <c r="BL22" i="2"/>
  <c r="BS42" i="2"/>
  <c r="BN42" i="2"/>
  <c r="BR9" i="2"/>
  <c r="BW5" i="2"/>
  <c r="BJ22" i="2"/>
  <c r="BK22" i="2"/>
  <c r="BT22" i="2"/>
  <c r="BU42" i="2"/>
  <c r="BQ22" i="2"/>
  <c r="BT42" i="2"/>
  <c r="BN9" i="2"/>
  <c r="BJ9" i="2"/>
  <c r="BS22" i="2"/>
  <c r="BM9" i="2"/>
  <c r="BK42" i="2"/>
  <c r="BN22" i="2"/>
  <c r="BM22" i="2"/>
  <c r="BK9" i="2"/>
  <c r="BO22" i="2"/>
  <c r="BT9" i="2"/>
  <c r="BM42" i="2"/>
  <c r="BI9" i="2"/>
  <c r="BJ42" i="2"/>
  <c r="BP22" i="2"/>
  <c r="BR22" i="2"/>
  <c r="BI22" i="2"/>
  <c r="BL9" i="2"/>
  <c r="AS24" i="2"/>
  <c r="AX25" i="2"/>
  <c r="AX24" i="2"/>
  <c r="AX18" i="2"/>
  <c r="AX32" i="2"/>
  <c r="AX33" i="2"/>
  <c r="AX35" i="2"/>
  <c r="AX27" i="2"/>
  <c r="AX36" i="2"/>
  <c r="AX13" i="2"/>
  <c r="AX31" i="2"/>
  <c r="AX14" i="2"/>
  <c r="AX19" i="2"/>
  <c r="AX29" i="2"/>
  <c r="AX16" i="2"/>
  <c r="AX26" i="2"/>
  <c r="AX15" i="2"/>
  <c r="AX10" i="2"/>
  <c r="AX23" i="2"/>
  <c r="AX30" i="2"/>
  <c r="AX28" i="2"/>
  <c r="AX17" i="2"/>
  <c r="AS30" i="2"/>
  <c r="BC24" i="2"/>
  <c r="BC28" i="2"/>
  <c r="BC35" i="2"/>
  <c r="BC31" i="2"/>
  <c r="BC26" i="2"/>
  <c r="BC27" i="2"/>
  <c r="BC30" i="2"/>
  <c r="BC33" i="2"/>
  <c r="BC23" i="2"/>
  <c r="BC25" i="2"/>
  <c r="BC36" i="2"/>
  <c r="BC32" i="2"/>
  <c r="BC10" i="2"/>
  <c r="BC29" i="2"/>
  <c r="AY28" i="2"/>
  <c r="AY24" i="2"/>
  <c r="AY10" i="2"/>
  <c r="AY23" i="2"/>
  <c r="AY26" i="2"/>
  <c r="AY33" i="2"/>
  <c r="AY35" i="2"/>
  <c r="AY36" i="2"/>
  <c r="AY25" i="2"/>
  <c r="AY32" i="2"/>
  <c r="AY31" i="2"/>
  <c r="AY27" i="2"/>
  <c r="AY30" i="2"/>
  <c r="AY29" i="2"/>
  <c r="BB36" i="2"/>
  <c r="BB23" i="2"/>
  <c r="BB32" i="2"/>
  <c r="BB19" i="2"/>
  <c r="BB17" i="2"/>
  <c r="BB25" i="2"/>
  <c r="BB24" i="2"/>
  <c r="BB27" i="2"/>
  <c r="BB28" i="2"/>
  <c r="BB15" i="2"/>
  <c r="BB10" i="2"/>
  <c r="BB29" i="2"/>
  <c r="BB35" i="2"/>
  <c r="BB33" i="2"/>
  <c r="BB14" i="2"/>
  <c r="BB26" i="2"/>
  <c r="BB13" i="2"/>
  <c r="BB31" i="2"/>
  <c r="BB16" i="2"/>
  <c r="BB30" i="2"/>
  <c r="BB18" i="2"/>
  <c r="AS26" i="2"/>
  <c r="AZ33" i="2"/>
  <c r="AZ23" i="2"/>
  <c r="AZ28" i="2"/>
  <c r="AZ29" i="2"/>
  <c r="AZ26" i="2"/>
  <c r="AZ24" i="2"/>
  <c r="AZ30" i="2"/>
  <c r="AZ36" i="2"/>
  <c r="AZ27" i="2"/>
  <c r="AZ25" i="2"/>
  <c r="AZ10" i="2"/>
  <c r="AZ31" i="2"/>
  <c r="AZ32" i="2"/>
  <c r="AZ35" i="2"/>
  <c r="AS28" i="2"/>
  <c r="AV10" i="2"/>
  <c r="AV30" i="2"/>
  <c r="AV36" i="2"/>
  <c r="AV35" i="2"/>
  <c r="AV31" i="2"/>
  <c r="AV33" i="2"/>
  <c r="AV26" i="2"/>
  <c r="AV27" i="2"/>
  <c r="AV25" i="2"/>
  <c r="AV28" i="2"/>
  <c r="AV32" i="2"/>
  <c r="AV24" i="2"/>
  <c r="AV29" i="2"/>
  <c r="AV23" i="2"/>
  <c r="BE36" i="2"/>
  <c r="BE32" i="2"/>
  <c r="BE25" i="2"/>
  <c r="BE31" i="2"/>
  <c r="BE23" i="2"/>
  <c r="BE33" i="2"/>
  <c r="BE30" i="2"/>
  <c r="BE28" i="2"/>
  <c r="BE35" i="2"/>
  <c r="BE27" i="2"/>
  <c r="BE10" i="2"/>
  <c r="BE24" i="2"/>
  <c r="BE26" i="2"/>
  <c r="BE29" i="2"/>
  <c r="AW32" i="2"/>
  <c r="AW35" i="2"/>
  <c r="AW27" i="2"/>
  <c r="AW31" i="2"/>
  <c r="AW29" i="2"/>
  <c r="AW33" i="2"/>
  <c r="AW10" i="2"/>
  <c r="AW26" i="2"/>
  <c r="AW28" i="2"/>
  <c r="AW36" i="2"/>
  <c r="AW23" i="2"/>
  <c r="AW30" i="2"/>
  <c r="AW25" i="2"/>
  <c r="AW24" i="2"/>
  <c r="AS19" i="2"/>
  <c r="AS36" i="2"/>
  <c r="AS35" i="2"/>
  <c r="AS17" i="2"/>
  <c r="AS33" i="2"/>
  <c r="AD7" i="2"/>
  <c r="AU29" i="2"/>
  <c r="AU24" i="2"/>
  <c r="AU23" i="2"/>
  <c r="AU10" i="2"/>
  <c r="AU28" i="2"/>
  <c r="AU30" i="2"/>
  <c r="AU31" i="2"/>
  <c r="AU36" i="2"/>
  <c r="AU27" i="2"/>
  <c r="AU35" i="2"/>
  <c r="AU32" i="2"/>
  <c r="AU25" i="2"/>
  <c r="AU26" i="2"/>
  <c r="AU33" i="2"/>
  <c r="AS13" i="2"/>
  <c r="AS29" i="2"/>
  <c r="BD10" i="2"/>
  <c r="BD17" i="2"/>
  <c r="BD32" i="2"/>
  <c r="BD35" i="2"/>
  <c r="BD33" i="2"/>
  <c r="BD27" i="2"/>
  <c r="BD30" i="2"/>
  <c r="BD24" i="2"/>
  <c r="BD28" i="2"/>
  <c r="BD36" i="2"/>
  <c r="BD29" i="2"/>
  <c r="BD14" i="2"/>
  <c r="BD31" i="2"/>
  <c r="BD18" i="2"/>
  <c r="BD19" i="2"/>
  <c r="BD25" i="2"/>
  <c r="BD26" i="2"/>
  <c r="BD23" i="2"/>
  <c r="BD15" i="2"/>
  <c r="BD13" i="2"/>
  <c r="BD16" i="2"/>
  <c r="AS27" i="2"/>
  <c r="U7" i="2"/>
  <c r="AS31" i="2"/>
  <c r="AC7" i="2"/>
  <c r="Q7" i="2"/>
  <c r="G7" i="7"/>
  <c r="BA20" i="2" a="1"/>
  <c r="BF20" i="2" a="1"/>
  <c r="AS37" i="2" a="1"/>
  <c r="BE20" i="2" a="1"/>
  <c r="BC20" i="2" a="1"/>
  <c r="AW20" i="2" a="1"/>
  <c r="AX20" i="2" a="1"/>
  <c r="AY20" i="2" a="1"/>
  <c r="BD20" i="2" a="1"/>
  <c r="BB20" i="2" a="1"/>
  <c r="BB37" i="2" a="1"/>
  <c r="AV37" i="2" a="1"/>
  <c r="BF37" i="2" a="1"/>
  <c r="AW37" i="2" a="1"/>
  <c r="T52" i="2" a="1"/>
  <c r="BC37" i="2" a="1"/>
  <c r="AU37" i="2" a="1"/>
  <c r="BA37" i="2" a="1"/>
  <c r="BD37" i="2" a="1"/>
  <c r="AY37" i="2" a="1"/>
  <c r="AX37" i="2" a="1"/>
  <c r="AU20" i="2" a="1"/>
  <c r="BE37" i="2" a="1"/>
  <c r="AS20" i="2" a="1"/>
  <c r="AV20" i="2" a="1"/>
  <c r="AZ20" i="2" a="1"/>
  <c r="AZ37" i="2" a="1"/>
  <c r="AB40" i="2" l="1"/>
  <c r="AE44" i="2"/>
  <c r="AI43" i="2"/>
  <c r="AI44" i="2"/>
  <c r="AO43" i="2"/>
  <c r="AO44" i="2"/>
  <c r="AR43" i="2"/>
  <c r="AR44" i="2"/>
  <c r="AK43" i="2"/>
  <c r="AK44" i="2"/>
  <c r="AP43" i="2"/>
  <c r="AP44" i="2"/>
  <c r="AH43" i="2"/>
  <c r="AH44" i="2"/>
  <c r="AJ43" i="2"/>
  <c r="AJ44" i="2"/>
  <c r="AN43" i="2"/>
  <c r="AN44" i="2"/>
  <c r="AQ44" i="2"/>
  <c r="AQ43" i="2"/>
  <c r="AG43" i="2"/>
  <c r="AG44" i="2"/>
  <c r="AL43" i="2"/>
  <c r="AL44" i="2"/>
  <c r="AM43" i="2"/>
  <c r="AM44" i="2"/>
  <c r="BG34" i="2"/>
  <c r="BO34" i="2"/>
  <c r="BO12" i="2"/>
  <c r="BO11" i="2"/>
  <c r="BL34" i="2"/>
  <c r="BL11" i="2"/>
  <c r="BL12" i="2"/>
  <c r="BN34" i="2"/>
  <c r="BN12" i="2"/>
  <c r="BN11" i="2"/>
  <c r="BG11" i="2"/>
  <c r="BI34" i="2"/>
  <c r="BI11" i="2"/>
  <c r="BI12" i="2"/>
  <c r="BP34" i="2"/>
  <c r="BP12" i="2"/>
  <c r="BP11" i="2"/>
  <c r="BM34" i="2"/>
  <c r="BM12" i="2"/>
  <c r="BM11" i="2"/>
  <c r="BQ34" i="2"/>
  <c r="BQ12" i="2"/>
  <c r="BQ11" i="2"/>
  <c r="BS34" i="2"/>
  <c r="BS11" i="2"/>
  <c r="BS12" i="2"/>
  <c r="BT34" i="2"/>
  <c r="BT12" i="2"/>
  <c r="BT11" i="2"/>
  <c r="BG12" i="2"/>
  <c r="BJ34" i="2"/>
  <c r="BJ11" i="2"/>
  <c r="BJ12" i="2"/>
  <c r="BR34" i="2"/>
  <c r="BR11" i="2"/>
  <c r="BR12" i="2"/>
  <c r="BK34" i="2"/>
  <c r="BK11" i="2"/>
  <c r="BK12" i="2"/>
  <c r="T52" i="2"/>
  <c r="CD39" i="2"/>
  <c r="CC39" i="2"/>
  <c r="CB39" i="2"/>
  <c r="CA39" i="2"/>
  <c r="BZ39" i="2"/>
  <c r="BY39" i="2"/>
  <c r="BX39" i="2"/>
  <c r="BW39" i="2"/>
  <c r="CH39" i="2"/>
  <c r="CG39" i="2"/>
  <c r="CF39" i="2"/>
  <c r="CE39" i="2"/>
  <c r="AL7" i="2"/>
  <c r="AK7" i="2"/>
  <c r="AG7" i="2"/>
  <c r="BG35" i="2"/>
  <c r="AE7" i="2"/>
  <c r="BG29" i="2"/>
  <c r="BG31" i="2"/>
  <c r="AH7" i="2"/>
  <c r="BD37" i="2"/>
  <c r="BD40" i="2" s="1"/>
  <c r="AU20" i="2"/>
  <c r="BF20" i="2"/>
  <c r="AW20" i="2"/>
  <c r="BE37" i="2"/>
  <c r="BE40" i="2" s="1"/>
  <c r="AZ37" i="2"/>
  <c r="AZ40" i="2" s="1"/>
  <c r="AV20" i="2"/>
  <c r="BD20" i="2"/>
  <c r="AY37" i="2"/>
  <c r="AY40" i="2" s="1"/>
  <c r="BA37" i="2"/>
  <c r="BA40" i="2" s="1"/>
  <c r="AU37" i="2"/>
  <c r="AU40" i="2" s="1"/>
  <c r="AY20" i="2"/>
  <c r="BA20" i="2"/>
  <c r="AV37" i="2"/>
  <c r="AV40" i="2" s="1"/>
  <c r="AS20" i="2"/>
  <c r="AZ20" i="2"/>
  <c r="BB37" i="2"/>
  <c r="BB40" i="2" s="1"/>
  <c r="AS37" i="2"/>
  <c r="BC20" i="2"/>
  <c r="BE20" i="2"/>
  <c r="AX37" i="2"/>
  <c r="AX40" i="2" s="1"/>
  <c r="AW37" i="2"/>
  <c r="AW40" i="2" s="1"/>
  <c r="BC37" i="2"/>
  <c r="BC40" i="2" s="1"/>
  <c r="AX20" i="2"/>
  <c r="BF37" i="2"/>
  <c r="BF40" i="2" s="1"/>
  <c r="BB20" i="2"/>
  <c r="G8" i="7"/>
  <c r="BG28" i="2"/>
  <c r="BG10" i="2"/>
  <c r="BL25" i="2"/>
  <c r="BL32" i="2"/>
  <c r="BL18" i="2"/>
  <c r="BL10" i="2"/>
  <c r="BL28" i="2"/>
  <c r="BL17" i="2"/>
  <c r="BL36" i="2"/>
  <c r="BL33" i="2"/>
  <c r="BL13" i="2"/>
  <c r="BL23" i="2"/>
  <c r="BL29" i="2"/>
  <c r="BL24" i="2"/>
  <c r="BL26" i="2"/>
  <c r="BL14" i="2"/>
  <c r="BL35" i="2"/>
  <c r="BL16" i="2"/>
  <c r="BL31" i="2"/>
  <c r="BL15" i="2"/>
  <c r="BL30" i="2"/>
  <c r="BL19" i="2"/>
  <c r="BL27" i="2"/>
  <c r="BN32" i="2"/>
  <c r="BN35" i="2"/>
  <c r="BN33" i="2"/>
  <c r="BN24" i="2"/>
  <c r="BN10" i="2"/>
  <c r="BN29" i="2"/>
  <c r="BN36" i="2"/>
  <c r="BN30" i="2"/>
  <c r="BN28" i="2"/>
  <c r="BN26" i="2"/>
  <c r="BN25" i="2"/>
  <c r="BN23" i="2"/>
  <c r="BN31" i="2"/>
  <c r="BN27" i="2"/>
  <c r="BG16" i="2"/>
  <c r="BG24" i="2"/>
  <c r="BG19" i="2"/>
  <c r="BS32" i="2"/>
  <c r="BS27" i="2"/>
  <c r="BS31" i="2"/>
  <c r="BS25" i="2"/>
  <c r="BS10" i="2"/>
  <c r="BS36" i="2"/>
  <c r="BS33" i="2"/>
  <c r="BS30" i="2"/>
  <c r="BS26" i="2"/>
  <c r="BS35" i="2"/>
  <c r="BS29" i="2"/>
  <c r="BS24" i="2"/>
  <c r="BS23" i="2"/>
  <c r="BS28" i="2"/>
  <c r="BG14" i="2"/>
  <c r="BG23" i="2"/>
  <c r="BI29" i="2"/>
  <c r="BI28" i="2"/>
  <c r="BI10" i="2"/>
  <c r="BI35" i="2"/>
  <c r="BI30" i="2"/>
  <c r="BI32" i="2"/>
  <c r="BI27" i="2"/>
  <c r="BI33" i="2"/>
  <c r="BI36" i="2"/>
  <c r="BI25" i="2"/>
  <c r="BI23" i="2"/>
  <c r="BI31" i="2"/>
  <c r="BI24" i="2"/>
  <c r="BI26" i="2"/>
  <c r="BG33" i="2"/>
  <c r="BG13" i="2"/>
  <c r="BT26" i="2"/>
  <c r="BT33" i="2"/>
  <c r="BT29" i="2"/>
  <c r="BT27" i="2"/>
  <c r="BT10" i="2"/>
  <c r="BT35" i="2"/>
  <c r="BT28" i="2"/>
  <c r="BT30" i="2"/>
  <c r="BT36" i="2"/>
  <c r="BT25" i="2"/>
  <c r="BT24" i="2"/>
  <c r="BT23" i="2"/>
  <c r="BT32" i="2"/>
  <c r="BT31" i="2"/>
  <c r="BY9" i="2"/>
  <c r="CD22" i="2"/>
  <c r="CF22" i="2"/>
  <c r="BW22" i="2"/>
  <c r="CD42" i="2"/>
  <c r="CG9" i="2"/>
  <c r="CI22" i="2"/>
  <c r="CA22" i="2"/>
  <c r="CI42" i="2"/>
  <c r="BY22" i="2"/>
  <c r="CF42" i="2"/>
  <c r="CD9" i="2"/>
  <c r="BX9" i="2"/>
  <c r="CG22" i="2"/>
  <c r="CC9" i="2"/>
  <c r="CF9" i="2"/>
  <c r="BZ42" i="2"/>
  <c r="BX22" i="2"/>
  <c r="BY42" i="2"/>
  <c r="CB42" i="2"/>
  <c r="CA42" i="2"/>
  <c r="BW42" i="2"/>
  <c r="CH9" i="2"/>
  <c r="CC22" i="2"/>
  <c r="CC42" i="2"/>
  <c r="CE9" i="2"/>
  <c r="CK5" i="2"/>
  <c r="BZ9" i="2"/>
  <c r="CH22" i="2"/>
  <c r="BX42" i="2"/>
  <c r="CH42" i="2"/>
  <c r="BW9" i="2"/>
  <c r="CG42" i="2"/>
  <c r="BZ22" i="2"/>
  <c r="CB22" i="2"/>
  <c r="CE22" i="2"/>
  <c r="CE42" i="2"/>
  <c r="CA9" i="2"/>
  <c r="CB9" i="2"/>
  <c r="AI7" i="2"/>
  <c r="BG26" i="2"/>
  <c r="BG25" i="2"/>
  <c r="BR15" i="2"/>
  <c r="BR14" i="2"/>
  <c r="BR31" i="2"/>
  <c r="BR28" i="2"/>
  <c r="BR13" i="2"/>
  <c r="BR19" i="2"/>
  <c r="BR29" i="2"/>
  <c r="BR35" i="2"/>
  <c r="BR36" i="2"/>
  <c r="BR16" i="2"/>
  <c r="BR32" i="2"/>
  <c r="BR33" i="2"/>
  <c r="BR23" i="2"/>
  <c r="BR17" i="2"/>
  <c r="BR25" i="2"/>
  <c r="BR27" i="2"/>
  <c r="BR26" i="2"/>
  <c r="BR24" i="2"/>
  <c r="BR18" i="2"/>
  <c r="BR30" i="2"/>
  <c r="BR10" i="2"/>
  <c r="AO7" i="2"/>
  <c r="BG32" i="2"/>
  <c r="BG17" i="2"/>
  <c r="BK25" i="2"/>
  <c r="BK23" i="2"/>
  <c r="BK32" i="2"/>
  <c r="BK27" i="2"/>
  <c r="BK26" i="2"/>
  <c r="BK35" i="2"/>
  <c r="BK31" i="2"/>
  <c r="BK24" i="2"/>
  <c r="BK10" i="2"/>
  <c r="BK33" i="2"/>
  <c r="BK30" i="2"/>
  <c r="BK36" i="2"/>
  <c r="BK29" i="2"/>
  <c r="BK28" i="2"/>
  <c r="BG27" i="2"/>
  <c r="BG36" i="2"/>
  <c r="BG18" i="2"/>
  <c r="BP35" i="2"/>
  <c r="BP13" i="2"/>
  <c r="BP15" i="2"/>
  <c r="BP10" i="2"/>
  <c r="BP36" i="2"/>
  <c r="BP23" i="2"/>
  <c r="BP19" i="2"/>
  <c r="BP18" i="2"/>
  <c r="BP14" i="2"/>
  <c r="BP31" i="2"/>
  <c r="BP26" i="2"/>
  <c r="BP24" i="2"/>
  <c r="BP25" i="2"/>
  <c r="BP17" i="2"/>
  <c r="BP28" i="2"/>
  <c r="BP29" i="2"/>
  <c r="BP33" i="2"/>
  <c r="BP30" i="2"/>
  <c r="BP32" i="2"/>
  <c r="BP16" i="2"/>
  <c r="BP27" i="2"/>
  <c r="AN7" i="2"/>
  <c r="BM35" i="2"/>
  <c r="BM26" i="2"/>
  <c r="BM10" i="2"/>
  <c r="BM33" i="2"/>
  <c r="BM30" i="2"/>
  <c r="BM31" i="2"/>
  <c r="BM28" i="2"/>
  <c r="BM27" i="2"/>
  <c r="BM24" i="2"/>
  <c r="BM32" i="2"/>
  <c r="BM29" i="2"/>
  <c r="BM25" i="2"/>
  <c r="BM23" i="2"/>
  <c r="BM36" i="2"/>
  <c r="BO31" i="2"/>
  <c r="BO29" i="2"/>
  <c r="BO33" i="2"/>
  <c r="BO25" i="2"/>
  <c r="BO24" i="2"/>
  <c r="BO10" i="2"/>
  <c r="BO36" i="2"/>
  <c r="BO30" i="2"/>
  <c r="BO28" i="2"/>
  <c r="BO27" i="2"/>
  <c r="BO32" i="2"/>
  <c r="BO26" i="2"/>
  <c r="BO23" i="2"/>
  <c r="BO35" i="2"/>
  <c r="AR7" i="2"/>
  <c r="AQ7" i="2"/>
  <c r="BG30" i="2"/>
  <c r="BG15" i="2"/>
  <c r="AJ7" i="2"/>
  <c r="AM7" i="2"/>
  <c r="BJ24" i="2"/>
  <c r="BJ27" i="2"/>
  <c r="BJ36" i="2"/>
  <c r="BJ31" i="2"/>
  <c r="BJ33" i="2"/>
  <c r="BJ26" i="2"/>
  <c r="BJ32" i="2"/>
  <c r="BJ10" i="2"/>
  <c r="BJ35" i="2"/>
  <c r="BJ28" i="2"/>
  <c r="BJ30" i="2"/>
  <c r="BJ29" i="2"/>
  <c r="BJ25" i="2"/>
  <c r="BJ23" i="2"/>
  <c r="BQ26" i="2"/>
  <c r="BQ31" i="2"/>
  <c r="BQ32" i="2"/>
  <c r="BQ25" i="2"/>
  <c r="BQ36" i="2"/>
  <c r="BQ35" i="2"/>
  <c r="BQ24" i="2"/>
  <c r="BQ23" i="2"/>
  <c r="BQ29" i="2"/>
  <c r="BQ33" i="2"/>
  <c r="BQ27" i="2"/>
  <c r="BQ10" i="2"/>
  <c r="BQ28" i="2"/>
  <c r="BQ30" i="2"/>
  <c r="AP7" i="2"/>
  <c r="BR20" i="2" a="1"/>
  <c r="BL37" i="2" a="1"/>
  <c r="BQ20" i="2" a="1"/>
  <c r="BM37" i="2" a="1"/>
  <c r="BN20" i="2" a="1"/>
  <c r="BK37" i="2" a="1"/>
  <c r="BL20" i="2" a="1"/>
  <c r="BS37" i="2" a="1"/>
  <c r="BP37" i="2" a="1"/>
  <c r="BJ20" i="2" a="1"/>
  <c r="BO37" i="2" a="1"/>
  <c r="BI37" i="2" a="1"/>
  <c r="BM20" i="2" a="1"/>
  <c r="BG20" i="2" a="1"/>
  <c r="BN37" i="2" a="1"/>
  <c r="BR37" i="2" a="1"/>
  <c r="BG37" i="2" a="1"/>
  <c r="BS20" i="2" a="1"/>
  <c r="BK20" i="2" a="1"/>
  <c r="BO20" i="2" a="1"/>
  <c r="BT37" i="2" a="1"/>
  <c r="BJ37" i="2" a="1"/>
  <c r="BI20" i="2" a="1"/>
  <c r="BT20" i="2" a="1"/>
  <c r="BP20" i="2" a="1"/>
  <c r="BQ37" i="2" a="1"/>
  <c r="AC40" i="2" l="1"/>
  <c r="AD40" i="2" s="1"/>
  <c r="AD43" i="2" s="1"/>
  <c r="AB43" i="2"/>
  <c r="AS44" i="2"/>
  <c r="AS43" i="2"/>
  <c r="AU43" i="2"/>
  <c r="AU44" i="2"/>
  <c r="AY43" i="2"/>
  <c r="AY44" i="2"/>
  <c r="AZ43" i="2"/>
  <c r="AZ44" i="2"/>
  <c r="BA43" i="2"/>
  <c r="BA44" i="2"/>
  <c r="BF43" i="2"/>
  <c r="BF44" i="2"/>
  <c r="AW43" i="2"/>
  <c r="AW44" i="2"/>
  <c r="BB43" i="2"/>
  <c r="BB44" i="2"/>
  <c r="BD43" i="2"/>
  <c r="BD44" i="2"/>
  <c r="BE43" i="2"/>
  <c r="BE44" i="2"/>
  <c r="BC43" i="2"/>
  <c r="BC44" i="2"/>
  <c r="AX43" i="2"/>
  <c r="AX44" i="2"/>
  <c r="AV43" i="2"/>
  <c r="AV44" i="2"/>
  <c r="AE46" i="2"/>
  <c r="BU34" i="2"/>
  <c r="BZ34" i="2"/>
  <c r="BZ11" i="2"/>
  <c r="BZ12" i="2"/>
  <c r="CH34" i="2"/>
  <c r="CH12" i="2"/>
  <c r="CH11" i="2"/>
  <c r="BY34" i="2"/>
  <c r="BY11" i="2"/>
  <c r="BY12" i="2"/>
  <c r="BX34" i="2"/>
  <c r="BX11" i="2"/>
  <c r="BX12" i="2"/>
  <c r="CE34" i="2"/>
  <c r="CE12" i="2"/>
  <c r="CE11" i="2"/>
  <c r="CB34" i="2"/>
  <c r="CB11" i="2"/>
  <c r="CB12" i="2"/>
  <c r="CA34" i="2"/>
  <c r="CA11" i="2"/>
  <c r="CA12" i="2"/>
  <c r="CG34" i="2"/>
  <c r="CG12" i="2"/>
  <c r="CG11" i="2"/>
  <c r="BU12" i="2"/>
  <c r="BW34" i="2"/>
  <c r="BW11" i="2"/>
  <c r="BW12" i="2"/>
  <c r="CF34" i="2"/>
  <c r="CF12" i="2"/>
  <c r="CF11" i="2"/>
  <c r="BU11" i="2"/>
  <c r="CD34" i="2"/>
  <c r="CD12" i="2"/>
  <c r="CD11" i="2"/>
  <c r="CC34" i="2"/>
  <c r="CC11" i="2"/>
  <c r="CC12" i="2"/>
  <c r="Q52" i="2"/>
  <c r="CV39" i="2"/>
  <c r="CU39" i="2"/>
  <c r="CT39" i="2"/>
  <c r="CS39" i="2"/>
  <c r="CR39" i="2"/>
  <c r="CQ39" i="2"/>
  <c r="CP39" i="2"/>
  <c r="CK39" i="2"/>
  <c r="CO39" i="2"/>
  <c r="CN39" i="2"/>
  <c r="CM39" i="2"/>
  <c r="CL39" i="2"/>
  <c r="N52" i="2"/>
  <c r="BE7" i="2"/>
  <c r="AX7" i="2"/>
  <c r="BD7" i="2"/>
  <c r="BB7" i="2"/>
  <c r="AY7" i="2"/>
  <c r="AS7" i="2"/>
  <c r="BA7" i="2"/>
  <c r="BO37" i="2"/>
  <c r="BO40" i="2" s="1"/>
  <c r="BK37" i="2"/>
  <c r="BK40" i="2" s="1"/>
  <c r="BI20" i="2"/>
  <c r="BS20" i="2"/>
  <c r="BN20" i="2"/>
  <c r="BJ20" i="2"/>
  <c r="BL37" i="2"/>
  <c r="BL40" i="2" s="1"/>
  <c r="BQ37" i="2"/>
  <c r="BQ40" i="2" s="1"/>
  <c r="BG37" i="2"/>
  <c r="BR20" i="2"/>
  <c r="BO20" i="2"/>
  <c r="BM20" i="2"/>
  <c r="BT37" i="2"/>
  <c r="BT40" i="2" s="1"/>
  <c r="BI37" i="2"/>
  <c r="BI40" i="2" s="1"/>
  <c r="BS37" i="2"/>
  <c r="BS40" i="2" s="1"/>
  <c r="BL20" i="2"/>
  <c r="BK20" i="2"/>
  <c r="BJ37" i="2"/>
  <c r="BJ40" i="2" s="1"/>
  <c r="BN37" i="2"/>
  <c r="BN40" i="2" s="1"/>
  <c r="BP37" i="2"/>
  <c r="BP40" i="2" s="1"/>
  <c r="BM37" i="2"/>
  <c r="BM40" i="2" s="1"/>
  <c r="BP20" i="2"/>
  <c r="BG20" i="2"/>
  <c r="BQ20" i="2"/>
  <c r="BR37" i="2"/>
  <c r="BR40" i="2" s="1"/>
  <c r="BT20" i="2"/>
  <c r="CA24" i="2"/>
  <c r="CA10" i="2"/>
  <c r="CA36" i="2"/>
  <c r="CA31" i="2"/>
  <c r="CA29" i="2"/>
  <c r="CA30" i="2"/>
  <c r="CA23" i="2"/>
  <c r="CA33" i="2"/>
  <c r="CA35" i="2"/>
  <c r="CA27" i="2"/>
  <c r="CA26" i="2"/>
  <c r="CA32" i="2"/>
  <c r="CA28" i="2"/>
  <c r="CA25" i="2"/>
  <c r="CG33" i="2"/>
  <c r="CG23" i="2"/>
  <c r="CG31" i="2"/>
  <c r="CG32" i="2"/>
  <c r="CG27" i="2"/>
  <c r="CG25" i="2"/>
  <c r="CG24" i="2"/>
  <c r="CG29" i="2"/>
  <c r="CG10" i="2"/>
  <c r="CG26" i="2"/>
  <c r="CG35" i="2"/>
  <c r="CG30" i="2"/>
  <c r="CG28" i="2"/>
  <c r="CG36" i="2"/>
  <c r="BU35" i="2"/>
  <c r="BU10" i="2"/>
  <c r="BU28" i="2"/>
  <c r="BU29" i="2"/>
  <c r="BU13" i="2"/>
  <c r="BY27" i="2"/>
  <c r="BY26" i="2"/>
  <c r="BY10" i="2"/>
  <c r="BY25" i="2"/>
  <c r="BY30" i="2"/>
  <c r="BY29" i="2"/>
  <c r="BY28" i="2"/>
  <c r="BY36" i="2"/>
  <c r="BY24" i="2"/>
  <c r="BY35" i="2"/>
  <c r="BY32" i="2"/>
  <c r="BY33" i="2"/>
  <c r="BY23" i="2"/>
  <c r="BY31" i="2"/>
  <c r="BW29" i="2"/>
  <c r="BW27" i="2"/>
  <c r="BW10" i="2"/>
  <c r="BW31" i="2"/>
  <c r="BW28" i="2"/>
  <c r="BW26" i="2"/>
  <c r="BW36" i="2"/>
  <c r="BW33" i="2"/>
  <c r="BW32" i="2"/>
  <c r="BW30" i="2"/>
  <c r="BW23" i="2"/>
  <c r="BW35" i="2"/>
  <c r="BW25" i="2"/>
  <c r="BW24" i="2"/>
  <c r="CF10" i="2"/>
  <c r="CF27" i="2"/>
  <c r="CF29" i="2"/>
  <c r="CF25" i="2"/>
  <c r="CF19" i="2"/>
  <c r="CF14" i="2"/>
  <c r="CF15" i="2"/>
  <c r="CF30" i="2"/>
  <c r="CF33" i="2"/>
  <c r="CF13" i="2"/>
  <c r="CF23" i="2"/>
  <c r="CF26" i="2"/>
  <c r="CF28" i="2"/>
  <c r="CF17" i="2"/>
  <c r="CF24" i="2"/>
  <c r="CF35" i="2"/>
  <c r="CF16" i="2"/>
  <c r="CF32" i="2"/>
  <c r="CF31" i="2"/>
  <c r="CF36" i="2"/>
  <c r="CF18" i="2"/>
  <c r="BU26" i="2"/>
  <c r="CC26" i="2"/>
  <c r="CC32" i="2"/>
  <c r="CC30" i="2"/>
  <c r="CC33" i="2"/>
  <c r="CC36" i="2"/>
  <c r="CC27" i="2"/>
  <c r="CC29" i="2"/>
  <c r="CC23" i="2"/>
  <c r="CC28" i="2"/>
  <c r="CC35" i="2"/>
  <c r="CC10" i="2"/>
  <c r="CC24" i="2"/>
  <c r="CC31" i="2"/>
  <c r="CC25" i="2"/>
  <c r="BU24" i="2"/>
  <c r="BU17" i="2"/>
  <c r="BU31" i="2"/>
  <c r="BX10" i="2"/>
  <c r="BX30" i="2"/>
  <c r="BX36" i="2"/>
  <c r="BX31" i="2"/>
  <c r="BX26" i="2"/>
  <c r="BX24" i="2"/>
  <c r="BX28" i="2"/>
  <c r="BX33" i="2"/>
  <c r="BX32" i="2"/>
  <c r="BX29" i="2"/>
  <c r="BX25" i="2"/>
  <c r="BX35" i="2"/>
  <c r="BX23" i="2"/>
  <c r="BX27" i="2"/>
  <c r="BU23" i="2"/>
  <c r="BU19" i="2"/>
  <c r="AV7" i="2"/>
  <c r="BZ10" i="2"/>
  <c r="BZ26" i="2"/>
  <c r="BZ29" i="2"/>
  <c r="BZ13" i="2"/>
  <c r="BZ24" i="2"/>
  <c r="BZ17" i="2"/>
  <c r="BZ14" i="2"/>
  <c r="BZ30" i="2"/>
  <c r="BZ28" i="2"/>
  <c r="BZ15" i="2"/>
  <c r="BZ16" i="2"/>
  <c r="BZ32" i="2"/>
  <c r="BZ35" i="2"/>
  <c r="BZ36" i="2"/>
  <c r="BZ23" i="2"/>
  <c r="BZ31" i="2"/>
  <c r="BZ27" i="2"/>
  <c r="BZ33" i="2"/>
  <c r="BZ25" i="2"/>
  <c r="BZ18" i="2"/>
  <c r="BZ19" i="2"/>
  <c r="CD10" i="2"/>
  <c r="CD36" i="2"/>
  <c r="CD35" i="2"/>
  <c r="CD32" i="2"/>
  <c r="CD33" i="2"/>
  <c r="CD13" i="2"/>
  <c r="CD17" i="2"/>
  <c r="CD27" i="2"/>
  <c r="CD14" i="2"/>
  <c r="CD24" i="2"/>
  <c r="CD18" i="2"/>
  <c r="CD29" i="2"/>
  <c r="CD28" i="2"/>
  <c r="CD23" i="2"/>
  <c r="CD30" i="2"/>
  <c r="CD19" i="2"/>
  <c r="CD25" i="2"/>
  <c r="CD31" i="2"/>
  <c r="CD15" i="2"/>
  <c r="CD26" i="2"/>
  <c r="CD16" i="2"/>
  <c r="BU25" i="2"/>
  <c r="BU18" i="2"/>
  <c r="CS42" i="2"/>
  <c r="CW22" i="2"/>
  <c r="CL9" i="2"/>
  <c r="CY5" i="2"/>
  <c r="CL22" i="2"/>
  <c r="CR22" i="2"/>
  <c r="CM42" i="2"/>
  <c r="CO42" i="2"/>
  <c r="CR42" i="2"/>
  <c r="CP9" i="2"/>
  <c r="CK9" i="2"/>
  <c r="CT9" i="2"/>
  <c r="CV42" i="2"/>
  <c r="CN9" i="2"/>
  <c r="CL42" i="2"/>
  <c r="CO22" i="2"/>
  <c r="CV22" i="2"/>
  <c r="CQ42" i="2"/>
  <c r="CK42" i="2"/>
  <c r="CN22" i="2"/>
  <c r="CK22" i="2"/>
  <c r="CW42" i="2"/>
  <c r="CS22" i="2"/>
  <c r="CT22" i="2"/>
  <c r="CQ9" i="2"/>
  <c r="CP22" i="2"/>
  <c r="CU22" i="2"/>
  <c r="CR9" i="2"/>
  <c r="CS9" i="2"/>
  <c r="CP42" i="2"/>
  <c r="CU9" i="2"/>
  <c r="CQ22" i="2"/>
  <c r="CM22" i="2"/>
  <c r="CT42" i="2"/>
  <c r="CN42" i="2"/>
  <c r="CM9" i="2"/>
  <c r="CO9" i="2"/>
  <c r="CV9" i="2"/>
  <c r="CU42" i="2"/>
  <c r="BU36" i="2"/>
  <c r="BU15" i="2"/>
  <c r="CE30" i="2"/>
  <c r="CE31" i="2"/>
  <c r="CE29" i="2"/>
  <c r="CE32" i="2"/>
  <c r="CE25" i="2"/>
  <c r="CE26" i="2"/>
  <c r="CE33" i="2"/>
  <c r="CE36" i="2"/>
  <c r="CE24" i="2"/>
  <c r="CE27" i="2"/>
  <c r="CE10" i="2"/>
  <c r="CE35" i="2"/>
  <c r="CE28" i="2"/>
  <c r="CE23" i="2"/>
  <c r="BU33" i="2"/>
  <c r="BC7" i="2"/>
  <c r="AW7" i="2"/>
  <c r="BU27" i="2"/>
  <c r="BU16" i="2"/>
  <c r="BF7" i="2"/>
  <c r="G9" i="7"/>
  <c r="BU32" i="2"/>
  <c r="AU7" i="2"/>
  <c r="CB24" i="2"/>
  <c r="CB10" i="2"/>
  <c r="CB28" i="2"/>
  <c r="CB29" i="2"/>
  <c r="CB36" i="2"/>
  <c r="CB25" i="2"/>
  <c r="CB23" i="2"/>
  <c r="CB31" i="2"/>
  <c r="CB30" i="2"/>
  <c r="CB33" i="2"/>
  <c r="CB27" i="2"/>
  <c r="CB35" i="2"/>
  <c r="CB32" i="2"/>
  <c r="CB26" i="2"/>
  <c r="CH24" i="2"/>
  <c r="CH28" i="2"/>
  <c r="CH33" i="2"/>
  <c r="CH32" i="2"/>
  <c r="CH27" i="2"/>
  <c r="CH30" i="2"/>
  <c r="CH10" i="2"/>
  <c r="CH36" i="2"/>
  <c r="CH25" i="2"/>
  <c r="CH31" i="2"/>
  <c r="CH23" i="2"/>
  <c r="CH29" i="2"/>
  <c r="CH35" i="2"/>
  <c r="CH26" i="2"/>
  <c r="BU30" i="2"/>
  <c r="BU14" i="2"/>
  <c r="AZ7" i="2"/>
  <c r="AN52" i="2" a="1"/>
  <c r="BX20" i="2" a="1"/>
  <c r="AR52" i="2" a="1"/>
  <c r="BZ37" i="2" a="1"/>
  <c r="CD20" i="2" a="1"/>
  <c r="BW37" i="2" a="1"/>
  <c r="AL52" i="2" a="1"/>
  <c r="CA20" i="2" a="1"/>
  <c r="CG37" i="2" a="1"/>
  <c r="BU37" i="2" a="1"/>
  <c r="CC20" i="2" a="1"/>
  <c r="AD52" i="2" a="1"/>
  <c r="CD37" i="2" a="1"/>
  <c r="BX37" i="2" a="1"/>
  <c r="CF20" i="2" a="1"/>
  <c r="BY20" i="2" a="1"/>
  <c r="AK52" i="2" a="1"/>
  <c r="BZ20" i="2" a="1"/>
  <c r="BU20" i="2" a="1"/>
  <c r="AM52" i="2" a="1"/>
  <c r="CH20" i="2" a="1"/>
  <c r="AP52" i="2" a="1"/>
  <c r="AJ52" i="2" a="1"/>
  <c r="CA37" i="2" a="1"/>
  <c r="CF37" i="2" a="1"/>
  <c r="CB37" i="2" a="1"/>
  <c r="CH37" i="2" a="1"/>
  <c r="CC37" i="2" a="1"/>
  <c r="CG20" i="2" a="1"/>
  <c r="AQ52" i="2" a="1"/>
  <c r="AH52" i="2" a="1"/>
  <c r="AI52" i="2" a="1"/>
  <c r="AG52" i="2" a="1"/>
  <c r="BY37" i="2" a="1"/>
  <c r="AO52" i="2" a="1"/>
  <c r="CB20" i="2" a="1"/>
  <c r="CE20" i="2" a="1"/>
  <c r="CE37" i="2" a="1"/>
  <c r="BW20" i="2" a="1"/>
  <c r="AD52" i="2" l="1"/>
  <c r="AC43" i="2"/>
  <c r="BG44" i="2"/>
  <c r="BG43" i="2"/>
  <c r="BQ43" i="2"/>
  <c r="BQ44" i="2"/>
  <c r="BL43" i="2"/>
  <c r="BL44" i="2"/>
  <c r="BN43" i="2"/>
  <c r="BN44" i="2"/>
  <c r="BM43" i="2"/>
  <c r="BM44" i="2"/>
  <c r="BJ43" i="2"/>
  <c r="BJ44" i="2"/>
  <c r="BK44" i="2"/>
  <c r="BK43" i="2"/>
  <c r="BS43" i="2"/>
  <c r="BS44" i="2"/>
  <c r="BO43" i="2"/>
  <c r="BO44" i="2"/>
  <c r="BI43" i="2"/>
  <c r="BI44" i="2"/>
  <c r="BT43" i="2"/>
  <c r="BT44" i="2"/>
  <c r="BR43" i="2"/>
  <c r="BR44" i="2"/>
  <c r="BP43" i="2"/>
  <c r="BP44" i="2"/>
  <c r="AE49" i="2"/>
  <c r="CI34" i="2"/>
  <c r="CI12" i="2"/>
  <c r="CR34" i="2"/>
  <c r="CR11" i="2"/>
  <c r="CR12" i="2"/>
  <c r="CT34" i="2"/>
  <c r="CT11" i="2"/>
  <c r="CT12" i="2"/>
  <c r="CS34" i="2"/>
  <c r="CS12" i="2"/>
  <c r="CS11" i="2"/>
  <c r="CK34" i="2"/>
  <c r="CK12" i="2"/>
  <c r="CK11" i="2"/>
  <c r="CP34" i="2"/>
  <c r="CP11" i="2"/>
  <c r="CP12" i="2"/>
  <c r="CU34" i="2"/>
  <c r="CU12" i="2"/>
  <c r="CU11" i="2"/>
  <c r="CQ34" i="2"/>
  <c r="CQ11" i="2"/>
  <c r="CQ12" i="2"/>
  <c r="CM34" i="2"/>
  <c r="CM12" i="2"/>
  <c r="CM11" i="2"/>
  <c r="CI11" i="2"/>
  <c r="CO34" i="2"/>
  <c r="CO11" i="2"/>
  <c r="CO12" i="2"/>
  <c r="CL34" i="2"/>
  <c r="CL12" i="2"/>
  <c r="CL11" i="2"/>
  <c r="CN34" i="2"/>
  <c r="CN12" i="2"/>
  <c r="CN11" i="2"/>
  <c r="CV34" i="2"/>
  <c r="CV11" i="2"/>
  <c r="CV12" i="2"/>
  <c r="DJ39" i="2"/>
  <c r="DI39" i="2"/>
  <c r="DH39" i="2"/>
  <c r="DG39" i="2"/>
  <c r="DF39" i="2"/>
  <c r="DE39" i="2"/>
  <c r="DD39" i="2"/>
  <c r="DC39" i="2"/>
  <c r="DB39" i="2"/>
  <c r="DA39" i="2"/>
  <c r="CZ39" i="2"/>
  <c r="CY39" i="2"/>
  <c r="O52" i="2"/>
  <c r="AL52" i="2"/>
  <c r="AK52" i="2"/>
  <c r="AG52" i="2"/>
  <c r="CI17" i="2"/>
  <c r="BG7" i="2"/>
  <c r="BK7" i="2"/>
  <c r="BS7" i="2"/>
  <c r="BQ7" i="2"/>
  <c r="AH52" i="2"/>
  <c r="BI7" i="2"/>
  <c r="BJ7" i="2"/>
  <c r="BM7" i="2"/>
  <c r="BO7" i="2"/>
  <c r="BP7" i="2"/>
  <c r="AO52" i="2"/>
  <c r="AI52" i="2"/>
  <c r="CD20" i="2"/>
  <c r="CA20" i="2"/>
  <c r="CE20" i="2"/>
  <c r="CC20" i="2"/>
  <c r="CF20" i="2"/>
  <c r="BY37" i="2"/>
  <c r="BY40" i="2" s="1"/>
  <c r="CG37" i="2"/>
  <c r="CG40" i="2" s="1"/>
  <c r="AR52" i="2"/>
  <c r="CD37" i="2"/>
  <c r="CD40" i="2" s="1"/>
  <c r="CH37" i="2"/>
  <c r="CH40" i="2" s="1"/>
  <c r="CC37" i="2"/>
  <c r="CC40" i="2" s="1"/>
  <c r="BU20" i="2"/>
  <c r="CB37" i="2"/>
  <c r="CB40" i="2" s="1"/>
  <c r="AN52" i="2"/>
  <c r="BZ20" i="2"/>
  <c r="BW37" i="2"/>
  <c r="BW40" i="2" s="1"/>
  <c r="AQ52" i="2"/>
  <c r="BZ37" i="2"/>
  <c r="BZ40" i="2" s="1"/>
  <c r="CH20" i="2"/>
  <c r="AM52" i="2"/>
  <c r="AJ52" i="2"/>
  <c r="CF37" i="2"/>
  <c r="CF40" i="2" s="1"/>
  <c r="AP52" i="2"/>
  <c r="BX20" i="2"/>
  <c r="CB20" i="2"/>
  <c r="BU37" i="2"/>
  <c r="CG20" i="2"/>
  <c r="CA37" i="2"/>
  <c r="CA40" i="2" s="1"/>
  <c r="BY20" i="2"/>
  <c r="BX37" i="2"/>
  <c r="BX40" i="2" s="1"/>
  <c r="CE37" i="2"/>
  <c r="CE40" i="2" s="1"/>
  <c r="BW20" i="2"/>
  <c r="CV33" i="2"/>
  <c r="CV24" i="2"/>
  <c r="CV31" i="2"/>
  <c r="CV23" i="2"/>
  <c r="CV28" i="2"/>
  <c r="CV30" i="2"/>
  <c r="CV32" i="2"/>
  <c r="CV27" i="2"/>
  <c r="CV10" i="2"/>
  <c r="CV35" i="2"/>
  <c r="CV29" i="2"/>
  <c r="CV26" i="2"/>
  <c r="CV36" i="2"/>
  <c r="CV25" i="2"/>
  <c r="CI14" i="2"/>
  <c r="CI27" i="2"/>
  <c r="CO30" i="2"/>
  <c r="CO31" i="2"/>
  <c r="CO35" i="2"/>
  <c r="CO10" i="2"/>
  <c r="CO29" i="2"/>
  <c r="CO26" i="2"/>
  <c r="CO33" i="2"/>
  <c r="CO36" i="2"/>
  <c r="CO27" i="2"/>
  <c r="CO23" i="2"/>
  <c r="CO24" i="2"/>
  <c r="CO28" i="2"/>
  <c r="CO32" i="2"/>
  <c r="CO25" i="2"/>
  <c r="CI29" i="2"/>
  <c r="CM10" i="2"/>
  <c r="CM35" i="2"/>
  <c r="CM33" i="2"/>
  <c r="CM36" i="2"/>
  <c r="CM26" i="2"/>
  <c r="CM23" i="2"/>
  <c r="CM24" i="2"/>
  <c r="CM28" i="2"/>
  <c r="CM31" i="2"/>
  <c r="CM25" i="2"/>
  <c r="CM32" i="2"/>
  <c r="CM30" i="2"/>
  <c r="CM27" i="2"/>
  <c r="CM29" i="2"/>
  <c r="DB9" i="2"/>
  <c r="DD9" i="2"/>
  <c r="CY42" i="2"/>
  <c r="DG22" i="2"/>
  <c r="CY9" i="2"/>
  <c r="DK42" i="2"/>
  <c r="DI9" i="2"/>
  <c r="CY22" i="2"/>
  <c r="DI22" i="2"/>
  <c r="DJ42" i="2"/>
  <c r="DA9" i="2"/>
  <c r="DD42" i="2"/>
  <c r="DE22" i="2"/>
  <c r="DF22" i="2"/>
  <c r="DD22" i="2"/>
  <c r="DF9" i="2"/>
  <c r="DA42" i="2"/>
  <c r="DG42" i="2"/>
  <c r="CZ9" i="2"/>
  <c r="DH42" i="2"/>
  <c r="DC22" i="2"/>
  <c r="DJ22" i="2"/>
  <c r="DC9" i="2"/>
  <c r="DI42" i="2"/>
  <c r="DJ9" i="2"/>
  <c r="DF42" i="2"/>
  <c r="DM5" i="2"/>
  <c r="DB22" i="2"/>
  <c r="CZ22" i="2"/>
  <c r="CZ42" i="2"/>
  <c r="DH9" i="2"/>
  <c r="DH22" i="2"/>
  <c r="DG9" i="2"/>
  <c r="DK22" i="2"/>
  <c r="DC42" i="2"/>
  <c r="DB42" i="2"/>
  <c r="DA22" i="2"/>
  <c r="DE9" i="2"/>
  <c r="DE42" i="2"/>
  <c r="CI19" i="2"/>
  <c r="CL27" i="2"/>
  <c r="CL24" i="2"/>
  <c r="CL32" i="2"/>
  <c r="CL28" i="2"/>
  <c r="CL33" i="2"/>
  <c r="CL35" i="2"/>
  <c r="CL26" i="2"/>
  <c r="CL23" i="2"/>
  <c r="CL30" i="2"/>
  <c r="CL36" i="2"/>
  <c r="CL29" i="2"/>
  <c r="CL25" i="2"/>
  <c r="CL31" i="2"/>
  <c r="CL10" i="2"/>
  <c r="CI18" i="2"/>
  <c r="CI13" i="2"/>
  <c r="BT7" i="2"/>
  <c r="CI24" i="2"/>
  <c r="BR7" i="2"/>
  <c r="CI25" i="2"/>
  <c r="CI35" i="2"/>
  <c r="CU10" i="2"/>
  <c r="CU27" i="2"/>
  <c r="CU26" i="2"/>
  <c r="CU23" i="2"/>
  <c r="CU29" i="2"/>
  <c r="CU32" i="2"/>
  <c r="CU33" i="2"/>
  <c r="CU31" i="2"/>
  <c r="CU36" i="2"/>
  <c r="CU25" i="2"/>
  <c r="CU35" i="2"/>
  <c r="CU30" i="2"/>
  <c r="CU28" i="2"/>
  <c r="CU24" i="2"/>
  <c r="CI23" i="2"/>
  <c r="CN28" i="2"/>
  <c r="CN16" i="2"/>
  <c r="CN29" i="2"/>
  <c r="CN36" i="2"/>
  <c r="CN15" i="2"/>
  <c r="CN23" i="2"/>
  <c r="CN10" i="2"/>
  <c r="CN18" i="2"/>
  <c r="CN32" i="2"/>
  <c r="CN31" i="2"/>
  <c r="CN27" i="2"/>
  <c r="CN14" i="2"/>
  <c r="CN24" i="2"/>
  <c r="CN33" i="2"/>
  <c r="CN25" i="2"/>
  <c r="CN17" i="2"/>
  <c r="CN13" i="2"/>
  <c r="CN26" i="2"/>
  <c r="CN35" i="2"/>
  <c r="CN30" i="2"/>
  <c r="CN19" i="2"/>
  <c r="CI30" i="2"/>
  <c r="CS24" i="2"/>
  <c r="CS23" i="2"/>
  <c r="CS28" i="2"/>
  <c r="CS29" i="2"/>
  <c r="CS32" i="2"/>
  <c r="CS10" i="2"/>
  <c r="CS33" i="2"/>
  <c r="CS25" i="2"/>
  <c r="CS27" i="2"/>
  <c r="CS31" i="2"/>
  <c r="CS36" i="2"/>
  <c r="CS26" i="2"/>
  <c r="CS35" i="2"/>
  <c r="CS30" i="2"/>
  <c r="CI32" i="2"/>
  <c r="CR15" i="2"/>
  <c r="CR28" i="2"/>
  <c r="CR35" i="2"/>
  <c r="CR17" i="2"/>
  <c r="CR27" i="2"/>
  <c r="CR10" i="2"/>
  <c r="CR23" i="2"/>
  <c r="CR24" i="2"/>
  <c r="CR13" i="2"/>
  <c r="CR18" i="2"/>
  <c r="CR32" i="2"/>
  <c r="CR29" i="2"/>
  <c r="CR26" i="2"/>
  <c r="CR14" i="2"/>
  <c r="CR16" i="2"/>
  <c r="CR36" i="2"/>
  <c r="CR19" i="2"/>
  <c r="CR30" i="2"/>
  <c r="CR31" i="2"/>
  <c r="CR25" i="2"/>
  <c r="CR33" i="2"/>
  <c r="CT10" i="2"/>
  <c r="CT24" i="2"/>
  <c r="CT13" i="2"/>
  <c r="CT33" i="2"/>
  <c r="CT16" i="2"/>
  <c r="CT15" i="2"/>
  <c r="CT31" i="2"/>
  <c r="CT32" i="2"/>
  <c r="CT17" i="2"/>
  <c r="CT30" i="2"/>
  <c r="CT29" i="2"/>
  <c r="CT28" i="2"/>
  <c r="CT36" i="2"/>
  <c r="CT25" i="2"/>
  <c r="CT23" i="2"/>
  <c r="CT14" i="2"/>
  <c r="CT35" i="2"/>
  <c r="CT19" i="2"/>
  <c r="CT27" i="2"/>
  <c r="CT26" i="2"/>
  <c r="CT18" i="2"/>
  <c r="CI33" i="2"/>
  <c r="CK32" i="2"/>
  <c r="CK29" i="2"/>
  <c r="CK31" i="2"/>
  <c r="CK33" i="2"/>
  <c r="CK10" i="2"/>
  <c r="CK26" i="2"/>
  <c r="CK36" i="2"/>
  <c r="CK27" i="2"/>
  <c r="CK35" i="2"/>
  <c r="CK25" i="2"/>
  <c r="CK24" i="2"/>
  <c r="CK23" i="2"/>
  <c r="CK28" i="2"/>
  <c r="CK30" i="2"/>
  <c r="CI36" i="2"/>
  <c r="BN7" i="2"/>
  <c r="CP32" i="2"/>
  <c r="CP36" i="2"/>
  <c r="CP31" i="2"/>
  <c r="CP28" i="2"/>
  <c r="CP24" i="2"/>
  <c r="CP35" i="2"/>
  <c r="CP26" i="2"/>
  <c r="CP30" i="2"/>
  <c r="CP25" i="2"/>
  <c r="CP27" i="2"/>
  <c r="CP33" i="2"/>
  <c r="CP29" i="2"/>
  <c r="CP10" i="2"/>
  <c r="CP23" i="2"/>
  <c r="CI16" i="2"/>
  <c r="CI26" i="2"/>
  <c r="CQ25" i="2"/>
  <c r="CQ10" i="2"/>
  <c r="CQ27" i="2"/>
  <c r="CQ35" i="2"/>
  <c r="CQ26" i="2"/>
  <c r="CQ36" i="2"/>
  <c r="CQ33" i="2"/>
  <c r="CQ28" i="2"/>
  <c r="CQ32" i="2"/>
  <c r="CQ24" i="2"/>
  <c r="CQ31" i="2"/>
  <c r="CQ30" i="2"/>
  <c r="CQ23" i="2"/>
  <c r="CQ29" i="2"/>
  <c r="CI15" i="2"/>
  <c r="CI28" i="2"/>
  <c r="BL7" i="2"/>
  <c r="G10" i="7"/>
  <c r="CI31" i="2"/>
  <c r="CI10" i="2"/>
  <c r="BC52" i="2" a="1"/>
  <c r="CI20" i="2" a="1"/>
  <c r="AY52" i="2" a="1"/>
  <c r="BE52" i="2" a="1"/>
  <c r="CK37" i="2" a="1"/>
  <c r="BA52" i="2" a="1"/>
  <c r="CL20" i="2" a="1"/>
  <c r="CI37" i="2" a="1"/>
  <c r="CP37" i="2" a="1"/>
  <c r="AC52" i="2" a="1"/>
  <c r="AV52" i="2" a="1"/>
  <c r="CO20" i="2" a="1"/>
  <c r="CQ20" i="2" a="1"/>
  <c r="CM20" i="2" a="1"/>
  <c r="CQ37" i="2" a="1"/>
  <c r="AU52" i="2" a="1"/>
  <c r="CM37" i="2" a="1"/>
  <c r="AZ52" i="2" a="1"/>
  <c r="CV20" i="2" a="1"/>
  <c r="CT20" i="2" a="1"/>
  <c r="CU20" i="2" a="1"/>
  <c r="CN37" i="2" a="1"/>
  <c r="BD52" i="2" a="1"/>
  <c r="CU37" i="2" a="1"/>
  <c r="AS52" i="2" a="1"/>
  <c r="CN20" i="2" a="1"/>
  <c r="CP20" i="2" a="1"/>
  <c r="CK20" i="2" a="1"/>
  <c r="AW52" i="2" a="1"/>
  <c r="CL37" i="2" a="1"/>
  <c r="CS20" i="2" a="1"/>
  <c r="CR37" i="2" a="1"/>
  <c r="CV37" i="2" a="1"/>
  <c r="CO37" i="2" a="1"/>
  <c r="CT37" i="2" a="1"/>
  <c r="CS37" i="2" a="1"/>
  <c r="AX52" i="2" a="1"/>
  <c r="BF52" i="2" a="1"/>
  <c r="CR20" i="2" a="1"/>
  <c r="BB52" i="2" a="1"/>
  <c r="AC52" i="2" l="1"/>
  <c r="S43" i="2"/>
  <c r="BU44" i="2"/>
  <c r="BU43" i="2"/>
  <c r="BZ43" i="2"/>
  <c r="BZ44" i="2"/>
  <c r="CE43" i="2"/>
  <c r="CE44" i="2"/>
  <c r="CC43" i="2"/>
  <c r="CC44" i="2"/>
  <c r="BW43" i="2"/>
  <c r="BW44" i="2"/>
  <c r="CA44" i="2"/>
  <c r="CA43" i="2"/>
  <c r="CD43" i="2"/>
  <c r="CD44" i="2"/>
  <c r="CG43" i="2"/>
  <c r="CG44" i="2"/>
  <c r="CB43" i="2"/>
  <c r="CB44" i="2"/>
  <c r="CH43" i="2"/>
  <c r="CH44" i="2"/>
  <c r="CF43" i="2"/>
  <c r="CF44" i="2"/>
  <c r="BY43" i="2"/>
  <c r="BY44" i="2"/>
  <c r="BX43" i="2"/>
  <c r="BX44" i="2"/>
  <c r="CW34" i="2"/>
  <c r="DE34" i="2"/>
  <c r="DE11" i="2"/>
  <c r="DE12" i="2"/>
  <c r="CZ34" i="2"/>
  <c r="CZ11" i="2"/>
  <c r="CZ12" i="2"/>
  <c r="DD34" i="2"/>
  <c r="DD11" i="2"/>
  <c r="DD12" i="2"/>
  <c r="DG34" i="2"/>
  <c r="DG12" i="2"/>
  <c r="DG11" i="2"/>
  <c r="DB34" i="2"/>
  <c r="DB11" i="2"/>
  <c r="DB12" i="2"/>
  <c r="CW11" i="2"/>
  <c r="CY34" i="2"/>
  <c r="CY11" i="2"/>
  <c r="CY12" i="2"/>
  <c r="CW12" i="2"/>
  <c r="DA34" i="2"/>
  <c r="DA11" i="2"/>
  <c r="DA12" i="2"/>
  <c r="DC34" i="2"/>
  <c r="DC11" i="2"/>
  <c r="DC12" i="2"/>
  <c r="DI34" i="2"/>
  <c r="DI12" i="2"/>
  <c r="DI11" i="2"/>
  <c r="DF34" i="2"/>
  <c r="DF12" i="2"/>
  <c r="DF11" i="2"/>
  <c r="DH34" i="2"/>
  <c r="DH12" i="2"/>
  <c r="DH11" i="2"/>
  <c r="DJ34" i="2"/>
  <c r="DJ12" i="2"/>
  <c r="DJ11" i="2"/>
  <c r="DP39" i="2"/>
  <c r="DO39" i="2"/>
  <c r="DN39" i="2"/>
  <c r="DM39" i="2"/>
  <c r="DU39" i="2"/>
  <c r="DX39" i="2"/>
  <c r="DW39" i="2"/>
  <c r="DV39" i="2"/>
  <c r="DT39" i="2"/>
  <c r="DS39" i="2"/>
  <c r="DQ39" i="2"/>
  <c r="DR39" i="2"/>
  <c r="P52" i="2"/>
  <c r="BD52" i="2"/>
  <c r="BE52" i="2"/>
  <c r="BW7" i="2"/>
  <c r="AY52" i="2"/>
  <c r="AX52" i="2"/>
  <c r="BB52" i="2"/>
  <c r="CG7" i="2"/>
  <c r="BU7" i="2"/>
  <c r="BY7" i="2"/>
  <c r="BA52" i="2"/>
  <c r="CE7" i="2"/>
  <c r="CK37" i="2"/>
  <c r="CK40" i="2" s="1"/>
  <c r="CL37" i="2"/>
  <c r="CL40" i="2" s="1"/>
  <c r="AZ52" i="2"/>
  <c r="CI37" i="2"/>
  <c r="CO37" i="2"/>
  <c r="CO40" i="2" s="1"/>
  <c r="CT20" i="2"/>
  <c r="CR37" i="2"/>
  <c r="CR40" i="2" s="1"/>
  <c r="CS20" i="2"/>
  <c r="BF52" i="2"/>
  <c r="CT37" i="2"/>
  <c r="CT40" i="2" s="1"/>
  <c r="CR20" i="2"/>
  <c r="CV20" i="2"/>
  <c r="CI20" i="2"/>
  <c r="CK20" i="2"/>
  <c r="BC52" i="2"/>
  <c r="CS37" i="2"/>
  <c r="CS40" i="2" s="1"/>
  <c r="CM37" i="2"/>
  <c r="CM40" i="2" s="1"/>
  <c r="CN20" i="2"/>
  <c r="CO20" i="2"/>
  <c r="AW52" i="2"/>
  <c r="CN37" i="2"/>
  <c r="CN40" i="2" s="1"/>
  <c r="CL20" i="2"/>
  <c r="CV37" i="2"/>
  <c r="CV40" i="2" s="1"/>
  <c r="AU52" i="2"/>
  <c r="CQ37" i="2"/>
  <c r="CQ40" i="2" s="1"/>
  <c r="CP37" i="2"/>
  <c r="CP40" i="2" s="1"/>
  <c r="CU37" i="2"/>
  <c r="CU40" i="2" s="1"/>
  <c r="CQ20" i="2"/>
  <c r="CP20" i="2"/>
  <c r="CM20" i="2"/>
  <c r="AS52" i="2"/>
  <c r="AV52" i="2"/>
  <c r="CU20" i="2"/>
  <c r="CW23" i="2"/>
  <c r="CW17" i="2"/>
  <c r="DF29" i="2"/>
  <c r="DF24" i="2"/>
  <c r="DF28" i="2"/>
  <c r="DF14" i="2"/>
  <c r="DF17" i="2"/>
  <c r="DF23" i="2"/>
  <c r="DF18" i="2"/>
  <c r="DF15" i="2"/>
  <c r="DF30" i="2"/>
  <c r="DF27" i="2"/>
  <c r="DF26" i="2"/>
  <c r="DF36" i="2"/>
  <c r="DF35" i="2"/>
  <c r="DF10" i="2"/>
  <c r="DF32" i="2"/>
  <c r="DF25" i="2"/>
  <c r="DF13" i="2"/>
  <c r="DF31" i="2"/>
  <c r="DF19" i="2"/>
  <c r="DF16" i="2"/>
  <c r="DF33" i="2"/>
  <c r="CW24" i="2"/>
  <c r="DH28" i="2"/>
  <c r="DH33" i="2"/>
  <c r="DH18" i="2"/>
  <c r="DH24" i="2"/>
  <c r="DH14" i="2"/>
  <c r="DH13" i="2"/>
  <c r="DH23" i="2"/>
  <c r="DH10" i="2"/>
  <c r="DH26" i="2"/>
  <c r="DH15" i="2"/>
  <c r="DH17" i="2"/>
  <c r="DH25" i="2"/>
  <c r="DH36" i="2"/>
  <c r="DH27" i="2"/>
  <c r="DH16" i="2"/>
  <c r="DH30" i="2"/>
  <c r="DH32" i="2"/>
  <c r="DH19" i="2"/>
  <c r="DH35" i="2"/>
  <c r="DH31" i="2"/>
  <c r="DH29" i="2"/>
  <c r="CW25" i="2"/>
  <c r="CW35" i="2"/>
  <c r="CW27" i="2"/>
  <c r="CW14" i="2"/>
  <c r="CW36" i="2"/>
  <c r="DM9" i="2"/>
  <c r="DT22" i="2"/>
  <c r="DV22" i="2"/>
  <c r="DX22" i="2"/>
  <c r="DP42" i="2"/>
  <c r="DT9" i="2"/>
  <c r="DN9" i="2"/>
  <c r="DN22" i="2"/>
  <c r="DU42" i="2"/>
  <c r="DX9" i="2"/>
  <c r="DS42" i="2"/>
  <c r="DY42" i="2"/>
  <c r="DM22" i="2"/>
  <c r="DU9" i="2"/>
  <c r="DQ9" i="2"/>
  <c r="DR42" i="2"/>
  <c r="DR9" i="2"/>
  <c r="DO9" i="2"/>
  <c r="DO42" i="2"/>
  <c r="DQ42" i="2"/>
  <c r="DP9" i="2"/>
  <c r="DY22" i="2"/>
  <c r="DQ22" i="2"/>
  <c r="DR22" i="2"/>
  <c r="DV42" i="2"/>
  <c r="DU22" i="2"/>
  <c r="DO22" i="2"/>
  <c r="DV9" i="2"/>
  <c r="DM42" i="2"/>
  <c r="EA5" i="2"/>
  <c r="DS22" i="2"/>
  <c r="DS9" i="2"/>
  <c r="DW22" i="2"/>
  <c r="DN42" i="2"/>
  <c r="DW42" i="2"/>
  <c r="DW9" i="2"/>
  <c r="DX42" i="2"/>
  <c r="DP22" i="2"/>
  <c r="DT42" i="2"/>
  <c r="DA35" i="2"/>
  <c r="DA32" i="2"/>
  <c r="DA29" i="2"/>
  <c r="DA31" i="2"/>
  <c r="DA28" i="2"/>
  <c r="DA25" i="2"/>
  <c r="DA30" i="2"/>
  <c r="DA27" i="2"/>
  <c r="DA26" i="2"/>
  <c r="DA36" i="2"/>
  <c r="DA10" i="2"/>
  <c r="DA33" i="2"/>
  <c r="DA23" i="2"/>
  <c r="DA24" i="2"/>
  <c r="CB7" i="2"/>
  <c r="CW26" i="2"/>
  <c r="BX7" i="2"/>
  <c r="CW10" i="2"/>
  <c r="DJ24" i="2"/>
  <c r="DJ30" i="2"/>
  <c r="DJ10" i="2"/>
  <c r="DJ25" i="2"/>
  <c r="DJ33" i="2"/>
  <c r="DJ35" i="2"/>
  <c r="DJ31" i="2"/>
  <c r="DJ29" i="2"/>
  <c r="DJ27" i="2"/>
  <c r="DJ23" i="2"/>
  <c r="DJ26" i="2"/>
  <c r="DJ36" i="2"/>
  <c r="DJ32" i="2"/>
  <c r="DJ28" i="2"/>
  <c r="CW33" i="2"/>
  <c r="CW18" i="2"/>
  <c r="CW31" i="2"/>
  <c r="DC26" i="2"/>
  <c r="DC28" i="2"/>
  <c r="DC27" i="2"/>
  <c r="DC10" i="2"/>
  <c r="DC23" i="2"/>
  <c r="DC25" i="2"/>
  <c r="DC35" i="2"/>
  <c r="DC36" i="2"/>
  <c r="DC24" i="2"/>
  <c r="DC29" i="2"/>
  <c r="DC31" i="2"/>
  <c r="DC33" i="2"/>
  <c r="DC32" i="2"/>
  <c r="DC30" i="2"/>
  <c r="DI31" i="2"/>
  <c r="DI32" i="2"/>
  <c r="DI35" i="2"/>
  <c r="DI33" i="2"/>
  <c r="DI30" i="2"/>
  <c r="DI24" i="2"/>
  <c r="DI36" i="2"/>
  <c r="DI29" i="2"/>
  <c r="DI23" i="2"/>
  <c r="DI10" i="2"/>
  <c r="DI25" i="2"/>
  <c r="DI26" i="2"/>
  <c r="DI27" i="2"/>
  <c r="DI28" i="2"/>
  <c r="CF7" i="2"/>
  <c r="G11" i="7"/>
  <c r="CW29" i="2"/>
  <c r="DE27" i="2"/>
  <c r="DE33" i="2"/>
  <c r="DE23" i="2"/>
  <c r="DE25" i="2"/>
  <c r="DE28" i="2"/>
  <c r="DE36" i="2"/>
  <c r="DE26" i="2"/>
  <c r="DE10" i="2"/>
  <c r="DE35" i="2"/>
  <c r="DE30" i="2"/>
  <c r="DE24" i="2"/>
  <c r="DE31" i="2"/>
  <c r="DE29" i="2"/>
  <c r="DE32" i="2"/>
  <c r="CC7" i="2"/>
  <c r="CW32" i="2"/>
  <c r="CW19" i="2"/>
  <c r="CW15" i="2"/>
  <c r="CY23" i="2"/>
  <c r="CY29" i="2"/>
  <c r="CY33" i="2"/>
  <c r="CY32" i="2"/>
  <c r="CY30" i="2"/>
  <c r="CY24" i="2"/>
  <c r="CY35" i="2"/>
  <c r="CY10" i="2"/>
  <c r="CY28" i="2"/>
  <c r="CY31" i="2"/>
  <c r="CY26" i="2"/>
  <c r="CY27" i="2"/>
  <c r="CY36" i="2"/>
  <c r="CY25" i="2"/>
  <c r="CH7" i="2"/>
  <c r="CA7" i="2"/>
  <c r="CZ31" i="2"/>
  <c r="CZ27" i="2"/>
  <c r="CZ32" i="2"/>
  <c r="CZ10" i="2"/>
  <c r="CZ24" i="2"/>
  <c r="CZ36" i="2"/>
  <c r="CZ33" i="2"/>
  <c r="CZ25" i="2"/>
  <c r="CZ23" i="2"/>
  <c r="CZ28" i="2"/>
  <c r="CZ26" i="2"/>
  <c r="CZ35" i="2"/>
  <c r="CZ29" i="2"/>
  <c r="CZ30" i="2"/>
  <c r="CD7" i="2"/>
  <c r="CW30" i="2"/>
  <c r="DD35" i="2"/>
  <c r="DD10" i="2"/>
  <c r="DD30" i="2"/>
  <c r="DD24" i="2"/>
  <c r="DD26" i="2"/>
  <c r="DD27" i="2"/>
  <c r="DD32" i="2"/>
  <c r="DD28" i="2"/>
  <c r="DD25" i="2"/>
  <c r="DD31" i="2"/>
  <c r="DD23" i="2"/>
  <c r="DD36" i="2"/>
  <c r="DD33" i="2"/>
  <c r="DD29" i="2"/>
  <c r="CW28" i="2"/>
  <c r="CW13" i="2"/>
  <c r="CW16" i="2"/>
  <c r="DG33" i="2"/>
  <c r="DG23" i="2"/>
  <c r="DG31" i="2"/>
  <c r="DG24" i="2"/>
  <c r="DG29" i="2"/>
  <c r="DG27" i="2"/>
  <c r="DG28" i="2"/>
  <c r="DG35" i="2"/>
  <c r="DG36" i="2"/>
  <c r="DG32" i="2"/>
  <c r="DG26" i="2"/>
  <c r="DG30" i="2"/>
  <c r="DG25" i="2"/>
  <c r="DG10" i="2"/>
  <c r="DB33" i="2"/>
  <c r="DB19" i="2"/>
  <c r="DB29" i="2"/>
  <c r="DB28" i="2"/>
  <c r="DB10" i="2"/>
  <c r="DB15" i="2"/>
  <c r="DB32" i="2"/>
  <c r="DB24" i="2"/>
  <c r="DB30" i="2"/>
  <c r="DB17" i="2"/>
  <c r="DB13" i="2"/>
  <c r="DB23" i="2"/>
  <c r="DB16" i="2"/>
  <c r="DB31" i="2"/>
  <c r="DB27" i="2"/>
  <c r="DB18" i="2"/>
  <c r="DB14" i="2"/>
  <c r="DB36" i="2"/>
  <c r="DB26" i="2"/>
  <c r="DB35" i="2"/>
  <c r="DB25" i="2"/>
  <c r="BZ7" i="2"/>
  <c r="DA37" i="2" a="1"/>
  <c r="DC37" i="2" a="1"/>
  <c r="CZ37" i="2" a="1"/>
  <c r="DJ37" i="2" a="1"/>
  <c r="BS52" i="2" a="1"/>
  <c r="DD20" i="2" a="1"/>
  <c r="CW37" i="2" a="1"/>
  <c r="DI37" i="2" a="1"/>
  <c r="DD37" i="2" a="1"/>
  <c r="BN52" i="2" a="1"/>
  <c r="DB20" i="2" a="1"/>
  <c r="DG20" i="2" a="1"/>
  <c r="DH37" i="2" a="1"/>
  <c r="BP52" i="2" a="1"/>
  <c r="DE20" i="2" a="1"/>
  <c r="CZ20" i="2" a="1"/>
  <c r="BK52" i="2" a="1"/>
  <c r="DH20" i="2" a="1"/>
  <c r="DG37" i="2" a="1"/>
  <c r="DF37" i="2" a="1"/>
  <c r="BT52" i="2" a="1"/>
  <c r="DB37" i="2" a="1"/>
  <c r="DF20" i="2" a="1"/>
  <c r="DA20" i="2" a="1"/>
  <c r="DC20" i="2" a="1"/>
  <c r="BG52" i="2" a="1"/>
  <c r="CY37" i="2" a="1"/>
  <c r="BI52" i="2" a="1"/>
  <c r="DJ20" i="2" a="1"/>
  <c r="DI20" i="2" a="1"/>
  <c r="DE37" i="2" a="1"/>
  <c r="BQ52" i="2" a="1"/>
  <c r="BR52" i="2" a="1"/>
  <c r="BJ52" i="2" a="1"/>
  <c r="BL52" i="2" a="1"/>
  <c r="BO52" i="2" a="1"/>
  <c r="CW20" i="2" a="1"/>
  <c r="BM52" i="2" a="1"/>
  <c r="CY20" i="2" a="1"/>
  <c r="S52" i="2" a="1"/>
  <c r="CI44" i="2" l="1"/>
  <c r="CI43" i="2"/>
  <c r="CT43" i="2"/>
  <c r="CT44" i="2"/>
  <c r="CP43" i="2"/>
  <c r="CP44" i="2"/>
  <c r="CU43" i="2"/>
  <c r="CU44" i="2"/>
  <c r="CR43" i="2"/>
  <c r="CR44" i="2"/>
  <c r="CL43" i="2"/>
  <c r="CL44" i="2"/>
  <c r="CS43" i="2"/>
  <c r="CS44" i="2"/>
  <c r="CN43" i="2"/>
  <c r="CN44" i="2"/>
  <c r="CM44" i="2"/>
  <c r="CM43" i="2"/>
  <c r="CK43" i="2"/>
  <c r="CK44" i="2"/>
  <c r="CO43" i="2"/>
  <c r="CO44" i="2"/>
  <c r="CQ44" i="2"/>
  <c r="CQ43" i="2"/>
  <c r="CV43" i="2"/>
  <c r="CV44" i="2"/>
  <c r="DK34" i="2"/>
  <c r="DR34" i="2"/>
  <c r="DR11" i="2"/>
  <c r="DR12" i="2"/>
  <c r="DM34" i="2"/>
  <c r="DM11" i="2"/>
  <c r="DM12" i="2"/>
  <c r="DN34" i="2"/>
  <c r="DN12" i="2"/>
  <c r="DN11" i="2"/>
  <c r="DS34" i="2"/>
  <c r="DS11" i="2"/>
  <c r="DS12" i="2"/>
  <c r="DW34" i="2"/>
  <c r="DW11" i="2"/>
  <c r="DW12" i="2"/>
  <c r="DU34" i="2"/>
  <c r="DU11" i="2"/>
  <c r="DU12" i="2"/>
  <c r="DV34" i="2"/>
  <c r="DV11" i="2"/>
  <c r="DV12" i="2"/>
  <c r="DP34" i="2"/>
  <c r="DP12" i="2"/>
  <c r="DP11" i="2"/>
  <c r="DK12" i="2"/>
  <c r="DO34" i="2"/>
  <c r="DO12" i="2"/>
  <c r="DO11" i="2"/>
  <c r="DX34" i="2"/>
  <c r="DX12" i="2"/>
  <c r="DX11" i="2"/>
  <c r="DK11" i="2"/>
  <c r="DT34" i="2"/>
  <c r="DT11" i="2"/>
  <c r="DT12" i="2"/>
  <c r="DQ34" i="2"/>
  <c r="DQ12" i="2"/>
  <c r="DQ11" i="2"/>
  <c r="DK13" i="2"/>
  <c r="EH39" i="2"/>
  <c r="EG39" i="2"/>
  <c r="EF39" i="2"/>
  <c r="EE39" i="2"/>
  <c r="ED39" i="2"/>
  <c r="EC39" i="2"/>
  <c r="EB39" i="2"/>
  <c r="EA39" i="2"/>
  <c r="EL39" i="2"/>
  <c r="EK39" i="2"/>
  <c r="EJ39" i="2"/>
  <c r="EI39" i="2"/>
  <c r="S52" i="2"/>
  <c r="V43" i="2"/>
  <c r="DK16" i="2"/>
  <c r="DK17" i="2"/>
  <c r="DK19" i="2"/>
  <c r="DK14" i="2"/>
  <c r="BS52" i="2"/>
  <c r="CR7" i="2"/>
  <c r="BI52" i="2"/>
  <c r="DK18" i="2"/>
  <c r="BJ52" i="2"/>
  <c r="DK15" i="2"/>
  <c r="BK52" i="2"/>
  <c r="CP7" i="2"/>
  <c r="CI7" i="2"/>
  <c r="CQ7" i="2"/>
  <c r="CV7" i="2"/>
  <c r="BQ52" i="2"/>
  <c r="BM52" i="2"/>
  <c r="BO52" i="2"/>
  <c r="BP52" i="2"/>
  <c r="CM7" i="2"/>
  <c r="CL7" i="2"/>
  <c r="CK7" i="2"/>
  <c r="DB37" i="2"/>
  <c r="DB40" i="2" s="1"/>
  <c r="DB20" i="2"/>
  <c r="CW20" i="2"/>
  <c r="CY20" i="2"/>
  <c r="DG37" i="2"/>
  <c r="DG40" i="2" s="1"/>
  <c r="CZ20" i="2"/>
  <c r="DD20" i="2"/>
  <c r="DE20" i="2"/>
  <c r="DJ37" i="2"/>
  <c r="DJ40" i="2" s="1"/>
  <c r="DI20" i="2"/>
  <c r="DA37" i="2"/>
  <c r="DA40" i="2" s="1"/>
  <c r="DG20" i="2"/>
  <c r="DI37" i="2"/>
  <c r="DI40" i="2" s="1"/>
  <c r="DA20" i="2"/>
  <c r="DF37" i="2"/>
  <c r="DF40" i="2" s="1"/>
  <c r="CY37" i="2"/>
  <c r="CY40" i="2" s="1"/>
  <c r="DC37" i="2"/>
  <c r="DC40" i="2" s="1"/>
  <c r="BN52" i="2"/>
  <c r="DE37" i="2"/>
  <c r="DE40" i="2" s="1"/>
  <c r="DC20" i="2"/>
  <c r="DD37" i="2"/>
  <c r="DD40" i="2" s="1"/>
  <c r="BR52" i="2"/>
  <c r="DJ20" i="2"/>
  <c r="BG52" i="2"/>
  <c r="CZ37" i="2"/>
  <c r="CZ40" i="2" s="1"/>
  <c r="BL52" i="2"/>
  <c r="DH20" i="2"/>
  <c r="DF20" i="2"/>
  <c r="CW37" i="2"/>
  <c r="BT52" i="2"/>
  <c r="DH37" i="2"/>
  <c r="DH40" i="2" s="1"/>
  <c r="DK28" i="2"/>
  <c r="DK10" i="2"/>
  <c r="G12" i="7"/>
  <c r="DK35" i="2"/>
  <c r="DN28" i="2"/>
  <c r="DN33" i="2"/>
  <c r="DN36" i="2"/>
  <c r="DN10" i="2"/>
  <c r="DN23" i="2"/>
  <c r="DN35" i="2"/>
  <c r="DN32" i="2"/>
  <c r="DN31" i="2"/>
  <c r="DN30" i="2"/>
  <c r="DN29" i="2"/>
  <c r="DN26" i="2"/>
  <c r="DN27" i="2"/>
  <c r="DN24" i="2"/>
  <c r="DN25" i="2"/>
  <c r="DK24" i="2"/>
  <c r="DT32" i="2"/>
  <c r="DT14" i="2"/>
  <c r="DT19" i="2"/>
  <c r="DT29" i="2"/>
  <c r="DT28" i="2"/>
  <c r="DT15" i="2"/>
  <c r="DT17" i="2"/>
  <c r="DT10" i="2"/>
  <c r="DT27" i="2"/>
  <c r="DT36" i="2"/>
  <c r="DT18" i="2"/>
  <c r="DT13" i="2"/>
  <c r="DT23" i="2"/>
  <c r="DT16" i="2"/>
  <c r="DT25" i="2"/>
  <c r="DT35" i="2"/>
  <c r="DT30" i="2"/>
  <c r="DT31" i="2"/>
  <c r="DT24" i="2"/>
  <c r="DT26" i="2"/>
  <c r="DT33" i="2"/>
  <c r="DK30" i="2"/>
  <c r="DP10" i="2"/>
  <c r="DP18" i="2"/>
  <c r="DP14" i="2"/>
  <c r="DP24" i="2"/>
  <c r="DP25" i="2"/>
  <c r="DP27" i="2"/>
  <c r="DP30" i="2"/>
  <c r="DP33" i="2"/>
  <c r="DP35" i="2"/>
  <c r="DP29" i="2"/>
  <c r="DP19" i="2"/>
  <c r="DP23" i="2"/>
  <c r="DP28" i="2"/>
  <c r="DP15" i="2"/>
  <c r="DP31" i="2"/>
  <c r="DP16" i="2"/>
  <c r="DP32" i="2"/>
  <c r="DP17" i="2"/>
  <c r="DP13" i="2"/>
  <c r="DP36" i="2"/>
  <c r="DP26" i="2"/>
  <c r="DK32" i="2"/>
  <c r="DW26" i="2"/>
  <c r="DW31" i="2"/>
  <c r="DW23" i="2"/>
  <c r="DW25" i="2"/>
  <c r="DW32" i="2"/>
  <c r="DW27" i="2"/>
  <c r="DW10" i="2"/>
  <c r="DW28" i="2"/>
  <c r="DW35" i="2"/>
  <c r="DW33" i="2"/>
  <c r="DW30" i="2"/>
  <c r="DW24" i="2"/>
  <c r="DW36" i="2"/>
  <c r="DW29" i="2"/>
  <c r="DK33" i="2"/>
  <c r="DK29" i="2"/>
  <c r="DO33" i="2"/>
  <c r="DO25" i="2"/>
  <c r="DO23" i="2"/>
  <c r="DO28" i="2"/>
  <c r="DO32" i="2"/>
  <c r="DO26" i="2"/>
  <c r="DO36" i="2"/>
  <c r="DO30" i="2"/>
  <c r="DO10" i="2"/>
  <c r="DO24" i="2"/>
  <c r="DO29" i="2"/>
  <c r="DO31" i="2"/>
  <c r="DO35" i="2"/>
  <c r="DO27" i="2"/>
  <c r="DK23" i="2"/>
  <c r="DR32" i="2"/>
  <c r="DR30" i="2"/>
  <c r="DR29" i="2"/>
  <c r="DR36" i="2"/>
  <c r="DR10" i="2"/>
  <c r="DR35" i="2"/>
  <c r="DR23" i="2"/>
  <c r="DR24" i="2"/>
  <c r="DR27" i="2"/>
  <c r="DR33" i="2"/>
  <c r="DR28" i="2"/>
  <c r="DR25" i="2"/>
  <c r="DR26" i="2"/>
  <c r="DR31" i="2"/>
  <c r="DM29" i="2"/>
  <c r="DM27" i="2"/>
  <c r="DM26" i="2"/>
  <c r="DM31" i="2"/>
  <c r="DM36" i="2"/>
  <c r="DM23" i="2"/>
  <c r="DM10" i="2"/>
  <c r="DM33" i="2"/>
  <c r="DM35" i="2"/>
  <c r="DM24" i="2"/>
  <c r="DM32" i="2"/>
  <c r="DM28" i="2"/>
  <c r="DM25" i="2"/>
  <c r="DM30" i="2"/>
  <c r="CS7" i="2"/>
  <c r="DS26" i="2"/>
  <c r="DS32" i="2"/>
  <c r="DS36" i="2"/>
  <c r="DS25" i="2"/>
  <c r="DS24" i="2"/>
  <c r="DS35" i="2"/>
  <c r="DS33" i="2"/>
  <c r="DS31" i="2"/>
  <c r="DS27" i="2"/>
  <c r="DS30" i="2"/>
  <c r="DS23" i="2"/>
  <c r="DS28" i="2"/>
  <c r="DS29" i="2"/>
  <c r="DS10" i="2"/>
  <c r="DQ32" i="2"/>
  <c r="DQ35" i="2"/>
  <c r="DQ28" i="2"/>
  <c r="DQ10" i="2"/>
  <c r="DQ23" i="2"/>
  <c r="DQ27" i="2"/>
  <c r="DQ36" i="2"/>
  <c r="DQ24" i="2"/>
  <c r="DQ30" i="2"/>
  <c r="DQ31" i="2"/>
  <c r="DQ26" i="2"/>
  <c r="DQ25" i="2"/>
  <c r="DQ29" i="2"/>
  <c r="DQ33" i="2"/>
  <c r="CT7" i="2"/>
  <c r="DK25" i="2"/>
  <c r="EL42" i="2"/>
  <c r="EJ9" i="2"/>
  <c r="EC9" i="2"/>
  <c r="EE42" i="2"/>
  <c r="EF42" i="2"/>
  <c r="EJ22" i="2"/>
  <c r="EM42" i="2"/>
  <c r="EC22" i="2"/>
  <c r="EE22" i="2"/>
  <c r="EE9" i="2"/>
  <c r="EK9" i="2"/>
  <c r="EA42" i="2"/>
  <c r="EM22" i="2"/>
  <c r="EH22" i="2"/>
  <c r="EF22" i="2"/>
  <c r="EK22" i="2"/>
  <c r="EI22" i="2"/>
  <c r="EO5" i="2"/>
  <c r="EJ42" i="2"/>
  <c r="EL9" i="2"/>
  <c r="EF9" i="2"/>
  <c r="EI9" i="2"/>
  <c r="EK42" i="2"/>
  <c r="EB42" i="2"/>
  <c r="ED42" i="2"/>
  <c r="EH42" i="2"/>
  <c r="EG42" i="2"/>
  <c r="EG22" i="2"/>
  <c r="EA22" i="2"/>
  <c r="EC42" i="2"/>
  <c r="ED9" i="2"/>
  <c r="EH9" i="2"/>
  <c r="EB9" i="2"/>
  <c r="EL22" i="2"/>
  <c r="EG9" i="2"/>
  <c r="ED22" i="2"/>
  <c r="EI42" i="2"/>
  <c r="EB22" i="2"/>
  <c r="EA9" i="2"/>
  <c r="DU28" i="2"/>
  <c r="DU31" i="2"/>
  <c r="DU24" i="2"/>
  <c r="DU26" i="2"/>
  <c r="DU23" i="2"/>
  <c r="DU25" i="2"/>
  <c r="DU35" i="2"/>
  <c r="DU10" i="2"/>
  <c r="DU30" i="2"/>
  <c r="DU32" i="2"/>
  <c r="DU27" i="2"/>
  <c r="DU36" i="2"/>
  <c r="DU29" i="2"/>
  <c r="DU33" i="2"/>
  <c r="DK36" i="2"/>
  <c r="DK27" i="2"/>
  <c r="DV26" i="2"/>
  <c r="DV24" i="2"/>
  <c r="DV23" i="2"/>
  <c r="DV28" i="2"/>
  <c r="DV13" i="2"/>
  <c r="DV17" i="2"/>
  <c r="DV32" i="2"/>
  <c r="DV35" i="2"/>
  <c r="DV25" i="2"/>
  <c r="DV15" i="2"/>
  <c r="DV16" i="2"/>
  <c r="DV18" i="2"/>
  <c r="DV29" i="2"/>
  <c r="DV14" i="2"/>
  <c r="DV10" i="2"/>
  <c r="DV30" i="2"/>
  <c r="DV27" i="2"/>
  <c r="DV19" i="2"/>
  <c r="DV33" i="2"/>
  <c r="DV31" i="2"/>
  <c r="DV36" i="2"/>
  <c r="CO7" i="2"/>
  <c r="DK26" i="2"/>
  <c r="CN7" i="2"/>
  <c r="DK31" i="2"/>
  <c r="DX10" i="2"/>
  <c r="DX24" i="2"/>
  <c r="DX26" i="2"/>
  <c r="DX27" i="2"/>
  <c r="DX28" i="2"/>
  <c r="DX36" i="2"/>
  <c r="DX30" i="2"/>
  <c r="DX31" i="2"/>
  <c r="DX35" i="2"/>
  <c r="DX29" i="2"/>
  <c r="DX23" i="2"/>
  <c r="DX33" i="2"/>
  <c r="DX25" i="2"/>
  <c r="DX32" i="2"/>
  <c r="CU7" i="2"/>
  <c r="DU20" i="2" a="1"/>
  <c r="DK20" i="2" a="1"/>
  <c r="CC52" i="2" a="1"/>
  <c r="DS20" i="2" a="1"/>
  <c r="DT37" i="2" a="1"/>
  <c r="DW37" i="2" a="1"/>
  <c r="DM37" i="2" a="1"/>
  <c r="DV37" i="2" a="1"/>
  <c r="DW20" i="2" a="1"/>
  <c r="DT20" i="2" a="1"/>
  <c r="DP37" i="2" a="1"/>
  <c r="CB52" i="2" a="1"/>
  <c r="DX37" i="2" a="1"/>
  <c r="DR20" i="2" a="1"/>
  <c r="CH52" i="2" a="1"/>
  <c r="DQ37" i="2" a="1"/>
  <c r="CG52" i="2" a="1"/>
  <c r="DS37" i="2" a="1"/>
  <c r="CA52" i="2" a="1"/>
  <c r="DN37" i="2" a="1"/>
  <c r="DO37" i="2" a="1"/>
  <c r="DQ20" i="2" a="1"/>
  <c r="CF52" i="2" a="1"/>
  <c r="BU52" i="2" a="1"/>
  <c r="CE52" i="2" a="1"/>
  <c r="DR37" i="2" a="1"/>
  <c r="BY52" i="2" a="1"/>
  <c r="CD52" i="2" a="1"/>
  <c r="DU37" i="2" a="1"/>
  <c r="DX20" i="2" a="1"/>
  <c r="DV20" i="2" a="1"/>
  <c r="DP20" i="2" a="1"/>
  <c r="BZ52" i="2" a="1"/>
  <c r="DO20" i="2" a="1"/>
  <c r="BX52" i="2" a="1"/>
  <c r="BW52" i="2" a="1"/>
  <c r="DM20" i="2" a="1"/>
  <c r="DK37" i="2" a="1"/>
  <c r="DN20" i="2" a="1"/>
  <c r="CW44" i="2" l="1"/>
  <c r="CW43" i="2"/>
  <c r="DI43" i="2"/>
  <c r="DI44" i="2"/>
  <c r="DA43" i="2"/>
  <c r="DA44" i="2"/>
  <c r="CZ43" i="2"/>
  <c r="CZ44" i="2"/>
  <c r="DD43" i="2"/>
  <c r="DD44" i="2"/>
  <c r="DG43" i="2"/>
  <c r="DG44" i="2"/>
  <c r="DJ43" i="2"/>
  <c r="DJ44" i="2"/>
  <c r="DC43" i="2"/>
  <c r="DC44" i="2"/>
  <c r="DE43" i="2"/>
  <c r="DE44" i="2"/>
  <c r="DB43" i="2"/>
  <c r="DB44" i="2"/>
  <c r="CY43" i="2"/>
  <c r="CY44" i="2"/>
  <c r="DH43" i="2"/>
  <c r="DH44" i="2"/>
  <c r="DF43" i="2"/>
  <c r="DF44" i="2"/>
  <c r="DY34" i="2"/>
  <c r="EF34" i="2"/>
  <c r="EF13" i="2"/>
  <c r="EF14" i="2"/>
  <c r="EF18" i="2"/>
  <c r="EF17" i="2"/>
  <c r="EF16" i="2"/>
  <c r="EF11" i="2"/>
  <c r="EF19" i="2"/>
  <c r="EF12" i="2"/>
  <c r="EF15" i="2"/>
  <c r="EL34" i="2"/>
  <c r="EL11" i="2"/>
  <c r="EL15" i="2"/>
  <c r="EL19" i="2"/>
  <c r="EL13" i="2"/>
  <c r="EL17" i="2"/>
  <c r="EL14" i="2"/>
  <c r="EL16" i="2"/>
  <c r="EL18" i="2"/>
  <c r="EL12" i="2"/>
  <c r="EH34" i="2"/>
  <c r="EH14" i="2"/>
  <c r="EH18" i="2"/>
  <c r="EH15" i="2"/>
  <c r="EH11" i="2"/>
  <c r="EH12" i="2"/>
  <c r="EH19" i="2"/>
  <c r="EH13" i="2"/>
  <c r="EH16" i="2"/>
  <c r="EH17" i="2"/>
  <c r="ED34" i="2"/>
  <c r="ED13" i="2"/>
  <c r="ED17" i="2"/>
  <c r="ED12" i="2"/>
  <c r="ED16" i="2"/>
  <c r="ED18" i="2"/>
  <c r="ED19" i="2"/>
  <c r="ED11" i="2"/>
  <c r="ED14" i="2"/>
  <c r="ED15" i="2"/>
  <c r="EI34" i="2"/>
  <c r="EI11" i="2"/>
  <c r="EI15" i="2"/>
  <c r="EI19" i="2"/>
  <c r="EI14" i="2"/>
  <c r="EI18" i="2"/>
  <c r="EI13" i="2"/>
  <c r="EI16" i="2"/>
  <c r="EI12" i="2"/>
  <c r="EI17" i="2"/>
  <c r="EJ34" i="2"/>
  <c r="EJ14" i="2"/>
  <c r="EJ18" i="2"/>
  <c r="EJ11" i="2"/>
  <c r="EJ15" i="2"/>
  <c r="EJ19" i="2"/>
  <c r="EJ13" i="2"/>
  <c r="EJ16" i="2"/>
  <c r="EJ12" i="2"/>
  <c r="EJ17" i="2"/>
  <c r="EK34" i="2"/>
  <c r="EK11" i="2"/>
  <c r="EK15" i="2"/>
  <c r="EK19" i="2"/>
  <c r="EK17" i="2"/>
  <c r="EK18" i="2"/>
  <c r="EK13" i="2"/>
  <c r="EK14" i="2"/>
  <c r="EK16" i="2"/>
  <c r="EK12" i="2"/>
  <c r="DY11" i="2"/>
  <c r="DY12" i="2"/>
  <c r="EE34" i="2"/>
  <c r="EE14" i="2"/>
  <c r="EE18" i="2"/>
  <c r="EE13" i="2"/>
  <c r="EE17" i="2"/>
  <c r="EE11" i="2"/>
  <c r="EE12" i="2"/>
  <c r="EE16" i="2"/>
  <c r="EE19" i="2"/>
  <c r="EE15" i="2"/>
  <c r="EG34" i="2"/>
  <c r="EG14" i="2"/>
  <c r="EG18" i="2"/>
  <c r="EG15" i="2"/>
  <c r="EG11" i="2"/>
  <c r="EG16" i="2"/>
  <c r="EG12" i="2"/>
  <c r="EG17" i="2"/>
  <c r="EG19" i="2"/>
  <c r="EG13" i="2"/>
  <c r="EC34" i="2"/>
  <c r="EC13" i="2"/>
  <c r="EC17" i="2"/>
  <c r="EC12" i="2"/>
  <c r="EC18" i="2"/>
  <c r="EC14" i="2"/>
  <c r="EC16" i="2"/>
  <c r="EC19" i="2"/>
  <c r="EC15" i="2"/>
  <c r="EC11" i="2"/>
  <c r="EB34" i="2"/>
  <c r="EB12" i="2"/>
  <c r="EB16" i="2"/>
  <c r="EB13" i="2"/>
  <c r="EB17" i="2"/>
  <c r="EB18" i="2"/>
  <c r="EB14" i="2"/>
  <c r="EB19" i="2"/>
  <c r="EB15" i="2"/>
  <c r="EB11" i="2"/>
  <c r="EA34" i="2"/>
  <c r="EA13" i="2"/>
  <c r="EA17" i="2"/>
  <c r="EA12" i="2"/>
  <c r="EA16" i="2"/>
  <c r="EA18" i="2"/>
  <c r="EA14" i="2"/>
  <c r="EA19" i="2"/>
  <c r="EA15" i="2"/>
  <c r="EA11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X43" i="2"/>
  <c r="BW52" i="2"/>
  <c r="CG52" i="2"/>
  <c r="DD7" i="2"/>
  <c r="DA7" i="2"/>
  <c r="BY52" i="2"/>
  <c r="DC7" i="2"/>
  <c r="DB7" i="2"/>
  <c r="CE52" i="2"/>
  <c r="DG7" i="2"/>
  <c r="DE7" i="2"/>
  <c r="BU52" i="2"/>
  <c r="DR37" i="2"/>
  <c r="DR40" i="2" s="1"/>
  <c r="DP20" i="2"/>
  <c r="DT20" i="2"/>
  <c r="DV20" i="2"/>
  <c r="CC52" i="2"/>
  <c r="DM20" i="2"/>
  <c r="DR20" i="2"/>
  <c r="DM37" i="2"/>
  <c r="DM40" i="2" s="1"/>
  <c r="DO37" i="2"/>
  <c r="DO40" i="2" s="1"/>
  <c r="DW20" i="2"/>
  <c r="DN37" i="2"/>
  <c r="DN40" i="2" s="1"/>
  <c r="DQ37" i="2"/>
  <c r="DQ40" i="2" s="1"/>
  <c r="DP37" i="2"/>
  <c r="DP40" i="2" s="1"/>
  <c r="DN20" i="2"/>
  <c r="DQ20" i="2"/>
  <c r="DX20" i="2"/>
  <c r="DK37" i="2"/>
  <c r="DW37" i="2"/>
  <c r="DW40" i="2" s="1"/>
  <c r="CA52" i="2"/>
  <c r="BZ52" i="2"/>
  <c r="DX37" i="2"/>
  <c r="DX40" i="2" s="1"/>
  <c r="CB52" i="2"/>
  <c r="CD52" i="2"/>
  <c r="DT37" i="2"/>
  <c r="DT40" i="2" s="1"/>
  <c r="DU20" i="2"/>
  <c r="CH52" i="2"/>
  <c r="BX52" i="2"/>
  <c r="DS20" i="2"/>
  <c r="DV37" i="2"/>
  <c r="DV40" i="2" s="1"/>
  <c r="DO20" i="2"/>
  <c r="DK20" i="2"/>
  <c r="DU37" i="2"/>
  <c r="DU40" i="2" s="1"/>
  <c r="CF52" i="2"/>
  <c r="DS37" i="2"/>
  <c r="DS40" i="2" s="1"/>
  <c r="EE31" i="2"/>
  <c r="EE27" i="2"/>
  <c r="EE28" i="2"/>
  <c r="EE26" i="2"/>
  <c r="EE23" i="2"/>
  <c r="EE33" i="2"/>
  <c r="EE10" i="2"/>
  <c r="EE32" i="2"/>
  <c r="EE30" i="2"/>
  <c r="EE36" i="2"/>
  <c r="EE25" i="2"/>
  <c r="EE24" i="2"/>
  <c r="EE29" i="2"/>
  <c r="EE35" i="2"/>
  <c r="DY35" i="2"/>
  <c r="DY33" i="2"/>
  <c r="DY16" i="2"/>
  <c r="DY10" i="2"/>
  <c r="EA30" i="2"/>
  <c r="EA26" i="2"/>
  <c r="EA25" i="2"/>
  <c r="EA24" i="2"/>
  <c r="EA28" i="2"/>
  <c r="EA36" i="2"/>
  <c r="EA31" i="2"/>
  <c r="EA29" i="2"/>
  <c r="EA10" i="2"/>
  <c r="EA23" i="2"/>
  <c r="EA27" i="2"/>
  <c r="EA32" i="2"/>
  <c r="EA33" i="2"/>
  <c r="EA35" i="2"/>
  <c r="DY23" i="2"/>
  <c r="DY15" i="2"/>
  <c r="EI10" i="2"/>
  <c r="EI36" i="2"/>
  <c r="EI33" i="2"/>
  <c r="EI28" i="2"/>
  <c r="EI35" i="2"/>
  <c r="EI29" i="2"/>
  <c r="EI27" i="2"/>
  <c r="EI24" i="2"/>
  <c r="EI32" i="2"/>
  <c r="EI25" i="2"/>
  <c r="EI26" i="2"/>
  <c r="EI23" i="2"/>
  <c r="EI31" i="2"/>
  <c r="EI30" i="2"/>
  <c r="DY36" i="2"/>
  <c r="DF7" i="2"/>
  <c r="EF33" i="2"/>
  <c r="EF36" i="2"/>
  <c r="EF24" i="2"/>
  <c r="EF27" i="2"/>
  <c r="EF32" i="2"/>
  <c r="EF31" i="2"/>
  <c r="EF26" i="2"/>
  <c r="EF29" i="2"/>
  <c r="EF25" i="2"/>
  <c r="EF10" i="2"/>
  <c r="EF35" i="2"/>
  <c r="EF30" i="2"/>
  <c r="EF23" i="2"/>
  <c r="EF28" i="2"/>
  <c r="DY31" i="2"/>
  <c r="DH7" i="2"/>
  <c r="EL33" i="2"/>
  <c r="EL35" i="2"/>
  <c r="EL36" i="2"/>
  <c r="EL10" i="2"/>
  <c r="EL29" i="2"/>
  <c r="EL31" i="2"/>
  <c r="EL30" i="2"/>
  <c r="EL26" i="2"/>
  <c r="EL25" i="2"/>
  <c r="EL23" i="2"/>
  <c r="EL27" i="2"/>
  <c r="EL28" i="2"/>
  <c r="EL32" i="2"/>
  <c r="EL24" i="2"/>
  <c r="DY26" i="2"/>
  <c r="DY19" i="2"/>
  <c r="DI7" i="2"/>
  <c r="G13" i="7"/>
  <c r="EG26" i="2"/>
  <c r="EG33" i="2"/>
  <c r="EG24" i="2"/>
  <c r="EG35" i="2"/>
  <c r="EG10" i="2"/>
  <c r="EG23" i="2"/>
  <c r="EG31" i="2"/>
  <c r="EG25" i="2"/>
  <c r="EG28" i="2"/>
  <c r="EG27" i="2"/>
  <c r="EG30" i="2"/>
  <c r="EG36" i="2"/>
  <c r="EG32" i="2"/>
  <c r="EG29" i="2"/>
  <c r="EC30" i="2"/>
  <c r="EC29" i="2"/>
  <c r="EC31" i="2"/>
  <c r="EC27" i="2"/>
  <c r="EC23" i="2"/>
  <c r="EC25" i="2"/>
  <c r="EC32" i="2"/>
  <c r="EC36" i="2"/>
  <c r="EC26" i="2"/>
  <c r="EC24" i="2"/>
  <c r="EC28" i="2"/>
  <c r="EC33" i="2"/>
  <c r="EC35" i="2"/>
  <c r="EC10" i="2"/>
  <c r="DY27" i="2"/>
  <c r="EX42" i="2"/>
  <c r="ES42" i="2"/>
  <c r="ER22" i="2"/>
  <c r="EQ22" i="2"/>
  <c r="EU42" i="2"/>
  <c r="ER9" i="2"/>
  <c r="EZ22" i="2"/>
  <c r="EV42" i="2"/>
  <c r="EO42" i="2"/>
  <c r="EY9" i="2"/>
  <c r="EU22" i="2"/>
  <c r="EQ42" i="2"/>
  <c r="ET42" i="2"/>
  <c r="ER42" i="2"/>
  <c r="ES9" i="2"/>
  <c r="EO22" i="2"/>
  <c r="EW42" i="2"/>
  <c r="FA42" i="2"/>
  <c r="ET22" i="2"/>
  <c r="EW22" i="2"/>
  <c r="EX22" i="2"/>
  <c r="EO9" i="2"/>
  <c r="ES22" i="2"/>
  <c r="EW9" i="2"/>
  <c r="EY22" i="2"/>
  <c r="ET9" i="2"/>
  <c r="EV22" i="2"/>
  <c r="EU9" i="2"/>
  <c r="EP22" i="2"/>
  <c r="EQ9" i="2"/>
  <c r="EZ9" i="2"/>
  <c r="EZ42" i="2"/>
  <c r="FA22" i="2"/>
  <c r="EV9" i="2"/>
  <c r="EP9" i="2"/>
  <c r="EP42" i="2"/>
  <c r="EX9" i="2"/>
  <c r="EY42" i="2"/>
  <c r="EJ31" i="2"/>
  <c r="EJ35" i="2"/>
  <c r="EJ25" i="2"/>
  <c r="EJ30" i="2"/>
  <c r="EJ26" i="2"/>
  <c r="EJ29" i="2"/>
  <c r="EJ33" i="2"/>
  <c r="EJ32" i="2"/>
  <c r="EJ24" i="2"/>
  <c r="EJ23" i="2"/>
  <c r="EJ10" i="2"/>
  <c r="EJ27" i="2"/>
  <c r="EJ36" i="2"/>
  <c r="EJ28" i="2"/>
  <c r="DY29" i="2"/>
  <c r="EB24" i="2"/>
  <c r="EB10" i="2"/>
  <c r="EB28" i="2"/>
  <c r="EB26" i="2"/>
  <c r="EB35" i="2"/>
  <c r="EB23" i="2"/>
  <c r="EB25" i="2"/>
  <c r="EB33" i="2"/>
  <c r="EB27" i="2"/>
  <c r="EB29" i="2"/>
  <c r="EB32" i="2"/>
  <c r="EB31" i="2"/>
  <c r="EB36" i="2"/>
  <c r="EB30" i="2"/>
  <c r="DJ7" i="2"/>
  <c r="EH26" i="2"/>
  <c r="EH25" i="2"/>
  <c r="EH35" i="2"/>
  <c r="EH10" i="2"/>
  <c r="EH28" i="2"/>
  <c r="EH23" i="2"/>
  <c r="EH32" i="2"/>
  <c r="EH36" i="2"/>
  <c r="EH27" i="2"/>
  <c r="EH33" i="2"/>
  <c r="EH30" i="2"/>
  <c r="EH31" i="2"/>
  <c r="EH24" i="2"/>
  <c r="EH29" i="2"/>
  <c r="CZ7" i="2"/>
  <c r="ED31" i="2"/>
  <c r="ED25" i="2"/>
  <c r="ED23" i="2"/>
  <c r="ED36" i="2"/>
  <c r="ED10" i="2"/>
  <c r="ED27" i="2"/>
  <c r="ED28" i="2"/>
  <c r="ED29" i="2"/>
  <c r="ED24" i="2"/>
  <c r="ED35" i="2"/>
  <c r="ED26" i="2"/>
  <c r="ED33" i="2"/>
  <c r="ED30" i="2"/>
  <c r="ED32" i="2"/>
  <c r="DY30" i="2"/>
  <c r="DY25" i="2"/>
  <c r="CY7" i="2"/>
  <c r="DY28" i="2"/>
  <c r="CW7" i="2"/>
  <c r="DY32" i="2"/>
  <c r="DY13" i="2"/>
  <c r="DY14" i="2"/>
  <c r="EK35" i="2"/>
  <c r="EK27" i="2"/>
  <c r="EK31" i="2"/>
  <c r="EK24" i="2"/>
  <c r="EK10" i="2"/>
  <c r="EK25" i="2"/>
  <c r="EK36" i="2"/>
  <c r="EK29" i="2"/>
  <c r="EK28" i="2"/>
  <c r="EK26" i="2"/>
  <c r="EK32" i="2"/>
  <c r="EK30" i="2"/>
  <c r="EK23" i="2"/>
  <c r="EK33" i="2"/>
  <c r="DY24" i="2"/>
  <c r="DY17" i="2"/>
  <c r="DY18" i="2"/>
  <c r="EA37" i="2" a="1"/>
  <c r="EF20" i="2" a="1"/>
  <c r="EF37" i="2" a="1"/>
  <c r="CU52" i="2" a="1"/>
  <c r="CM52" i="2" a="1"/>
  <c r="EC20" i="2" a="1"/>
  <c r="EL20" i="2" a="1"/>
  <c r="EH37" i="2" a="1"/>
  <c r="EB20" i="2" a="1"/>
  <c r="DY20" i="2" a="1"/>
  <c r="U52" i="2" a="1"/>
  <c r="CR52" i="2" a="1"/>
  <c r="EH20" i="2" a="1"/>
  <c r="EB37" i="2" a="1"/>
  <c r="EL37" i="2" a="1"/>
  <c r="EE37" i="2" a="1"/>
  <c r="EK20" i="2" a="1"/>
  <c r="CV52" i="2" a="1"/>
  <c r="ED20" i="2" a="1"/>
  <c r="CS52" i="2" a="1"/>
  <c r="DY37" i="2" a="1"/>
  <c r="EG37" i="2" a="1"/>
  <c r="EC37" i="2" a="1"/>
  <c r="CK52" i="2" a="1"/>
  <c r="CT52" i="2" a="1"/>
  <c r="V52" i="2" a="1"/>
  <c r="EI37" i="2" a="1"/>
  <c r="ED37" i="2" a="1"/>
  <c r="CL52" i="2" a="1"/>
  <c r="EJ20" i="2" a="1"/>
  <c r="EI20" i="2" a="1"/>
  <c r="EJ37" i="2" a="1"/>
  <c r="EG20" i="2" a="1"/>
  <c r="CQ52" i="2" a="1"/>
  <c r="CI52" i="2" a="1"/>
  <c r="EE20" i="2" a="1"/>
  <c r="CO52" i="2" a="1"/>
  <c r="CN52" i="2" a="1"/>
  <c r="EK37" i="2" a="1"/>
  <c r="EA20" i="2" a="1"/>
  <c r="CP52" i="2" a="1"/>
  <c r="DK44" i="2" l="1"/>
  <c r="DK43" i="2"/>
  <c r="DU43" i="2"/>
  <c r="DU44" i="2"/>
  <c r="DX43" i="2"/>
  <c r="DX44" i="2"/>
  <c r="DS44" i="2"/>
  <c r="DS43" i="2"/>
  <c r="DP44" i="2"/>
  <c r="DP43" i="2"/>
  <c r="DW44" i="2"/>
  <c r="DW43" i="2"/>
  <c r="DQ43" i="2"/>
  <c r="DQ44" i="2"/>
  <c r="DV43" i="2"/>
  <c r="DV44" i="2"/>
  <c r="DO43" i="2"/>
  <c r="DO44" i="2"/>
  <c r="DR43" i="2"/>
  <c r="DR44" i="2"/>
  <c r="DN44" i="2"/>
  <c r="DN43" i="2"/>
  <c r="DT43" i="2"/>
  <c r="DT44" i="2"/>
  <c r="DM43" i="2"/>
  <c r="DM44" i="2"/>
  <c r="EM13" i="2"/>
  <c r="EZ34" i="2"/>
  <c r="EZ11" i="2"/>
  <c r="EZ12" i="2"/>
  <c r="ES34" i="2"/>
  <c r="ES12" i="2"/>
  <c r="ES11" i="2"/>
  <c r="EM11" i="2"/>
  <c r="EQ34" i="2"/>
  <c r="EQ11" i="2"/>
  <c r="EQ12" i="2"/>
  <c r="EX34" i="2"/>
  <c r="EX12" i="2"/>
  <c r="EX11" i="2"/>
  <c r="EM19" i="2"/>
  <c r="EM12" i="2"/>
  <c r="EU34" i="2"/>
  <c r="EU12" i="2"/>
  <c r="EU11" i="2"/>
  <c r="EM14" i="2"/>
  <c r="EV34" i="2"/>
  <c r="EV12" i="2"/>
  <c r="EV11" i="2"/>
  <c r="EM16" i="2"/>
  <c r="ET34" i="2"/>
  <c r="ET11" i="2"/>
  <c r="ET12" i="2"/>
  <c r="EW34" i="2"/>
  <c r="EW12" i="2"/>
  <c r="EW11" i="2"/>
  <c r="EM17" i="2"/>
  <c r="EM15" i="2"/>
  <c r="EY34" i="2"/>
  <c r="EY11" i="2"/>
  <c r="EY12" i="2"/>
  <c r="EP34" i="2"/>
  <c r="EP11" i="2"/>
  <c r="EP12" i="2"/>
  <c r="EO34" i="2"/>
  <c r="EO11" i="2"/>
  <c r="EO12" i="2"/>
  <c r="ER34" i="2"/>
  <c r="ER11" i="2"/>
  <c r="ER12" i="2"/>
  <c r="EM34" i="2"/>
  <c r="EM18" i="2"/>
  <c r="U52" i="2"/>
  <c r="V52" i="2"/>
  <c r="CR52" i="2"/>
  <c r="CQ52" i="2"/>
  <c r="CP52" i="2"/>
  <c r="CV52" i="2"/>
  <c r="DQ7" i="2"/>
  <c r="DO7" i="2"/>
  <c r="DN7" i="2"/>
  <c r="CK52" i="2"/>
  <c r="CM52" i="2"/>
  <c r="CL52" i="2"/>
  <c r="DK7" i="2"/>
  <c r="DU7" i="2"/>
  <c r="DS7" i="2"/>
  <c r="DR7" i="2"/>
  <c r="DW7" i="2"/>
  <c r="EJ20" i="2"/>
  <c r="EG37" i="2"/>
  <c r="EG40" i="2" s="1"/>
  <c r="EL37" i="2"/>
  <c r="EL40" i="2" s="1"/>
  <c r="EF20" i="2"/>
  <c r="EA37" i="2"/>
  <c r="EA40" i="2" s="1"/>
  <c r="CS52" i="2"/>
  <c r="EG20" i="2"/>
  <c r="EA20" i="2"/>
  <c r="EB37" i="2"/>
  <c r="EB40" i="2" s="1"/>
  <c r="EJ37" i="2"/>
  <c r="EJ40" i="2" s="1"/>
  <c r="EH20" i="2"/>
  <c r="EC37" i="2"/>
  <c r="EC40" i="2" s="1"/>
  <c r="EE20" i="2"/>
  <c r="EB20" i="2"/>
  <c r="EL20" i="2"/>
  <c r="CI52" i="2"/>
  <c r="CU52" i="2"/>
  <c r="EE37" i="2"/>
  <c r="EE40" i="2" s="1"/>
  <c r="ED20" i="2"/>
  <c r="CO52" i="2"/>
  <c r="CN52" i="2"/>
  <c r="CT52" i="2"/>
  <c r="ED37" i="2"/>
  <c r="ED40" i="2" s="1"/>
  <c r="EI20" i="2"/>
  <c r="EK20" i="2"/>
  <c r="EC20" i="2"/>
  <c r="DY20" i="2"/>
  <c r="EK37" i="2"/>
  <c r="EK40" i="2" s="1"/>
  <c r="DY37" i="2"/>
  <c r="EH37" i="2"/>
  <c r="EH40" i="2" s="1"/>
  <c r="EF37" i="2"/>
  <c r="EF40" i="2" s="1"/>
  <c r="EI37" i="2"/>
  <c r="EI40" i="2" s="1"/>
  <c r="EW26" i="2"/>
  <c r="EW30" i="2"/>
  <c r="EW28" i="2"/>
  <c r="EW32" i="2"/>
  <c r="EW27" i="2"/>
  <c r="EW33" i="2"/>
  <c r="EW10" i="2"/>
  <c r="EW36" i="2"/>
  <c r="EW24" i="2"/>
  <c r="EW31" i="2"/>
  <c r="EW35" i="2"/>
  <c r="EW25" i="2"/>
  <c r="EW29" i="2"/>
  <c r="EW23" i="2"/>
  <c r="EM27" i="2"/>
  <c r="EM23" i="2"/>
  <c r="EO24" i="2"/>
  <c r="EO35" i="2"/>
  <c r="EO26" i="2"/>
  <c r="EO29" i="2"/>
  <c r="EO36" i="2"/>
  <c r="EO28" i="2"/>
  <c r="EO27" i="2"/>
  <c r="EO10" i="2"/>
  <c r="EO33" i="2"/>
  <c r="EO32" i="2"/>
  <c r="EO23" i="2"/>
  <c r="EO31" i="2"/>
  <c r="EO25" i="2"/>
  <c r="EO30" i="2"/>
  <c r="ER30" i="2"/>
  <c r="ER28" i="2"/>
  <c r="ER25" i="2"/>
  <c r="ER15" i="2"/>
  <c r="ER36" i="2"/>
  <c r="ER32" i="2"/>
  <c r="ER19" i="2"/>
  <c r="ER27" i="2"/>
  <c r="ER31" i="2"/>
  <c r="ER23" i="2"/>
  <c r="ER13" i="2"/>
  <c r="ER17" i="2"/>
  <c r="ER14" i="2"/>
  <c r="ER16" i="2"/>
  <c r="ER29" i="2"/>
  <c r="ER33" i="2"/>
  <c r="ER35" i="2"/>
  <c r="ER26" i="2"/>
  <c r="ER10" i="2"/>
  <c r="ER18" i="2"/>
  <c r="ER24" i="2"/>
  <c r="EM10" i="2"/>
  <c r="EX13" i="2"/>
  <c r="EX30" i="2"/>
  <c r="EX32" i="2"/>
  <c r="EX29" i="2"/>
  <c r="EX15" i="2"/>
  <c r="EX18" i="2"/>
  <c r="EX14" i="2"/>
  <c r="EX25" i="2"/>
  <c r="EX10" i="2"/>
  <c r="EX23" i="2"/>
  <c r="EX36" i="2"/>
  <c r="EX17" i="2"/>
  <c r="EX33" i="2"/>
  <c r="EX31" i="2"/>
  <c r="EX28" i="2"/>
  <c r="EX35" i="2"/>
  <c r="EX24" i="2"/>
  <c r="EX26" i="2"/>
  <c r="EX16" i="2"/>
  <c r="EX19" i="2"/>
  <c r="EX27" i="2"/>
  <c r="EM29" i="2"/>
  <c r="EM31" i="2"/>
  <c r="EP30" i="2"/>
  <c r="EP33" i="2"/>
  <c r="EP35" i="2"/>
  <c r="EP28" i="2"/>
  <c r="EP23" i="2"/>
  <c r="EP25" i="2"/>
  <c r="EP36" i="2"/>
  <c r="EP24" i="2"/>
  <c r="EP32" i="2"/>
  <c r="EP29" i="2"/>
  <c r="EP27" i="2"/>
  <c r="EP26" i="2"/>
  <c r="EP31" i="2"/>
  <c r="EP10" i="2"/>
  <c r="EM36" i="2"/>
  <c r="G14" i="7"/>
  <c r="EV30" i="2"/>
  <c r="EV26" i="2"/>
  <c r="EV25" i="2"/>
  <c r="EV31" i="2"/>
  <c r="EV36" i="2"/>
  <c r="EV15" i="2"/>
  <c r="EV24" i="2"/>
  <c r="EV29" i="2"/>
  <c r="EV13" i="2"/>
  <c r="EV10" i="2"/>
  <c r="EV14" i="2"/>
  <c r="EV32" i="2"/>
  <c r="EV18" i="2"/>
  <c r="EV17" i="2"/>
  <c r="EV19" i="2"/>
  <c r="EV27" i="2"/>
  <c r="EV16" i="2"/>
  <c r="EV33" i="2"/>
  <c r="EV23" i="2"/>
  <c r="EV35" i="2"/>
  <c r="EV28" i="2"/>
  <c r="EM28" i="2"/>
  <c r="EM24" i="2"/>
  <c r="EM25" i="2"/>
  <c r="EZ24" i="2"/>
  <c r="EZ30" i="2"/>
  <c r="EZ28" i="2"/>
  <c r="EZ23" i="2"/>
  <c r="EZ29" i="2"/>
  <c r="EZ36" i="2"/>
  <c r="EZ32" i="2"/>
  <c r="EZ31" i="2"/>
  <c r="EZ27" i="2"/>
  <c r="EZ10" i="2"/>
  <c r="EZ33" i="2"/>
  <c r="EZ35" i="2"/>
  <c r="EZ26" i="2"/>
  <c r="EZ25" i="2"/>
  <c r="ES35" i="2"/>
  <c r="ES27" i="2"/>
  <c r="ES36" i="2"/>
  <c r="ES28" i="2"/>
  <c r="ES30" i="2"/>
  <c r="ES29" i="2"/>
  <c r="ES32" i="2"/>
  <c r="ES26" i="2"/>
  <c r="ES25" i="2"/>
  <c r="ES31" i="2"/>
  <c r="ES24" i="2"/>
  <c r="ES33" i="2"/>
  <c r="ES23" i="2"/>
  <c r="ES10" i="2"/>
  <c r="EM26" i="2"/>
  <c r="DM7" i="2"/>
  <c r="EQ32" i="2"/>
  <c r="EQ24" i="2"/>
  <c r="EQ30" i="2"/>
  <c r="EQ28" i="2"/>
  <c r="EQ35" i="2"/>
  <c r="EQ25" i="2"/>
  <c r="EQ31" i="2"/>
  <c r="EQ33" i="2"/>
  <c r="EQ26" i="2"/>
  <c r="EQ36" i="2"/>
  <c r="EQ27" i="2"/>
  <c r="EQ29" i="2"/>
  <c r="EQ23" i="2"/>
  <c r="EQ10" i="2"/>
  <c r="EM30" i="2"/>
  <c r="DV7" i="2"/>
  <c r="EU26" i="2"/>
  <c r="EU29" i="2"/>
  <c r="EU10" i="2"/>
  <c r="EU24" i="2"/>
  <c r="EU28" i="2"/>
  <c r="EU35" i="2"/>
  <c r="EU33" i="2"/>
  <c r="EU31" i="2"/>
  <c r="EU23" i="2"/>
  <c r="EU32" i="2"/>
  <c r="EU25" i="2"/>
  <c r="EU30" i="2"/>
  <c r="EU36" i="2"/>
  <c r="EU27" i="2"/>
  <c r="DT7" i="2"/>
  <c r="EM35" i="2"/>
  <c r="DP7" i="2"/>
  <c r="ET23" i="2"/>
  <c r="ET30" i="2"/>
  <c r="ET10" i="2"/>
  <c r="ET31" i="2"/>
  <c r="ET24" i="2"/>
  <c r="ET35" i="2"/>
  <c r="ET33" i="2"/>
  <c r="ET26" i="2"/>
  <c r="ET29" i="2"/>
  <c r="ET32" i="2"/>
  <c r="ET27" i="2"/>
  <c r="ET36" i="2"/>
  <c r="ET28" i="2"/>
  <c r="ET25" i="2"/>
  <c r="EY35" i="2"/>
  <c r="EY30" i="2"/>
  <c r="EY25" i="2"/>
  <c r="EY29" i="2"/>
  <c r="EY27" i="2"/>
  <c r="EY36" i="2"/>
  <c r="EY24" i="2"/>
  <c r="EY26" i="2"/>
  <c r="EY23" i="2"/>
  <c r="EY32" i="2"/>
  <c r="EY31" i="2"/>
  <c r="EY33" i="2"/>
  <c r="EY28" i="2"/>
  <c r="EY10" i="2"/>
  <c r="EM33" i="2"/>
  <c r="EM32" i="2"/>
  <c r="DX7" i="2"/>
  <c r="EP20" i="2" a="1"/>
  <c r="CW52" i="2" a="1"/>
  <c r="ET37" i="2" a="1"/>
  <c r="DH52" i="2" a="1"/>
  <c r="DB52" i="2" a="1"/>
  <c r="EO37" i="2" a="1"/>
  <c r="ER37" i="2" a="1"/>
  <c r="DA52" i="2" a="1"/>
  <c r="CZ52" i="2" a="1"/>
  <c r="DF52" i="2" a="1"/>
  <c r="EZ20" i="2" a="1"/>
  <c r="W52" i="2" a="1"/>
  <c r="ER20" i="2" a="1"/>
  <c r="EU37" i="2" a="1"/>
  <c r="EP37" i="2" a="1"/>
  <c r="EM37" i="2" a="1"/>
  <c r="DE52" i="2" a="1"/>
  <c r="DI52" i="2" a="1"/>
  <c r="EQ20" i="2" a="1"/>
  <c r="EY20" i="2" a="1"/>
  <c r="EV20" i="2" a="1"/>
  <c r="EQ37" i="2" a="1"/>
  <c r="EW20" i="2" a="1"/>
  <c r="DJ52" i="2" a="1"/>
  <c r="EY37" i="2" a="1"/>
  <c r="EV37" i="2" a="1"/>
  <c r="EM20" i="2" a="1"/>
  <c r="ES37" i="2" a="1"/>
  <c r="DC52" i="2" a="1"/>
  <c r="DD52" i="2" a="1"/>
  <c r="DK52" i="2" a="1"/>
  <c r="ES20" i="2" a="1"/>
  <c r="DG52" i="2" a="1"/>
  <c r="EW37" i="2" a="1"/>
  <c r="EX20" i="2" a="1"/>
  <c r="CY52" i="2" a="1"/>
  <c r="EU20" i="2" a="1"/>
  <c r="EZ37" i="2" a="1"/>
  <c r="EX37" i="2" a="1"/>
  <c r="ET20" i="2" a="1"/>
  <c r="EO20" i="2" a="1"/>
  <c r="DK52" i="2" l="1"/>
  <c r="DY44" i="2"/>
  <c r="DY43" i="2"/>
  <c r="EA43" i="2"/>
  <c r="EA44" i="2"/>
  <c r="EB43" i="2"/>
  <c r="EB44" i="2"/>
  <c r="EJ43" i="2"/>
  <c r="EJ44" i="2"/>
  <c r="EL43" i="2"/>
  <c r="EL44" i="2"/>
  <c r="EE43" i="2"/>
  <c r="EE44" i="2"/>
  <c r="EG43" i="2"/>
  <c r="EG44" i="2"/>
  <c r="EF43" i="2"/>
  <c r="EF44" i="2"/>
  <c r="ED44" i="2"/>
  <c r="ED43" i="2"/>
  <c r="EH43" i="2"/>
  <c r="EH44" i="2"/>
  <c r="EI43" i="2"/>
  <c r="EI44" i="2"/>
  <c r="EK43" i="2"/>
  <c r="EK44" i="2"/>
  <c r="EC43" i="2"/>
  <c r="EC44" i="2"/>
  <c r="FA12" i="2"/>
  <c r="FA34" i="2"/>
  <c r="FA11" i="2"/>
  <c r="W52" i="2"/>
  <c r="DC52" i="2"/>
  <c r="DD52" i="2"/>
  <c r="EG7" i="2"/>
  <c r="EA7" i="2"/>
  <c r="DA52" i="2"/>
  <c r="DB52" i="2"/>
  <c r="EL7" i="2"/>
  <c r="EE7" i="2"/>
  <c r="EB7" i="2"/>
  <c r="DG52" i="2"/>
  <c r="DE52" i="2"/>
  <c r="EZ37" i="2"/>
  <c r="EZ40" i="2" s="1"/>
  <c r="CZ52" i="2"/>
  <c r="EY37" i="2"/>
  <c r="EY40" i="2" s="1"/>
  <c r="DH52" i="2"/>
  <c r="CY52" i="2"/>
  <c r="EW37" i="2"/>
  <c r="EW40" i="2" s="1"/>
  <c r="EU37" i="2"/>
  <c r="EU40" i="2" s="1"/>
  <c r="DI52" i="2"/>
  <c r="DJ52" i="2"/>
  <c r="EP20" i="2"/>
  <c r="EO37" i="2"/>
  <c r="EO40" i="2" s="1"/>
  <c r="ET20" i="2"/>
  <c r="EQ20" i="2"/>
  <c r="EV20" i="2"/>
  <c r="EQ37" i="2"/>
  <c r="EQ40" i="2" s="1"/>
  <c r="ER37" i="2"/>
  <c r="EO20" i="2"/>
  <c r="ET37" i="2"/>
  <c r="ET40" i="2" s="1"/>
  <c r="CW52" i="2"/>
  <c r="ES20" i="2"/>
  <c r="EU20" i="2"/>
  <c r="ES37" i="2"/>
  <c r="ES40" i="2" s="1"/>
  <c r="EM20" i="2"/>
  <c r="EW20" i="2"/>
  <c r="EZ20" i="2"/>
  <c r="EV37" i="2"/>
  <c r="EV40" i="2" s="1"/>
  <c r="EP37" i="2"/>
  <c r="EP40" i="2" s="1"/>
  <c r="ER20" i="2"/>
  <c r="EY20" i="2"/>
  <c r="EX37" i="2"/>
  <c r="EX40" i="2" s="1"/>
  <c r="EM37" i="2"/>
  <c r="DF52" i="2"/>
  <c r="EX20" i="2"/>
  <c r="FA30" i="2"/>
  <c r="FA25" i="2"/>
  <c r="FA16" i="2"/>
  <c r="FA31" i="2"/>
  <c r="FA14" i="2"/>
  <c r="FA23" i="2"/>
  <c r="FA17" i="2"/>
  <c r="FA32" i="2"/>
  <c r="G15" i="7"/>
  <c r="FA13" i="2"/>
  <c r="FA33" i="2"/>
  <c r="DY7" i="2"/>
  <c r="EH7" i="2"/>
  <c r="FA10" i="2"/>
  <c r="EC7" i="2"/>
  <c r="FA27" i="2"/>
  <c r="EK7" i="2"/>
  <c r="FA28" i="2"/>
  <c r="EI7" i="2"/>
  <c r="FA19" i="2"/>
  <c r="FA36" i="2"/>
  <c r="FA29" i="2"/>
  <c r="FA18" i="2"/>
  <c r="FA26" i="2"/>
  <c r="FA15" i="2"/>
  <c r="FA35" i="2"/>
  <c r="EF7" i="2"/>
  <c r="FA24" i="2"/>
  <c r="ED7" i="2"/>
  <c r="EJ7" i="2"/>
  <c r="DW52" i="2" a="1"/>
  <c r="DU52" i="2" a="1"/>
  <c r="X52" i="2" a="1"/>
  <c r="DV52" i="2" a="1"/>
  <c r="DR52" i="2" a="1"/>
  <c r="DP52" i="2" a="1"/>
  <c r="DM52" i="2" a="1"/>
  <c r="EG52" i="2" a="1"/>
  <c r="DS52" i="2" a="1"/>
  <c r="DN52" i="2" a="1"/>
  <c r="FA37" i="2" a="1"/>
  <c r="DO52" i="2" a="1"/>
  <c r="FA20" i="2" a="1"/>
  <c r="DT52" i="2" a="1"/>
  <c r="DX52" i="2" a="1"/>
  <c r="DQ52" i="2" a="1"/>
  <c r="ER40" i="2" l="1"/>
  <c r="C5" i="8" s="1"/>
  <c r="EM44" i="2"/>
  <c r="EM43" i="2"/>
  <c r="EV43" i="2"/>
  <c r="EV44" i="2"/>
  <c r="EW43" i="2"/>
  <c r="EW44" i="2"/>
  <c r="ET44" i="2"/>
  <c r="ET43" i="2"/>
  <c r="EU43" i="2"/>
  <c r="EU44" i="2"/>
  <c r="ES43" i="2"/>
  <c r="ES44" i="2"/>
  <c r="EY44" i="2"/>
  <c r="EY43" i="2"/>
  <c r="EZ43" i="2"/>
  <c r="EZ44" i="2"/>
  <c r="EX43" i="2"/>
  <c r="EX44" i="2"/>
  <c r="EQ43" i="2"/>
  <c r="EQ44" i="2"/>
  <c r="ER43" i="2"/>
  <c r="ER44" i="2"/>
  <c r="EP43" i="2"/>
  <c r="EP44" i="2"/>
  <c r="EO43" i="2"/>
  <c r="EO44" i="2"/>
  <c r="Y43" i="2"/>
  <c r="X52" i="2"/>
  <c r="DQ52" i="2"/>
  <c r="EW7" i="2"/>
  <c r="EZ7" i="2"/>
  <c r="EV7" i="2"/>
  <c r="DO52" i="2"/>
  <c r="DN52" i="2"/>
  <c r="EY7" i="2"/>
  <c r="ET7" i="2"/>
  <c r="DS52" i="2"/>
  <c r="EG52" i="2"/>
  <c r="DU52" i="2"/>
  <c r="DR52" i="2"/>
  <c r="DW52" i="2"/>
  <c r="FA37" i="2"/>
  <c r="FA20" i="2"/>
  <c r="DT52" i="2"/>
  <c r="DX52" i="2"/>
  <c r="DM52" i="2"/>
  <c r="DP52" i="2"/>
  <c r="DV52" i="2"/>
  <c r="EQ7" i="2"/>
  <c r="EM7" i="2"/>
  <c r="ER7" i="2"/>
  <c r="EU7" i="2"/>
  <c r="EP7" i="2"/>
  <c r="G16" i="7"/>
  <c r="ES7" i="2"/>
  <c r="EX7" i="2"/>
  <c r="EO7" i="2"/>
  <c r="EL52" i="2" a="1"/>
  <c r="EE52" i="2" a="1"/>
  <c r="EA52" i="2" a="1"/>
  <c r="EI52" i="2" a="1"/>
  <c r="ED52" i="2" a="1"/>
  <c r="EJ52" i="2" a="1"/>
  <c r="EZ52" i="2" a="1"/>
  <c r="EW52" i="2" a="1"/>
  <c r="EK52" i="2" a="1"/>
  <c r="EH52" i="2" a="1"/>
  <c r="EF52" i="2" a="1"/>
  <c r="Y52" i="2" a="1"/>
  <c r="EB52" i="2" a="1"/>
  <c r="DY52" i="2" a="1"/>
  <c r="EC52" i="2" a="1"/>
  <c r="C10" i="8" l="1"/>
  <c r="J3" i="10"/>
  <c r="K3" i="10" s="1"/>
  <c r="AE43" i="2"/>
  <c r="FA44" i="2"/>
  <c r="FA43" i="2"/>
  <c r="Y52" i="2"/>
  <c r="EA52" i="2"/>
  <c r="EL52" i="2"/>
  <c r="EB52" i="2"/>
  <c r="FA7" i="2"/>
  <c r="EZ52" i="2"/>
  <c r="EE52" i="2"/>
  <c r="EH52" i="2"/>
  <c r="EK52" i="2"/>
  <c r="EI52" i="2"/>
  <c r="EC52" i="2"/>
  <c r="EW52" i="2"/>
  <c r="EJ52" i="2"/>
  <c r="DY52" i="2"/>
  <c r="EF52" i="2"/>
  <c r="ED52" i="2"/>
  <c r="G17" i="7"/>
  <c r="D16" i="7" s="1"/>
  <c r="EU52" i="2" a="1"/>
  <c r="Z52" i="2" a="1"/>
  <c r="EX52" i="2" a="1"/>
  <c r="EP52" i="2" a="1"/>
  <c r="EM52" i="2" a="1"/>
  <c r="EV52" i="2" a="1"/>
  <c r="EQ52" i="2" a="1"/>
  <c r="EO52" i="2" a="1"/>
  <c r="ES52" i="2" a="1"/>
  <c r="ET52" i="2" a="1"/>
  <c r="ER52" i="2" a="1"/>
  <c r="EY52" i="2" a="1"/>
  <c r="C15" i="8" l="1"/>
  <c r="C20" i="8" s="1"/>
  <c r="Z52" i="2"/>
  <c r="ET52" i="2"/>
  <c r="EV52" i="2"/>
  <c r="EY52" i="2"/>
  <c r="EQ52" i="2"/>
  <c r="EM52" i="2"/>
  <c r="EX52" i="2"/>
  <c r="ER52" i="2"/>
  <c r="EO52" i="2"/>
  <c r="ES52" i="2"/>
  <c r="EU52" i="2"/>
  <c r="EP52" i="2"/>
  <c r="D17" i="7"/>
  <c r="FA52" i="2" a="1"/>
  <c r="AB52" i="2" a="1"/>
  <c r="AA52" i="2" a="1"/>
  <c r="AB52" i="2" l="1"/>
  <c r="D15" i="7"/>
  <c r="AA52" i="2"/>
  <c r="FA52" i="2"/>
  <c r="AE52" i="2" a="1"/>
  <c r="AE5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<sst xmlns="http://schemas.openxmlformats.org/spreadsheetml/2006/main" count="297" uniqueCount="113">
  <si>
    <t xml:space="preserve">Ajustes </t>
  </si>
  <si>
    <t>General</t>
  </si>
  <si>
    <t xml:space="preserve">Año de inicio: </t>
  </si>
  <si>
    <t xml:space="preserve">Poner el año de inicio (yyyy) al prinicipi y no cambiarlo de nuevo </t>
  </si>
  <si>
    <t xml:space="preserve">Definir año de inicio en ajustes --&gt; </t>
  </si>
  <si>
    <t>Ingresos</t>
  </si>
  <si>
    <t>Introduzca categoria…</t>
  </si>
  <si>
    <t>Total</t>
  </si>
  <si>
    <t xml:space="preserve">Nómina (neto)  </t>
  </si>
  <si>
    <t>Ene</t>
  </si>
  <si>
    <t>Gastos</t>
  </si>
  <si>
    <t xml:space="preserve">Alquiler </t>
  </si>
  <si>
    <t>Restaurantes</t>
  </si>
  <si>
    <t>Noche</t>
  </si>
  <si>
    <t>Varios</t>
  </si>
  <si>
    <t>Ahorros</t>
  </si>
  <si>
    <t xml:space="preserve">Inversión </t>
  </si>
  <si>
    <t>Luz</t>
  </si>
  <si>
    <t>Compra</t>
  </si>
  <si>
    <t>Fecha</t>
  </si>
  <si>
    <t xml:space="preserve">Tipo </t>
  </si>
  <si>
    <t xml:space="preserve">Categoria </t>
  </si>
  <si>
    <t xml:space="preserve">Cantidad </t>
  </si>
  <si>
    <t>Detalles</t>
  </si>
  <si>
    <t>Libro Mayor</t>
  </si>
  <si>
    <t>Libro Diario</t>
  </si>
  <si>
    <t>Diferencia entre Ingresos - Gastos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</si>
  <si>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</si>
  <si>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</si>
  <si>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</si>
  <si>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</si>
  <si>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</si>
  <si>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</si>
  <si>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</si>
  <si>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</si>
  <si>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</si>
  <si>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</si>
  <si>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</si>
  <si>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Cálculos</t>
  </si>
  <si>
    <t xml:space="preserve">Hoy: </t>
  </si>
  <si>
    <t>Última operación</t>
  </si>
  <si>
    <t>Tiempo desde la última operación registrada</t>
  </si>
  <si>
    <t>Registros</t>
  </si>
  <si>
    <t>Dashboard</t>
  </si>
  <si>
    <t>Transporte</t>
  </si>
  <si>
    <t>WIFI</t>
  </si>
  <si>
    <t>Inversión</t>
  </si>
  <si>
    <t>TOTAL</t>
  </si>
  <si>
    <t>Patrimonio</t>
  </si>
  <si>
    <t>Suma cuenta ahorro</t>
  </si>
  <si>
    <t>Suma balance negativos</t>
  </si>
  <si>
    <t xml:space="preserve">Suma Balances Negativos por año </t>
  </si>
  <si>
    <t xml:space="preserve">Suma de Cantidad </t>
  </si>
  <si>
    <t>Windows</t>
  </si>
  <si>
    <t xml:space="preserve">Suma Inversión </t>
  </si>
  <si>
    <t>Cantidad</t>
  </si>
  <si>
    <t>Lista meses</t>
  </si>
  <si>
    <t>AÑO</t>
  </si>
  <si>
    <t>Balance</t>
  </si>
  <si>
    <t>Mes</t>
  </si>
  <si>
    <t>MES</t>
  </si>
  <si>
    <t>Mes Número</t>
  </si>
  <si>
    <t>Año Numero</t>
  </si>
  <si>
    <t>Google</t>
  </si>
  <si>
    <t>Cuenta Gastos</t>
  </si>
  <si>
    <t>HP</t>
  </si>
  <si>
    <t>Etiquetas de fila</t>
  </si>
  <si>
    <t>Total general</t>
  </si>
  <si>
    <t>Etiquetas de columna</t>
  </si>
  <si>
    <t xml:space="preserve"> </t>
  </si>
  <si>
    <t>Tablero de cotizaciones</t>
  </si>
  <si>
    <t>Transacción</t>
  </si>
  <si>
    <t>Precio</t>
  </si>
  <si>
    <t>Dividendo</t>
  </si>
  <si>
    <t>Cantidad Total</t>
  </si>
  <si>
    <t>Participaciones Individuales</t>
  </si>
  <si>
    <t>Nombre</t>
  </si>
  <si>
    <t>Sector</t>
  </si>
  <si>
    <t>Beta</t>
  </si>
  <si>
    <t>Capitalización de mercado (en 1.000.000.000€)</t>
  </si>
  <si>
    <t>Tamaño Capitalización</t>
  </si>
  <si>
    <t>Resultado a 1 dia €</t>
  </si>
  <si>
    <t>Pocentraje Cartera</t>
  </si>
  <si>
    <t>Resultado a 1 dia %</t>
  </si>
  <si>
    <t>Cruz Roja</t>
  </si>
  <si>
    <t>N. Acciones</t>
  </si>
  <si>
    <t>Precio Actual Acción</t>
  </si>
  <si>
    <t>Valor Actual Total</t>
  </si>
  <si>
    <t>Valor de compra</t>
  </si>
  <si>
    <t>Revalorización</t>
  </si>
  <si>
    <t>Valor de mercado total</t>
  </si>
  <si>
    <t>Resultado a 1 dia (€/%)</t>
  </si>
  <si>
    <t>Ganancias/Pérdidas</t>
  </si>
  <si>
    <t>Ganancias y perdidas totales</t>
  </si>
  <si>
    <t>Cartera de inversión</t>
  </si>
  <si>
    <t>Cash</t>
  </si>
  <si>
    <t>Inversión (Ahorro)</t>
  </si>
  <si>
    <t xml:space="preserve">Tamaño Capitalización </t>
  </si>
  <si>
    <t>%</t>
  </si>
  <si>
    <t>Simbolo</t>
  </si>
  <si>
    <t>Suma de Dividendo</t>
  </si>
  <si>
    <t>Dividendos</t>
  </si>
  <si>
    <t>Empresa</t>
  </si>
  <si>
    <t>Coursera</t>
  </si>
  <si>
    <t>Comisiones</t>
  </si>
  <si>
    <t>Rentabilidad %</t>
  </si>
  <si>
    <t>Gym</t>
  </si>
  <si>
    <t xml:space="preserve">Cuenta Remunerada </t>
  </si>
  <si>
    <t>Cuenta remunerada</t>
  </si>
  <si>
    <t xml:space="preserve">  </t>
  </si>
  <si>
    <t>Cuenta Remunerada + Cuenta Gastos</t>
  </si>
  <si>
    <t>(en blanco)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</si>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</sst>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* #,##0.00\ &quot;€&quot;_-;\-* #,##0.00\ &quot;€&quot;_-;_-* &quot;-&quot;??\ &quot;€&quot;_-;_-@_-"/>
    <numFmt numFmtId="164" formatCode="mmm"/>
    <numFmt numFmtId="165" formatCode="#,##0.00\ &quot;€&quot;"/>
    <numFmt numFmtId="166" formatCode="0.0%"/>
    <numFmt numFmtId="167" formatCode="d/m/yy"/>
  </numFmts>
  <fonts count="29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2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i/>
      <sz val="12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9"/>
      <color theme="0" tint="-0.3499862666707357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A83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107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/>
    <xf numFmtId="0" fontId="6" fillId="3" borderId="0" xfId="0" applyFont="1" applyFill="1" applyAlignment="1">
      <alignment horizontal="center" vertical="center"/>
    </xf>
    <xf numFmtId="0" fontId="8" fillId="0" borderId="0" xfId="0" applyFont="1"/>
    <xf numFmtId="0" fontId="9" fillId="2" borderId="0" xfId="0" applyFont="1" applyFill="1"/>
    <xf numFmtId="0" fontId="10" fillId="2" borderId="0" xfId="0" applyFont="1" applyFill="1"/>
    <xf numFmtId="0" fontId="11" fillId="0" borderId="0" xfId="0" applyFont="1"/>
    <xf numFmtId="0" fontId="0" fillId="0" borderId="0" xfId="0" applyAlignment="1">
      <alignment horizontal="left" indent="1"/>
    </xf>
    <xf numFmtId="0" fontId="12" fillId="0" borderId="9" xfId="0" applyFont="1" applyBorder="1" applyAlignment="1">
      <alignment horizontal="left" indent="1"/>
    </xf>
    <xf numFmtId="0" fontId="12" fillId="0" borderId="10" xfId="0" applyFont="1" applyBorder="1" applyAlignment="1">
      <alignment horizontal="left" indent="1"/>
    </xf>
    <xf numFmtId="14" fontId="0" fillId="2" borderId="0" xfId="0" applyNumberFormat="1" applyFill="1"/>
    <xf numFmtId="0" fontId="2" fillId="4" borderId="8" xfId="0" applyFont="1" applyFill="1" applyBorder="1" applyAlignment="1">
      <alignment horizontal="left" indent="1"/>
    </xf>
    <xf numFmtId="0" fontId="13" fillId="4" borderId="0" xfId="0" applyFont="1" applyFill="1" applyAlignment="1">
      <alignment horizontal="center" vertical="center"/>
    </xf>
    <xf numFmtId="164" fontId="13" fillId="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left" indent="1"/>
    </xf>
    <xf numFmtId="0" fontId="14" fillId="0" borderId="0" xfId="0" applyFont="1"/>
    <xf numFmtId="44" fontId="15" fillId="0" borderId="7" xfId="0" applyNumberFormat="1" applyFont="1" applyBorder="1"/>
    <xf numFmtId="44" fontId="16" fillId="0" borderId="7" xfId="0" applyNumberFormat="1" applyFont="1" applyBorder="1"/>
    <xf numFmtId="44" fontId="17" fillId="0" borderId="7" xfId="0" applyNumberFormat="1" applyFont="1" applyBorder="1"/>
    <xf numFmtId="0" fontId="2" fillId="0" borderId="8" xfId="0" applyFont="1" applyBorder="1" applyAlignment="1">
      <alignment horizontal="left" indent="1"/>
    </xf>
    <xf numFmtId="164" fontId="13" fillId="5" borderId="0" xfId="0" applyNumberFormat="1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4" fontId="13" fillId="7" borderId="0" xfId="0" applyNumberFormat="1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" fillId="4" borderId="7" xfId="0" applyFont="1" applyFill="1" applyBorder="1" applyAlignment="1">
      <alignment horizontal="left" indent="1"/>
    </xf>
    <xf numFmtId="0" fontId="1" fillId="5" borderId="7" xfId="0" applyFont="1" applyFill="1" applyBorder="1" applyAlignment="1">
      <alignment horizontal="left" indent="1"/>
    </xf>
    <xf numFmtId="44" fontId="7" fillId="0" borderId="6" xfId="0" applyNumberFormat="1" applyFont="1" applyBorder="1"/>
    <xf numFmtId="14" fontId="0" fillId="0" borderId="0" xfId="0" applyNumberFormat="1"/>
    <xf numFmtId="0" fontId="0" fillId="0" borderId="6" xfId="0" applyBorder="1" applyAlignment="1">
      <alignment horizontal="center" vertical="center"/>
    </xf>
    <xf numFmtId="14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44" fontId="5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0" fontId="0" fillId="0" borderId="11" xfId="0" applyBorder="1"/>
    <xf numFmtId="0" fontId="10" fillId="2" borderId="13" xfId="0" applyFont="1" applyFill="1" applyBorder="1"/>
    <xf numFmtId="0" fontId="0" fillId="0" borderId="13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44" fontId="20" fillId="0" borderId="13" xfId="0" applyNumberFormat="1" applyFont="1" applyBorder="1" applyAlignment="1">
      <alignment horizontal="left" indent="2"/>
    </xf>
    <xf numFmtId="44" fontId="0" fillId="0" borderId="0" xfId="0" applyNumberFormat="1"/>
    <xf numFmtId="0" fontId="0" fillId="0" borderId="0" xfId="0" applyAlignment="1">
      <alignment horizontal="left"/>
    </xf>
    <xf numFmtId="0" fontId="21" fillId="0" borderId="0" xfId="0" applyFont="1"/>
    <xf numFmtId="0" fontId="0" fillId="0" borderId="0" xfId="0" pivotButton="1"/>
    <xf numFmtId="44" fontId="12" fillId="0" borderId="9" xfId="0" applyNumberFormat="1" applyFont="1" applyBorder="1" applyAlignment="1">
      <alignment horizontal="left" indent="1"/>
    </xf>
    <xf numFmtId="44" fontId="12" fillId="0" borderId="8" xfId="0" applyNumberFormat="1" applyFont="1" applyBorder="1" applyAlignment="1">
      <alignment horizontal="left" indent="1"/>
    </xf>
    <xf numFmtId="44" fontId="12" fillId="0" borderId="10" xfId="0" applyNumberFormat="1" applyFont="1" applyBorder="1" applyAlignment="1">
      <alignment horizontal="left" indent="1"/>
    </xf>
    <xf numFmtId="164" fontId="2" fillId="0" borderId="8" xfId="0" applyNumberFormat="1" applyFont="1" applyBorder="1" applyAlignment="1">
      <alignment horizontal="left" indent="1"/>
    </xf>
    <xf numFmtId="44" fontId="1" fillId="5" borderId="7" xfId="0" applyNumberFormat="1" applyFont="1" applyFill="1" applyBorder="1" applyAlignment="1">
      <alignment horizontal="left" indent="1"/>
    </xf>
    <xf numFmtId="0" fontId="12" fillId="0" borderId="7" xfId="0" applyFont="1" applyBorder="1" applyAlignment="1">
      <alignment horizontal="left" indent="1"/>
    </xf>
    <xf numFmtId="17" fontId="0" fillId="0" borderId="0" xfId="0" applyNumberFormat="1"/>
    <xf numFmtId="14" fontId="5" fillId="0" borderId="16" xfId="0" applyNumberFormat="1" applyFont="1" applyBorder="1" applyAlignment="1">
      <alignment horizontal="left" vertical="top"/>
    </xf>
    <xf numFmtId="44" fontId="0" fillId="0" borderId="0" xfId="1" applyFo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1" applyNumberFormat="1" applyFont="1"/>
    <xf numFmtId="44" fontId="2" fillId="0" borderId="0" xfId="1" applyFont="1" applyAlignment="1">
      <alignment horizontal="center" vertical="center" wrapText="1"/>
    </xf>
    <xf numFmtId="10" fontId="0" fillId="0" borderId="0" xfId="2" applyNumberFormat="1" applyFont="1"/>
    <xf numFmtId="10" fontId="2" fillId="0" borderId="0" xfId="2" applyNumberFormat="1" applyFont="1" applyAlignment="1">
      <alignment horizontal="center" vertical="center" wrapText="1"/>
    </xf>
    <xf numFmtId="44" fontId="2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10" fontId="1" fillId="2" borderId="0" xfId="2" applyNumberFormat="1" applyFont="1" applyFill="1" applyAlignment="1">
      <alignment horizontal="center" vertical="center" wrapText="1"/>
    </xf>
    <xf numFmtId="44" fontId="3" fillId="2" borderId="0" xfId="2" applyNumberFormat="1" applyFont="1" applyFill="1" applyAlignment="1">
      <alignment horizontal="center" vertical="center"/>
    </xf>
    <xf numFmtId="165" fontId="3" fillId="2" borderId="0" xfId="2" applyNumberFormat="1" applyFont="1" applyFill="1" applyAlignment="1">
      <alignment horizontal="center" vertical="center"/>
    </xf>
    <xf numFmtId="165" fontId="0" fillId="0" borderId="0" xfId="1" applyNumberFormat="1" applyFont="1"/>
    <xf numFmtId="165" fontId="0" fillId="0" borderId="0" xfId="0" applyNumberFormat="1"/>
    <xf numFmtId="165" fontId="3" fillId="2" borderId="0" xfId="0" applyNumberFormat="1" applyFont="1" applyFill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166" fontId="0" fillId="0" borderId="0" xfId="2" applyNumberFormat="1" applyFont="1"/>
    <xf numFmtId="0" fontId="9" fillId="2" borderId="17" xfId="0" applyFont="1" applyFill="1" applyBorder="1"/>
    <xf numFmtId="0" fontId="9" fillId="2" borderId="18" xfId="0" applyFont="1" applyFill="1" applyBorder="1"/>
    <xf numFmtId="0" fontId="23" fillId="0" borderId="0" xfId="0" applyFont="1"/>
    <xf numFmtId="2" fontId="0" fillId="0" borderId="0" xfId="1" applyNumberFormat="1" applyFont="1" applyAlignment="1">
      <alignment horizontal="right"/>
    </xf>
    <xf numFmtId="10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2" fontId="5" fillId="0" borderId="0" xfId="0" applyNumberFormat="1" applyFont="1" applyAlignment="1">
      <alignment horizontal="left" vertical="top"/>
    </xf>
    <xf numFmtId="10" fontId="3" fillId="2" borderId="0" xfId="2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44" fontId="17" fillId="0" borderId="0" xfId="0" applyNumberFormat="1" applyFont="1"/>
    <xf numFmtId="0" fontId="1" fillId="8" borderId="7" xfId="0" applyFont="1" applyFill="1" applyBorder="1" applyAlignment="1">
      <alignment horizontal="left" indent="1"/>
    </xf>
    <xf numFmtId="44" fontId="25" fillId="0" borderId="7" xfId="0" applyNumberFormat="1" applyFont="1" applyBorder="1"/>
    <xf numFmtId="44" fontId="26" fillId="0" borderId="7" xfId="0" applyNumberFormat="1" applyFont="1" applyBorder="1"/>
    <xf numFmtId="44" fontId="27" fillId="0" borderId="7" xfId="0" applyNumberFormat="1" applyFont="1" applyBorder="1"/>
    <xf numFmtId="0" fontId="28" fillId="6" borderId="7" xfId="0" applyFont="1" applyFill="1" applyBorder="1" applyAlignment="1">
      <alignment horizontal="left" indent="1"/>
    </xf>
    <xf numFmtId="0" fontId="23" fillId="0" borderId="6" xfId="0" applyFont="1" applyBorder="1" applyAlignment="1">
      <alignment horizontal="center" vertical="center"/>
    </xf>
    <xf numFmtId="164" fontId="13" fillId="8" borderId="0" xfId="0" applyNumberFormat="1" applyFont="1" applyFill="1" applyAlignment="1">
      <alignment horizontal="center" vertical="center"/>
    </xf>
    <xf numFmtId="44" fontId="17" fillId="9" borderId="19" xfId="0" applyNumberFormat="1" applyFont="1" applyFill="1" applyBorder="1"/>
    <xf numFmtId="167" fontId="5" fillId="0" borderId="0" xfId="0" applyNumberFormat="1" applyFont="1" applyAlignment="1">
      <alignment horizontal="left" vertical="top"/>
    </xf>
    <xf numFmtId="44" fontId="23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/>
    <xf numFmtId="0" fontId="9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10" fontId="1" fillId="2" borderId="0" xfId="2" applyNumberFormat="1" applyFont="1" applyFill="1" applyAlignment="1">
      <alignment horizontal="center" vertical="center" wrapText="1"/>
    </xf>
  </cellXfs>
  <cellStyles count="3">
    <cellStyle name="Moneda" xfId="1" builtinId="4"/>
    <cellStyle name="Normal" xfId="0" builtinId="0"/>
    <cellStyle name="Porcentaje" xfId="2" builtinId="5"/>
  </cellStyles>
  <dxfs count="97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0" formatCode="General"/>
    </dxf>
    <dxf>
      <numFmt numFmtId="19" formatCode="dd/mm/yyyy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34998626667073579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d/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bottom" textRotation="0" wrapText="0" relativeIndent="1" justifyLastLine="0" shrinkToFit="0" readingOrder="0"/>
    </dxf>
    <dxf>
      <font>
        <b/>
        <i val="0"/>
        <color rgb="FF00B050"/>
      </font>
      <numFmt numFmtId="165" formatCode="#,##0.00\ &quot;€&quot;"/>
    </dxf>
    <dxf>
      <font>
        <color rgb="FFFF0000"/>
      </font>
      <numFmt numFmtId="165" formatCode="#,##0.00\ &quot;€&quot;"/>
    </dxf>
    <dxf>
      <font>
        <b/>
        <i val="0"/>
        <color theme="4" tint="-0.499984740745262"/>
      </font>
      <numFmt numFmtId="165" formatCode="#,##0.00\ &quot;€&quot;"/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border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border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border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1" justifyLastLine="0" shrinkToFit="0" readingOrder="0"/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color rgb="FF00B050"/>
      </font>
      <numFmt numFmtId="34" formatCode="_-* #,##0.00\ &quot;€&quot;_-;\-* #,##0.00\ &quot;€&quot;_-;_-* &quot;-&quot;??\ &quot;€&quot;_-;_-@_-"/>
    </dxf>
    <dxf>
      <font>
        <color rgb="FFFF0000"/>
      </font>
      <numFmt numFmtId="34" formatCode="_-* #,##0.00\ &quot;€&quot;_-;\-* #,##0.00\ &quot;€&quot;_-;_-* &quot;-&quot;??\ &quot;€&quot;_-;_-@_-"/>
    </dxf>
    <dxf>
      <font>
        <b val="0"/>
        <i val="0"/>
        <color theme="1"/>
      </font>
      <fill>
        <patternFill>
          <fgColor theme="0" tint="-0.24994659260841701"/>
          <bgColor theme="4" tint="0.79998168889431442"/>
        </patternFill>
      </fill>
    </dxf>
    <dxf>
      <font>
        <b val="0"/>
        <i val="0"/>
        <color theme="1"/>
      </font>
      <fill>
        <patternFill>
          <fgColor theme="0" tint="-0.24994659260841701"/>
          <bgColor rgb="FFFFDADB"/>
        </patternFill>
      </fill>
    </dxf>
    <dxf>
      <font>
        <b val="0"/>
        <i val="0"/>
        <color theme="1"/>
      </font>
      <fill>
        <patternFill>
          <fgColor theme="0" tint="-0.24994659260841701"/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left" vertical="bottom" textRotation="0" wrapText="0" indent="1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left" vertical="bottom" textRotation="0" wrapText="0" indent="1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border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ont>
        <b val="0"/>
        <i val="0"/>
        <color theme="1"/>
      </font>
      <fill>
        <patternFill>
          <fgColor theme="0" tint="-0.24994659260841701"/>
          <bgColor rgb="FFFFDADB"/>
        </patternFill>
      </fill>
    </dxf>
    <dxf>
      <font>
        <color rgb="FFFF0000"/>
      </font>
      <fill>
        <patternFill>
          <fgColor auto="1"/>
          <bgColor rgb="FFFFDADB"/>
        </patternFill>
      </fill>
    </dxf>
    <dxf>
      <font>
        <b val="0"/>
        <i val="0"/>
        <color theme="1"/>
      </font>
      <fill>
        <patternFill>
          <fgColor theme="0" tint="-0.24994659260841701"/>
          <bgColor rgb="FFFFDADB"/>
        </patternFill>
      </fill>
    </dxf>
    <dxf>
      <font>
        <b val="0"/>
        <i val="0"/>
        <color theme="1"/>
      </font>
      <fill>
        <patternFill>
          <fgColor theme="0" tint="-0.24994659260841701"/>
          <bgColor rgb="FFFFDADB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theme="9" tint="0.39994506668294322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rgb="FFFFDADB"/>
        </patternFill>
      </fill>
    </dxf>
    <dxf>
      <fill>
        <patternFill>
          <bgColor rgb="FFFFB8BA"/>
        </patternFill>
      </fill>
    </dxf>
    <dxf>
      <fill>
        <patternFill>
          <bgColor rgb="FFFF8A83"/>
        </patternFill>
      </fill>
    </dxf>
    <dxf>
      <fill>
        <patternFill>
          <bgColor rgb="FFFF8A83"/>
        </patternFill>
      </fill>
    </dxf>
    <dxf>
      <font>
        <b/>
        <i val="0"/>
        <color theme="0"/>
      </font>
      <fill>
        <patternFill>
          <bgColor rgb="FFFF8A83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rgb="FFFFB8BA"/>
        </patternFill>
      </fill>
    </dxf>
    <dxf>
      <fill>
        <patternFill>
          <bgColor rgb="FFFF8A83"/>
        </patternFill>
      </fill>
    </dxf>
    <dxf>
      <font>
        <color rgb="FFFF0000"/>
      </font>
      <fill>
        <patternFill>
          <bgColor rgb="FFFF8A83"/>
        </patternFill>
      </fill>
    </dxf>
    <dxf>
      <fill>
        <patternFill>
          <bgColor rgb="FFFF8A83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9" defaultTableStyle="TableStyleMedium2" defaultPivotStyle="PivotStyleLight16">
    <tableStyle name="Ahorro" pivot="0" count="4" xr9:uid="{5C4B4ADE-A366-664B-9EF0-821886BE2E31}">
      <tableStyleElement type="wholeTable" dxfId="96"/>
      <tableStyleElement type="headerRow" dxfId="95"/>
      <tableStyleElement type="secondRowStripe" dxfId="94"/>
      <tableStyleElement type="firstHeaderCell" dxfId="93"/>
    </tableStyle>
    <tableStyle name="Estilo de tabla 1" pivot="0" count="0" xr9:uid="{A78B8F36-5FA8-E148-AB7E-4590368994FA}"/>
    <tableStyle name="Estilo de tabla 2" pivot="0" count="1" xr9:uid="{7AE01E1E-F344-3248-BAC9-C829EF892407}">
      <tableStyleElement type="headerRow" dxfId="92"/>
    </tableStyle>
    <tableStyle name="Estilo de tabla dinámica 1" table="0" count="2" xr9:uid="{CD9CBAB6-6798-574A-8692-BF6B79384788}">
      <tableStyleElement type="firstColumnStripe" dxfId="91"/>
      <tableStyleElement type="secondColumnStripe" dxfId="90"/>
    </tableStyle>
    <tableStyle name="Gastos" pivot="0" count="3" xr9:uid="{740FF411-8956-9B49-BEEC-2CF4973B256B}">
      <tableStyleElement type="wholeTable" dxfId="89"/>
      <tableStyleElement type="headerRow" dxfId="88"/>
      <tableStyleElement type="firstHeaderCell" dxfId="87"/>
    </tableStyle>
    <tableStyle name="Gastos grafico" table="0" count="3" xr9:uid="{506CE8CC-9EF3-C149-90CA-D9F94CA82E81}">
      <tableStyleElement type="firstRowStripe" dxfId="86"/>
      <tableStyleElement type="firstColumnStripe" dxfId="85"/>
      <tableStyleElement type="secondColumnStripe" dxfId="84"/>
    </tableStyle>
    <tableStyle name="Ingreos" pivot="0" count="2" xr9:uid="{B9452288-89DB-B44C-9E62-25A587438987}">
      <tableStyleElement type="wholeTable" dxfId="83"/>
      <tableStyleElement type="headerRow" dxfId="82"/>
    </tableStyle>
    <tableStyle name="Ingresos" pivot="0" count="1" xr9:uid="{FD7ADE7C-5025-0F4E-A61A-9BA98FE6D6B2}">
      <tableStyleElement type="wholeTable" dxfId="81"/>
    </tableStyle>
    <tableStyle name="Invisible" pivot="0" table="0" count="0" xr9:uid="{58AB220E-EADC-458D-B4BD-278AE69678F7}"/>
  </tableStyles>
  <colors>
    <mruColors>
      <color rgb="FFFFDADB"/>
      <color rgb="FFFFB8BA"/>
      <color rgb="FFFF8A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Presupuesto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'Presupuestos de Gastos'!$C$9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3A6-5846-90F5-752656624C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3A6-5846-90F5-752656624C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3A6-5846-90F5-752656624C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3A6-5846-90F5-752656624C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3A6-5846-90F5-752656624CC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3A6-5846-90F5-752656624CC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3A6-5846-90F5-752656624CC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3A6-5846-90F5-752656624CC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3A6-5846-90F5-752656624CC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3A6-5846-90F5-752656624CC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83C-E347-B6F6-321B49B5E6F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3E6-4416-8FED-56552763CD6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AF8-4C60-AE01-0FF915E341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'Presupuestos de Gastos'!$B$10:$B$22</c:f>
              <c:strCache>
                <c:ptCount val="13"/>
                <c:pt idx="0">
                  <c:v>Alquiler </c:v>
                </c:pt>
                <c:pt idx="1">
                  <c:v>Luz</c:v>
                </c:pt>
                <c:pt idx="2">
                  <c:v>Compra</c:v>
                </c:pt>
                <c:pt idx="3">
                  <c:v>Restaurantes</c:v>
                </c:pt>
                <c:pt idx="4">
                  <c:v>Noche</c:v>
                </c:pt>
                <c:pt idx="5">
                  <c:v>Transporte</c:v>
                </c:pt>
                <c:pt idx="6">
                  <c:v>Cruz Roja</c:v>
                </c:pt>
                <c:pt idx="7">
                  <c:v>WIFI</c:v>
                </c:pt>
                <c:pt idx="8">
                  <c:v>HP</c:v>
                </c:pt>
                <c:pt idx="9">
                  <c:v>Google</c:v>
                </c:pt>
                <c:pt idx="10">
                  <c:v>Gym</c:v>
                </c:pt>
                <c:pt idx="11">
                  <c:v>Windows</c:v>
                </c:pt>
                <c:pt idx="12">
                  <c:v>Varios</c:v>
                </c:pt>
              </c:strCache>
            </c:strRef>
          </c:cat>
          <c:val>
            <c:numRef>
              <c:f>'Presupuestos de Gastos'!$C$10:$C$22</c:f>
              <c:numCache>
                <c:formatCode>_("€"* #,##0.00_);_("€"* \(#,##0.00\);_("€"* "-"??_);_(@_)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D150-3246-BDF1-29F7B0C21B3A}"/>
            </c:ext>
          </c:extLst>
        </c:ser>
        <c:ser>
          <c:idx val="1"/>
          <c:order val="1"/>
          <c:tx>
            <c:strRef>
              <c:f>'Presupuestos de Gastos'!$D$9</c:f>
              <c:strCache>
                <c:ptCount val="1"/>
                <c:pt idx="0">
                  <c:v>Mes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3A6-5846-90F5-752656624C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3A6-5846-90F5-752656624C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3A6-5846-90F5-752656624C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F3A6-5846-90F5-752656624C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F3A6-5846-90F5-752656624CC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F3A6-5846-90F5-752656624CC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F3A6-5846-90F5-752656624CC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F3A6-5846-90F5-752656624CC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F3A6-5846-90F5-752656624CC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F3A6-5846-90F5-752656624CC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783C-E347-B6F6-321B49B5E6F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A3E6-4416-8FED-56552763CD6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7AF8-4C60-AE01-0FF915E341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'Presupuestos de Gastos'!$B$10:$B$22</c:f>
              <c:strCache>
                <c:ptCount val="13"/>
                <c:pt idx="0">
                  <c:v>Alquiler </c:v>
                </c:pt>
                <c:pt idx="1">
                  <c:v>Luz</c:v>
                </c:pt>
                <c:pt idx="2">
                  <c:v>Compra</c:v>
                </c:pt>
                <c:pt idx="3">
                  <c:v>Restaurantes</c:v>
                </c:pt>
                <c:pt idx="4">
                  <c:v>Noche</c:v>
                </c:pt>
                <c:pt idx="5">
                  <c:v>Transporte</c:v>
                </c:pt>
                <c:pt idx="6">
                  <c:v>Cruz Roja</c:v>
                </c:pt>
                <c:pt idx="7">
                  <c:v>WIFI</c:v>
                </c:pt>
                <c:pt idx="8">
                  <c:v>HP</c:v>
                </c:pt>
                <c:pt idx="9">
                  <c:v>Google</c:v>
                </c:pt>
                <c:pt idx="10">
                  <c:v>Gym</c:v>
                </c:pt>
                <c:pt idx="11">
                  <c:v>Windows</c:v>
                </c:pt>
                <c:pt idx="12">
                  <c:v>Varios</c:v>
                </c:pt>
              </c:strCache>
            </c:strRef>
          </c:cat>
          <c:val>
            <c:numRef>
              <c:f>'Presupuestos de Gastos'!$D$10:$D$22</c:f>
              <c:numCache>
                <c:formatCode>_("€"* #,##0.00_);_("€"* \(#,##0.00\);_("€"*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50-3246-BDF1-29F7B0C21B3A}"/>
            </c:ext>
          </c:extLst>
        </c:ser>
        <c:ser>
          <c:idx val="2"/>
          <c:order val="2"/>
          <c:tx>
            <c:strRef>
              <c:f>'Presupuestos de Gastos'!$E$9</c:f>
              <c:strCache>
                <c:ptCount val="1"/>
                <c:pt idx="0">
                  <c:v>Balance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F3A6-5846-90F5-752656624C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F3A6-5846-90F5-752656624C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F3A6-5846-90F5-752656624C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F3A6-5846-90F5-752656624C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F3A6-5846-90F5-752656624CC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F3A6-5846-90F5-752656624CC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F3A6-5846-90F5-752656624CC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F3A6-5846-90F5-752656624CC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F3A6-5846-90F5-752656624CC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F3A6-5846-90F5-752656624CC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783C-E347-B6F6-321B49B5E6F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A3E6-4416-8FED-56552763CD6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7AF8-4C60-AE01-0FF915E341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'Presupuestos de Gastos'!$B$10:$B$22</c:f>
              <c:strCache>
                <c:ptCount val="13"/>
                <c:pt idx="0">
                  <c:v>Alquiler </c:v>
                </c:pt>
                <c:pt idx="1">
                  <c:v>Luz</c:v>
                </c:pt>
                <c:pt idx="2">
                  <c:v>Compra</c:v>
                </c:pt>
                <c:pt idx="3">
                  <c:v>Restaurantes</c:v>
                </c:pt>
                <c:pt idx="4">
                  <c:v>Noche</c:v>
                </c:pt>
                <c:pt idx="5">
                  <c:v>Transporte</c:v>
                </c:pt>
                <c:pt idx="6">
                  <c:v>Cruz Roja</c:v>
                </c:pt>
                <c:pt idx="7">
                  <c:v>WIFI</c:v>
                </c:pt>
                <c:pt idx="8">
                  <c:v>HP</c:v>
                </c:pt>
                <c:pt idx="9">
                  <c:v>Google</c:v>
                </c:pt>
                <c:pt idx="10">
                  <c:v>Gym</c:v>
                </c:pt>
                <c:pt idx="11">
                  <c:v>Windows</c:v>
                </c:pt>
                <c:pt idx="12">
                  <c:v>Varios</c:v>
                </c:pt>
              </c:strCache>
            </c:strRef>
          </c:cat>
          <c:val>
            <c:numRef>
              <c:f>'Presupuestos de Gastos'!$E$10:$E$22</c:f>
              <c:numCache>
                <c:formatCode>_("€"* #,##0.00_);_("€"* \(#,##0.00\);_("€"*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50-3246-BDF1-29F7B0C21B3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 Plantilla.xlsm]Dashboard I&amp;G!TablaDinámica2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GASTOS</a:t>
            </a:r>
          </a:p>
        </c:rich>
      </c:tx>
      <c:layout>
        <c:manualLayout>
          <c:xMode val="edge"/>
          <c:yMode val="edge"/>
          <c:x val="0.41865822515428813"/>
          <c:y val="4.846526655896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2841000545034965"/>
          <c:y val="0.12133377451259168"/>
          <c:w val="0.46855683580093038"/>
          <c:h val="0.7842082098380676"/>
        </c:manualLayout>
      </c:layout>
      <c:pieChart>
        <c:varyColors val="1"/>
        <c:ser>
          <c:idx val="0"/>
          <c:order val="0"/>
          <c:tx>
            <c:strRef>
              <c:f>'Dashboard I&amp;G'!$D$8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8-19AF-384C-88A3-7251FC2088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C5D-7443-8E18-754C530F39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C5D-7443-8E18-754C530F39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C5D-7443-8E18-754C530F39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19AF-384C-88A3-7251FC20881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BA1-2A4B-9EFC-D4BE576AF89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751-3C4A-AA15-3C86EEC05E5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0A3-CE4B-B735-303A5BFA466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44-4E8E-AE86-26E8DC6FAA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44-4E8E-AE86-26E8DC6FAA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044-4E8E-AE86-26E8DC6FAA9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862-4C3A-8746-B62292F3EF5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17A8-4599-8184-CF2391F793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I&amp;G'!$C$9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'Dashboard I&amp;G'!$D$9</c:f>
              <c:numCache>
                <c:formatCode>_("€"* #,##0.00_);_("€"* \(#,##0.00\);_("€"*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9AF-384C-88A3-7251FC20881C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 Plantilla.xlsm]Dashboard I&amp;G!TablaDinámica3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</a:t>
            </a:r>
          </a:p>
        </c:rich>
      </c:tx>
      <c:layout>
        <c:manualLayout>
          <c:xMode val="edge"/>
          <c:yMode val="edge"/>
          <c:x val="0.31468127490039843"/>
          <c:y val="2.5931928687196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'Dashboard I&amp;G'!$L$8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2285-824F-AF5A-31FC90CFAA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ED8-6D42-B61F-4D82D17878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I&amp;G'!$K$9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'Dashboard I&amp;G'!$L$9</c:f>
              <c:numCache>
                <c:formatCode>_("€"* #,##0.00_);_("€"* \(#,##0.00\);_("€"*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285-824F-AF5A-31FC90CFAA6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 Plantilla.xlsm]Dashboard I&amp;G!TablaDinámica4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568887577298154E-2"/>
          <c:y val="5.306799336650083E-2"/>
          <c:w val="0.8052293124557719"/>
          <c:h val="0.88657290972956737"/>
        </c:manualLayout>
      </c:layout>
      <c:lineChart>
        <c:grouping val="standard"/>
        <c:varyColors val="0"/>
        <c:ser>
          <c:idx val="0"/>
          <c:order val="0"/>
          <c:tx>
            <c:strRef>
              <c:f>'Dashboard I&amp;G'!$D$49:$D$50</c:f>
              <c:strCache>
                <c:ptCount val="1"/>
                <c:pt idx="0">
                  <c:v>(en blanco)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strRef>
              <c:f>'Dashboard I&amp;G'!$C$51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'Dashboard I&amp;G'!$D$51</c:f>
              <c:numCache>
                <c:formatCode>_("€"* #,##0.00_);_("€"* \(#,##0.00\);_("€"* "-"??_);_(@_)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6-47AA-B954-CD1F8ED0E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803503"/>
        <c:axId val="1554044639"/>
      </c:lineChart>
      <c:catAx>
        <c:axId val="151180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4044639"/>
        <c:crosses val="autoZero"/>
        <c:auto val="1"/>
        <c:lblAlgn val="ctr"/>
        <c:lblOffset val="100"/>
        <c:noMultiLvlLbl val="0"/>
      </c:catAx>
      <c:valAx>
        <c:axId val="155404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11803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CAPITALIZACIÓN</a:t>
            </a:r>
          </a:p>
        </c:rich>
      </c:tx>
      <c:layout>
        <c:manualLayout>
          <c:xMode val="edge"/>
          <c:yMode val="edge"/>
          <c:x val="0.20130735954075929"/>
          <c:y val="4.17972831765935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Cálculos!$D$20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2D8-4776-9D08-46C52FBEC4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[0]!CAPITALIZACIÓN_NOMBRES</c:f>
              <c:strCache>
                <c:ptCount val="1"/>
                <c:pt idx="0">
                  <c:v>Grd</c:v>
                </c:pt>
              </c:strCache>
            </c:strRef>
          </c:cat>
          <c:val>
            <c:numRef>
              <c:f>[0]!CAPITALIZACIÓN_PORCENTAJE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D8-4776-9D08-46C52FBEC4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por Sector</a:t>
            </a:r>
          </a:p>
        </c:rich>
      </c:tx>
      <c:layout>
        <c:manualLayout>
          <c:xMode val="edge"/>
          <c:yMode val="edge"/>
          <c:x val="0.2351394742123219"/>
          <c:y val="3.17007291417314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Cálculos!$G$20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A2-4EE8-8281-B429010272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[0]!SECTOR_NOMBRE</c:f>
              <c:strCache>
                <c:ptCount val="1"/>
                <c:pt idx="0">
                  <c:v>No hay inversiones</c:v>
                </c:pt>
              </c:strCache>
            </c:strRef>
          </c:cat>
          <c:val>
            <c:numRef>
              <c:f>[0]!SECTOR_PORCENTAJE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9A2-4EE8-8281-B429010272D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3542354065408"/>
          <c:y val="3.5355099551128845E-2"/>
          <c:w val="0.30584923204520925"/>
          <c:h val="0.94797824253110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% por Empresa</a:t>
            </a:r>
          </a:p>
        </c:rich>
      </c:tx>
      <c:layout>
        <c:manualLayout>
          <c:xMode val="edge"/>
          <c:yMode val="edge"/>
          <c:x val="0.32813430270098026"/>
          <c:y val="3.1670625494853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Cálculos!$J$20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955-47C6-AEA0-5D2ACD347D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[0]!SIMBOLO_NOMBRE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[0]!SIMBOLO_PORCENTAJE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955-47C6-AEA0-5D2ACD347DD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 Plantilla.xlsm]Dashboard Inversión!TablaDinámica8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DIVIDENDOS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'Dashboard Inversión'!$B$35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'Dashboard Inversión'!$B$36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'Dashboard Inversión'!$B$36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A-4A39-8159-637FC5A33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38608"/>
        <c:axId val="352536688"/>
      </c:lineChart>
      <c:catAx>
        <c:axId val="35253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2536688"/>
        <c:crosses val="autoZero"/>
        <c:auto val="1"/>
        <c:lblAlgn val="ctr"/>
        <c:lblOffset val="100"/>
        <c:noMultiLvlLbl val="0"/>
      </c:catAx>
      <c:valAx>
        <c:axId val="35253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253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Dividendos % Empresa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Cálculos!$M$20</c:f>
              <c:strCache>
                <c:ptCount val="1"/>
                <c:pt idx="0">
                  <c:v>Dividendos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19-457F-88AE-97A3C38914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[0]!DIVIDENDOS_NOMBRES</c:f>
              <c:strCache>
                <c:ptCount val="1"/>
                <c:pt idx="0">
                  <c:v>No hay inversiones</c:v>
                </c:pt>
              </c:strCache>
            </c:strRef>
          </c:cat>
          <c:val>
            <c:numRef>
              <c:f>[0]!DIVIDENDOS_EUROS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F19-457F-88AE-97A3C389146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654039002730802"/>
          <c:y val="0.12084052320685043"/>
          <c:w val="0.33283261889364657"/>
          <c:h val="0.78596772262105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2</xdr:row>
      <xdr:rowOff>76200</xdr:rowOff>
    </xdr:from>
    <xdr:to>
      <xdr:col>16</xdr:col>
      <xdr:colOff>647700</xdr:colOff>
      <xdr:row>37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</xdr:row>
      <xdr:rowOff>177800</xdr:rowOff>
    </xdr:from>
    <xdr:to>
      <xdr:col>2</xdr:col>
      <xdr:colOff>2222500</xdr:colOff>
      <xdr:row>8</xdr:row>
      <xdr:rowOff>50800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689100" y="952500"/>
          <a:ext cx="2184400" cy="889000"/>
        </a:xfrm>
        <a:prstGeom prst="roundRect">
          <a:avLst/>
        </a:prstGeom>
        <a:ln w="28575">
          <a:solidFill>
            <a:srgbClr val="00206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_tradnl" sz="1200" b="1"/>
            <a:t>  HOY:   </a:t>
          </a:r>
        </a:p>
      </xdr:txBody>
    </xdr:sp>
    <xdr:clientData/>
  </xdr:twoCellAnchor>
  <xdr:oneCellAnchor>
    <xdr:from>
      <xdr:col>2</xdr:col>
      <xdr:colOff>152400</xdr:colOff>
      <xdr:row>5</xdr:row>
      <xdr:rowOff>63500</xdr:rowOff>
    </xdr:from>
    <xdr:ext cx="927305" cy="280205"/>
    <xdr:sp macro="" textlink="Cálculos!D8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803400" y="1244600"/>
          <a:ext cx="92730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AEE4EF76-285A-BF48-96E3-68E3EEAB1363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25/10/2024</a:t>
          </a:fld>
          <a:endParaRPr lang="es-ES_tradnl" sz="1100"/>
        </a:p>
      </xdr:txBody>
    </xdr:sp>
    <xdr:clientData/>
  </xdr:oneCellAnchor>
  <xdr:twoCellAnchor>
    <xdr:from>
      <xdr:col>3</xdr:col>
      <xdr:colOff>355600</xdr:colOff>
      <xdr:row>3</xdr:row>
      <xdr:rowOff>177800</xdr:rowOff>
    </xdr:from>
    <xdr:to>
      <xdr:col>4</xdr:col>
      <xdr:colOff>304800</xdr:colOff>
      <xdr:row>8</xdr:row>
      <xdr:rowOff>50800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241800" y="952500"/>
          <a:ext cx="2184400" cy="889000"/>
        </a:xfrm>
        <a:prstGeom prst="roundRect">
          <a:avLst/>
        </a:prstGeom>
        <a:ln w="28575">
          <a:solidFill>
            <a:srgbClr val="00206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_tradnl" sz="1200" b="1"/>
            <a:t>  Última</a:t>
          </a:r>
          <a:r>
            <a:rPr lang="es-ES_tradnl" sz="1200" b="1" baseline="0"/>
            <a:t> operación</a:t>
          </a:r>
          <a:r>
            <a:rPr lang="es-ES_tradnl" sz="1200" b="1"/>
            <a:t>:   </a:t>
          </a:r>
        </a:p>
      </xdr:txBody>
    </xdr:sp>
    <xdr:clientData/>
  </xdr:twoCellAnchor>
  <xdr:twoCellAnchor>
    <xdr:from>
      <xdr:col>4</xdr:col>
      <xdr:colOff>596900</xdr:colOff>
      <xdr:row>3</xdr:row>
      <xdr:rowOff>177800</xdr:rowOff>
    </xdr:from>
    <xdr:to>
      <xdr:col>5</xdr:col>
      <xdr:colOff>1320800</xdr:colOff>
      <xdr:row>8</xdr:row>
      <xdr:rowOff>50800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718300" y="952500"/>
          <a:ext cx="2959100" cy="889000"/>
        </a:xfrm>
        <a:prstGeom prst="roundRect">
          <a:avLst/>
        </a:prstGeom>
        <a:ln w="28575">
          <a:solidFill>
            <a:srgbClr val="00206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Tiempo desde la última operación registrada</a:t>
          </a:r>
          <a:r>
            <a:rPr lang="es-E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s-ES_tradnl" sz="1200" b="1"/>
        </a:p>
      </xdr:txBody>
    </xdr:sp>
    <xdr:clientData/>
  </xdr:twoCellAnchor>
  <xdr:twoCellAnchor>
    <xdr:from>
      <xdr:col>5</xdr:col>
      <xdr:colOff>1562100</xdr:colOff>
      <xdr:row>3</xdr:row>
      <xdr:rowOff>173990</xdr:rowOff>
    </xdr:from>
    <xdr:to>
      <xdr:col>6</xdr:col>
      <xdr:colOff>1507490</xdr:colOff>
      <xdr:row>8</xdr:row>
      <xdr:rowOff>54610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9958595" y="929778"/>
          <a:ext cx="2171341" cy="864180"/>
        </a:xfrm>
        <a:prstGeom prst="roundRect">
          <a:avLst/>
        </a:prstGeom>
        <a:ln w="28575">
          <a:solidFill>
            <a:srgbClr val="00206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Registros:</a:t>
          </a:r>
          <a:r>
            <a:rPr lang="es-ES" sz="1200"/>
            <a:t> </a:t>
          </a:r>
          <a:endParaRPr lang="es-ES_tradnl" sz="1200" b="1"/>
        </a:p>
      </xdr:txBody>
    </xdr:sp>
    <xdr:clientData/>
  </xdr:twoCellAnchor>
  <xdr:oneCellAnchor>
    <xdr:from>
      <xdr:col>3</xdr:col>
      <xdr:colOff>495300</xdr:colOff>
      <xdr:row>5</xdr:row>
      <xdr:rowOff>63500</xdr:rowOff>
    </xdr:from>
    <xdr:ext cx="927305" cy="280205"/>
    <xdr:sp macro="" textlink="Cálculos!D9">
      <xdr:nvSpPr>
        <xdr:cNvPr id="10" name="Cuadro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381500" y="1244600"/>
          <a:ext cx="92730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769FBF9-8574-AD44-9770-A52209A930F1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00/01/1900</a:t>
          </a:fld>
          <a:endParaRPr lang="es-ES_tradnl" sz="1100"/>
        </a:p>
      </xdr:txBody>
    </xdr:sp>
    <xdr:clientData/>
  </xdr:oneCellAnchor>
  <xdr:oneCellAnchor>
    <xdr:from>
      <xdr:col>4</xdr:col>
      <xdr:colOff>669290</xdr:colOff>
      <xdr:row>5</xdr:row>
      <xdr:rowOff>92711</xdr:rowOff>
    </xdr:from>
    <xdr:ext cx="2336800" cy="280141"/>
    <xdr:sp macro="" textlink="Cálculos!D10">
      <xdr:nvSpPr>
        <xdr:cNvPr id="11" name="Cuadro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6839833" y="1241923"/>
          <a:ext cx="2336800" cy="280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C5DE479-2DF0-4A59-9C1C-888887E6141B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s-ES_tradnl" sz="1100"/>
        </a:p>
      </xdr:txBody>
    </xdr:sp>
    <xdr:clientData/>
  </xdr:oneCellAnchor>
  <xdr:oneCellAnchor>
    <xdr:from>
      <xdr:col>5</xdr:col>
      <xdr:colOff>1701800</xdr:colOff>
      <xdr:row>5</xdr:row>
      <xdr:rowOff>76200</xdr:rowOff>
    </xdr:from>
    <xdr:ext cx="496546" cy="280205"/>
    <xdr:sp macro="" textlink="Cálculos!D11">
      <xdr:nvSpPr>
        <xdr:cNvPr id="12" name="Cuadro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007600" y="1234440"/>
          <a:ext cx="49654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3F7708FE-C407-CB46-BE07-F8E35A5705E5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s-ES_tradn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6985</xdr:colOff>
      <xdr:row>21</xdr:row>
      <xdr:rowOff>39370</xdr:rowOff>
    </xdr:from>
    <xdr:to>
      <xdr:col>9</xdr:col>
      <xdr:colOff>6985</xdr:colOff>
      <xdr:row>40</xdr:row>
      <xdr:rowOff>107315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230505</xdr:colOff>
      <xdr:row>21</xdr:row>
      <xdr:rowOff>40640</xdr:rowOff>
    </xdr:from>
    <xdr:to>
      <xdr:col>14</xdr:col>
      <xdr:colOff>1238885</xdr:colOff>
      <xdr:row>40</xdr:row>
      <xdr:rowOff>86360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401320</xdr:colOff>
      <xdr:row>40</xdr:row>
      <xdr:rowOff>157480</xdr:rowOff>
    </xdr:from>
    <xdr:to>
      <xdr:col>14</xdr:col>
      <xdr:colOff>878840</xdr:colOff>
      <xdr:row>59</xdr:row>
      <xdr:rowOff>125730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  <a:ext uri="{147F2762-F138-4A5C-976F-8EAC2B608ADB}">
              <a16:predDERef xmlns:a16="http://schemas.microsoft.com/office/drawing/2014/main" pre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5</xdr:row>
          <xdr:rowOff>22860</xdr:rowOff>
        </xdr:from>
        <xdr:to>
          <xdr:col>17</xdr:col>
          <xdr:colOff>632460</xdr:colOff>
          <xdr:row>7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245746</xdr:colOff>
      <xdr:row>1</xdr:row>
      <xdr:rowOff>91440</xdr:rowOff>
    </xdr:from>
    <xdr:to>
      <xdr:col>23</xdr:col>
      <xdr:colOff>638175</xdr:colOff>
      <xdr:row>21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668655</xdr:colOff>
      <xdr:row>1</xdr:row>
      <xdr:rowOff>99058</xdr:rowOff>
    </xdr:from>
    <xdr:to>
      <xdr:col>15</xdr:col>
      <xdr:colOff>139065</xdr:colOff>
      <xdr:row>21</xdr:row>
      <xdr:rowOff>102870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842009</xdr:colOff>
      <xdr:row>1</xdr:row>
      <xdr:rowOff>95250</xdr:rowOff>
    </xdr:from>
    <xdr:to>
      <xdr:col>7</xdr:col>
      <xdr:colOff>502919</xdr:colOff>
      <xdr:row>21</xdr:row>
      <xdr:rowOff>102870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98106</xdr:colOff>
      <xdr:row>22</xdr:row>
      <xdr:rowOff>140969</xdr:rowOff>
    </xdr:from>
    <xdr:to>
      <xdr:col>15</xdr:col>
      <xdr:colOff>131444</xdr:colOff>
      <xdr:row>48</xdr:row>
      <xdr:rowOff>62865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323849</xdr:colOff>
      <xdr:row>22</xdr:row>
      <xdr:rowOff>133350</xdr:rowOff>
    </xdr:from>
    <xdr:to>
      <xdr:col>23</xdr:col>
      <xdr:colOff>630555</xdr:colOff>
      <xdr:row>48</xdr:row>
      <xdr:rowOff>66675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 RIERA GUARDIA" refreshedDate="45363.738785879628" createdVersion="8" refreshedVersion="8" minRefreshableVersion="3" recordCount="1" xr:uid="{A5663A4F-154B-4EAB-8B93-D0108D40A745}">
  <cacheSource type="worksheet">
    <worksheetSource name="Cotizaciones"/>
  </cacheSource>
  <cacheFields count="7">
    <cacheField name="Tablero de cotizaciones" numFmtId="0">
      <sharedItems/>
    </cacheField>
    <cacheField name="Transacción" numFmtId="0">
      <sharedItems containsNonDate="0" containsString="0" containsBlank="1"/>
    </cacheField>
    <cacheField name="Fecha" numFmtId="14">
      <sharedItems containsNonDate="0" containsString="0" containsBlank="1"/>
    </cacheField>
    <cacheField name="Cantidad" numFmtId="0">
      <sharedItems containsNonDate="0" containsString="0" containsBlank="1"/>
    </cacheField>
    <cacheField name="Precio" numFmtId="44">
      <sharedItems containsNonDate="0" containsString="0" containsBlank="1"/>
    </cacheField>
    <cacheField name="Dividendo" numFmtId="44">
      <sharedItems containsNonDate="0" containsString="0" containsBlank="1"/>
    </cacheField>
    <cacheField name="Cantidad Total" numFmtId="4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7540379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 RIERA GUARDIA" refreshedDate="45590.706492129633" createdVersion="8" refreshedVersion="8" minRefreshableVersion="3" recordCount="1" xr:uid="{764FD862-6584-694D-AFF2-35072C505AA4}">
  <cacheSource type="worksheet">
    <worksheetSource name="Libro_Diario"/>
  </cacheSource>
  <cacheFields count="7">
    <cacheField name="Fecha" numFmtId="14">
      <sharedItems containsNonDate="0" containsString="0" containsBlank="1" count="1">
        <m/>
      </sharedItems>
    </cacheField>
    <cacheField name="Tipo " numFmtId="14">
      <sharedItems containsNonDate="0" containsBlank="1" count="3">
        <m/>
        <s v="Gastos" u="1"/>
        <s v="Ingresos" u="1"/>
      </sharedItems>
    </cacheField>
    <cacheField name="Categoria " numFmtId="14">
      <sharedItems containsNonDate="0" containsBlank="1" count="17">
        <m/>
        <s v="Transporte" u="1"/>
        <s v="Varios" u="1"/>
        <s v="Restaurantes" u="1"/>
        <s v="Compra" u="1"/>
        <s v="Noche" u="1"/>
        <s v="Luz" u="1"/>
        <s v="Alquiler " u="1"/>
        <s v="WIFI" u="1"/>
        <s v="Nómina (neto)  " u="1"/>
        <s v="Google" u="1"/>
        <s v="HP" u="1"/>
        <s v="Windows" u="1"/>
        <s v="Cruz Roja" u="1"/>
        <s v="Coursera" u="1"/>
        <s v="Gym" u="1"/>
        <s v="c" u="1"/>
      </sharedItems>
    </cacheField>
    <cacheField name="Cantidad " numFmtId="14">
      <sharedItems containsNonDate="0" containsString="0" containsBlank="1"/>
    </cacheField>
    <cacheField name="Detalles" numFmtId="14">
      <sharedItems containsNonDate="0" containsString="0" containsBlank="1"/>
    </cacheField>
    <cacheField name="Mes Número" numFmtId="0">
      <sharedItems containsSemiMixedTypes="0" containsString="0" containsNumber="1" containsInteger="1" minValue="1" maxValue="1"/>
    </cacheField>
    <cacheField name="Año Numero" numFmtId="0">
      <sharedItems containsSemiMixedTypes="0" containsString="0" containsNumber="1" containsInteger="1" minValue="1900" maxValue="1900"/>
    </cacheField>
  </cacheFields>
  <extLst>
    <ext xmlns:x14="http://schemas.microsoft.com/office/spreadsheetml/2009/9/main" uri="{725AE2AE-9491-48be-B2B4-4EB974FC3084}">
      <x14:pivotCacheDefinition pivotCacheId="11393030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WALMART INC. (XNYS:WMT)"/>
    <m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m/>
    <m/>
    <n v="1"/>
    <n v="19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FE2BD4-39D6-1F4B-AA1A-E90AABBACF10}" name="TablaDinámica4" cacheId="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>
  <location ref="C49:D51" firstHeaderRow="1" firstDataRow="2" firstDataCol="1"/>
  <pivotFields count="7">
    <pivotField numFmtId="17" showAll="0"/>
    <pivotField axis="axisCol" showAll="0" defaultSubtotal="0">
      <items count="3">
        <item m="1" x="1"/>
        <item m="1" x="2"/>
        <item x="0"/>
      </items>
    </pivotField>
    <pivotField showAll="0" defaultSubtotal="0"/>
    <pivotField dataField="1" showAll="0" defaultSubtotal="0"/>
    <pivotField showAll="0" defaultSubtotal="0"/>
    <pivotField subtotalTop="0" showAll="0" defaultSubtotal="0"/>
    <pivotField subtotalTop="0" showAll="0" defaultSubtotal="0"/>
  </pivotFields>
  <rowItems count="1">
    <i/>
  </rowItems>
  <colFields count="1">
    <field x="1"/>
  </colFields>
  <colItems count="1">
    <i>
      <x v="2"/>
    </i>
  </colItems>
  <dataFields count="1">
    <dataField name="Suma de Cantidad " fld="3" baseField="0" baseItem="0"/>
  </dataFields>
  <formats count="1">
    <format dxfId="8">
      <pivotArea outline="0" collapsedLevelsAreSubtotals="1" fieldPosition="0"/>
    </format>
  </formats>
  <chartFormats count="3"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94311-7B1E-384C-A681-A4AEA47A5632}" name="TablaDiná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K8:L9" firstHeaderRow="1" firstDataRow="1" firstDataCol="1" rowPageCount="1" colPageCount="1"/>
  <pivotFields count="7">
    <pivotField numFmtId="14" showAll="0"/>
    <pivotField axis="axisPage" multipleItemSelectionAllowed="1" showAll="0">
      <items count="4">
        <item h="1" m="1" x="1"/>
        <item m="1" x="2"/>
        <item h="1" x="0"/>
        <item t="default"/>
      </items>
    </pivotField>
    <pivotField axis="axisRow" showAll="0">
      <items count="18">
        <item m="1" x="4"/>
        <item m="1" x="5"/>
        <item m="1" x="9"/>
        <item m="1" x="3"/>
        <item m="1" x="1"/>
        <item m="1" x="2"/>
        <item m="1" x="7"/>
        <item m="1" x="6"/>
        <item m="1" x="8"/>
        <item m="1" x="10"/>
        <item m="1" x="11"/>
        <item m="1" x="12"/>
        <item m="1" x="13"/>
        <item m="1" x="16"/>
        <item m="1" x="14"/>
        <item m="1" x="15"/>
        <item x="0"/>
        <item t="default"/>
      </items>
    </pivotField>
    <pivotField dataField="1"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1" hier="-1"/>
  </pageFields>
  <dataFields count="1">
    <dataField name="Suma de Cantidad " fld="3" baseField="0" baseItem="0" numFmtId="44"/>
  </dataFields>
  <formats count="1">
    <format dxfId="9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A86332-B561-4846-B626-3C8723B522B6}" name="TablaDiná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 ">
  <location ref="C8:D9" firstHeaderRow="1" firstDataRow="1" firstDataCol="1" rowPageCount="1" colPageCount="1"/>
  <pivotFields count="7">
    <pivotField numFmtId="14" showAll="0"/>
    <pivotField axis="axisPage" multipleItemSelectionAllowed="1" showAll="0">
      <items count="4">
        <item m="1" x="1"/>
        <item h="1" m="1" x="2"/>
        <item h="1" x="0"/>
        <item t="default"/>
      </items>
    </pivotField>
    <pivotField axis="axisRow" showAll="0">
      <items count="18">
        <item m="1" x="4"/>
        <item m="1" x="5"/>
        <item m="1" x="3"/>
        <item m="1" x="1"/>
        <item m="1" x="2"/>
        <item m="1" x="9"/>
        <item m="1" x="7"/>
        <item m="1" x="6"/>
        <item m="1" x="8"/>
        <item m="1" x="10"/>
        <item m="1" x="11"/>
        <item m="1" x="12"/>
        <item m="1" x="13"/>
        <item m="1" x="16"/>
        <item m="1" x="14"/>
        <item m="1" x="15"/>
        <item x="0"/>
        <item t="default"/>
      </items>
    </pivotField>
    <pivotField dataField="1"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1" hier="-1"/>
  </pageFields>
  <dataFields count="1">
    <dataField name="Suma de Cantidad " fld="3" baseField="0" baseItem="0" numFmtId="44"/>
  </dataFields>
  <formats count="1">
    <format dxfId="10">
      <pivotArea outline="0" collapsedLevelsAreSubtotals="1" fieldPosition="0"/>
    </format>
  </format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</chartFormats>
  <pivotTableStyleInfo name="PivotStyleDark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0B8FE-A886-49DD-BFD3-83BE459018D0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B35:B36" firstHeaderRow="1" firstDataRow="1" firstDataCol="0"/>
  <pivotFields count="7">
    <pivotField showAll="0"/>
    <pivotField showAll="0"/>
    <pivotField numFmtId="14" showAll="0"/>
    <pivotField showAll="0"/>
    <pivotField showAll="0"/>
    <pivotField dataField="1" showAll="0"/>
    <pivotField numFmtId="44" showAll="0"/>
  </pivotFields>
  <rowItems count="1">
    <i/>
  </rowItems>
  <colItems count="1">
    <i/>
  </colItems>
  <dataFields count="1">
    <dataField name="Suma de Dividendo" fld="5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12</v>
    <v>Símbolo bursátil</v>
    <v>0</v>
  </rv>
</rvData>
</file>

<file path=xl/richData/rdrichvaluestructure.xml><?xml version="1.0" encoding="utf-8"?>
<rvStructures xmlns="http://schemas.microsoft.com/office/spreadsheetml/2017/richdata" count="1">
  <s t="_error">
    <k n="errorType" t="i"/>
    <k n="field" t="s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E20420-E907-5544-9943-B4E02BFD4044}" name="Gastos7" displayName="Gastos7" ref="B9:E22" totalsRowShown="0" headerRowDxfId="76" dataDxfId="74" headerRowBorderDxfId="75" tableBorderDxfId="73" totalsRowBorderDxfId="72">
  <tableColumns count="4">
    <tableColumn id="1" xr3:uid="{EA535C68-821C-D549-B7CF-7330ED7ECA92}" name="Gastos" dataDxfId="71"/>
    <tableColumn id="2" xr3:uid="{BEAAEF45-091E-8D40-B291-DEF17FAC2F68}" name="Cantidad" dataDxfId="70"/>
    <tableColumn id="3" xr3:uid="{588D7AD3-E113-E54D-AEEA-D985FF932E9F}" name="Mes" dataDxfId="69">
      <calculatedColumnFormula>SUMIFS(Libro_Diario[[Cantidad ]],Libro_Diario[[Tipo ]],"=Gastos",Libro_Diario[Año Numero],'Presupuestos de Gastos'!$C$4,Libro_Diario[Mes Número],'Presupuestos de Gastos'!$C$5,Libro_Diario[[Categoria ]],Gastos7[[#This Row],[Gastos]])</calculatedColumnFormula>
    </tableColumn>
    <tableColumn id="4" xr3:uid="{F13A1939-D9AB-E54B-BDC2-AAB9269847EB}" name="Balance" dataDxfId="68">
      <calculatedColumnFormula>Gastos7[[#This Row],[Cantidad]]-Gastos7[[#This Row],[Mes]]</calculatedColumnFormula>
    </tableColumn>
  </tableColumns>
  <tableStyleInfo name="Gasto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5F35C4-F5F4-924F-AD05-CEC7F1B283A0}" name="Ingresos" displayName="Ingresos" ref="C9:C12" totalsRowShown="0" headerRowDxfId="41" dataDxfId="39" headerRowBorderDxfId="40" tableBorderDxfId="38" totalsRowBorderDxfId="37">
  <autoFilter ref="C9:C12" xr:uid="{DC5F35C4-F5F4-924F-AD05-CEC7F1B283A0}"/>
  <tableColumns count="1">
    <tableColumn id="1" xr3:uid="{2112AD43-3404-3D4C-AAB9-616BB679720F}" name="Ingresos" dataDxfId="36"/>
  </tableColumns>
  <tableStyleInfo name="Ingreo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52CD50-4423-4348-8FFA-50A67061AE02}" name="Gastos" displayName="Gastos" ref="C22:C36" totalsRowShown="0" headerRowDxfId="35" dataDxfId="33" headerRowBorderDxfId="34" tableBorderDxfId="32" totalsRowBorderDxfId="31">
  <autoFilter ref="C22:C36" xr:uid="{EA52CD50-4423-4348-8FFA-50A67061AE02}"/>
  <tableColumns count="1">
    <tableColumn id="1" xr3:uid="{37A26911-212C-974D-B88C-06B53C050525}" name="Gastos" dataDxfId="30"/>
  </tableColumns>
  <tableStyleInfo name="Gasto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EAE0B1-DECE-7F49-B58F-7A386D9CD85B}" name="Ahorros" displayName="Ahorros" ref="C42:C44" totalsRowShown="0" headerRowDxfId="29" dataDxfId="27" headerRowBorderDxfId="28" tableBorderDxfId="26" totalsRowBorderDxfId="25">
  <autoFilter ref="C42:C44" xr:uid="{37EAE0B1-DECE-7F49-B58F-7A386D9CD85B}"/>
  <tableColumns count="1">
    <tableColumn id="1" xr3:uid="{C3159B80-D1C4-B64D-8DB8-3EFB2B1B091D}" name="Ahorros" dataDxfId="24"/>
  </tableColumns>
  <tableStyleInfo name="Ahorr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40EF84-1FA9-A143-80AB-4472A925A163}" name="Libro_Diario" displayName="Libro_Diario" ref="C11:I12" totalsRowShown="0" headerRowDxfId="19" dataDxfId="18">
  <autoFilter ref="C11:I12" xr:uid="{2040EF84-1FA9-A143-80AB-4472A925A163}"/>
  <tableColumns count="7">
    <tableColumn id="1" xr3:uid="{5ADF0F5D-1D43-D548-B441-4A537DB47537}" name="Fecha" dataDxfId="17"/>
    <tableColumn id="2" xr3:uid="{B11BA55A-4BDE-E541-857E-E82AF71FC2E2}" name="Tipo " dataDxfId="16"/>
    <tableColumn id="3" xr3:uid="{F39C809A-5BD6-C74A-954C-2967A7B9BF32}" name="Categoria " dataDxfId="15"/>
    <tableColumn id="4" xr3:uid="{FB28E35A-FA18-1845-B13E-0C83CF4C09E8}" name="Cantidad " dataDxfId="14"/>
    <tableColumn id="5" xr3:uid="{10C9E0D3-BA75-814E-80FA-B8478A935A5F}" name="Detalles" dataDxfId="13"/>
    <tableColumn id="6" xr3:uid="{97065770-F8A5-F846-A01D-58F607137CAA}" name="Mes Número" dataDxfId="12">
      <calculatedColumnFormula>MONTH(Libro_Diario[[#This Row],[Fecha]])</calculatedColumnFormula>
    </tableColumn>
    <tableColumn id="7" xr3:uid="{FEC081B0-F366-8D49-A7AB-391ACCAF06EC}" name="Año Numero" dataDxfId="11">
      <calculatedColumnFormula>YEAR(Libro_Diario[[#This Row],[Fecha]])</calculatedColumnFormula>
    </tableColumn>
  </tableColumns>
  <tableStyleInfo name="Ahorr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FC37B8-83D0-47C3-8049-C836B9497999}" name="Cotizaciones" displayName="Cotizaciones" ref="B2:I3" totalsRowShown="0">
  <autoFilter ref="B2:I3" xr:uid="{AAFC37B8-83D0-47C3-8049-C836B9497999}"/>
  <tableColumns count="8">
    <tableColumn id="1" xr3:uid="{4EAB44D4-9743-4336-A635-2D67A04081D4}" name="Tablero de cotizaciones"/>
    <tableColumn id="2" xr3:uid="{D468DB19-5D51-4374-8E89-C942501C7660}" name="Transacción"/>
    <tableColumn id="3" xr3:uid="{51D9CD90-5501-471A-B004-4D3AF33E14BA}" name="Fecha" dataDxfId="7"/>
    <tableColumn id="4" xr3:uid="{194C0A64-5D35-4160-87AC-1241B0A633B4}" name="Cantidad" dataDxfId="6" dataCellStyle="Moneda"/>
    <tableColumn id="5" xr3:uid="{27DCD2B5-425D-4E86-9365-FF939604878F}" name="Precio" dataCellStyle="Moneda"/>
    <tableColumn id="6" xr3:uid="{259CA7DC-C472-451A-8314-7107FA389EC9}" name="Dividendo" dataCellStyle="Moneda"/>
    <tableColumn id="7" xr3:uid="{8F8F8216-0BDC-4BEA-8696-C96B3622A603}" name="Comisiones" dataDxfId="5" dataCellStyle="Moneda"/>
    <tableColumn id="8" xr3:uid="{8CCE9F59-F091-4A11-8888-3A7A3B266471}" name="Cantidad Total" dataDxfId="4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D5F51-8B97-F34E-ACC8-2E07C67121C4}">
  <sheetPr codeName="Hoja1"/>
  <dimension ref="C1:H18"/>
  <sheetViews>
    <sheetView showGridLines="0" workbookViewId="0">
      <selection activeCell="B32" sqref="B32"/>
    </sheetView>
  </sheetViews>
  <sheetFormatPr baseColWidth="10" defaultColWidth="10.69921875" defaultRowHeight="15.6" x14ac:dyDescent="0.3"/>
  <cols>
    <col min="3" max="3" width="1.69921875" customWidth="1"/>
    <col min="4" max="4" width="12.8984375" bestFit="1" customWidth="1"/>
    <col min="5" max="5" width="13.3984375" customWidth="1"/>
    <col min="6" max="6" width="2.69921875" customWidth="1"/>
    <col min="7" max="7" width="41.19921875" bestFit="1" customWidth="1"/>
    <col min="8" max="8" width="10.69921875" customWidth="1"/>
  </cols>
  <sheetData>
    <row r="1" spans="3:8" s="2" customFormat="1" x14ac:dyDescent="0.3"/>
    <row r="2" spans="3:8" s="2" customFormat="1" ht="25.8" x14ac:dyDescent="0.5">
      <c r="C2" s="3" t="s">
        <v>0</v>
      </c>
    </row>
    <row r="3" spans="3:8" s="1" customFormat="1" x14ac:dyDescent="0.3"/>
    <row r="6" spans="3:8" x14ac:dyDescent="0.3">
      <c r="C6" s="102" t="s">
        <v>1</v>
      </c>
      <c r="D6" s="102"/>
      <c r="E6" s="102"/>
      <c r="F6" s="102"/>
      <c r="G6" s="102"/>
      <c r="H6" s="102"/>
    </row>
    <row r="7" spans="3:8" x14ac:dyDescent="0.3">
      <c r="C7" s="4"/>
      <c r="H7" s="5"/>
    </row>
    <row r="8" spans="3:8" x14ac:dyDescent="0.3">
      <c r="C8" s="4"/>
      <c r="D8" s="9" t="s">
        <v>2</v>
      </c>
      <c r="E8" s="10">
        <v>2023</v>
      </c>
      <c r="G8" s="11" t="s">
        <v>3</v>
      </c>
      <c r="H8" s="5"/>
    </row>
    <row r="9" spans="3:8" x14ac:dyDescent="0.3">
      <c r="C9" s="6"/>
      <c r="D9" s="7"/>
      <c r="E9" s="7"/>
      <c r="F9" s="7"/>
      <c r="G9" s="7"/>
      <c r="H9" s="8"/>
    </row>
    <row r="12" spans="3:8" x14ac:dyDescent="0.3">
      <c r="C12" s="103"/>
      <c r="D12" s="103"/>
      <c r="E12" s="103"/>
      <c r="F12" s="103"/>
      <c r="G12" s="103"/>
      <c r="H12" s="103"/>
    </row>
    <row r="16" spans="3:8" x14ac:dyDescent="0.3">
      <c r="G16" s="103"/>
    </row>
    <row r="17" spans="7:7" ht="13.2" customHeight="1" x14ac:dyDescent="0.3">
      <c r="G17" s="103"/>
    </row>
    <row r="18" spans="7:7" x14ac:dyDescent="0.3">
      <c r="G18" s="103"/>
    </row>
  </sheetData>
  <mergeCells count="3">
    <mergeCell ref="C6:H6"/>
    <mergeCell ref="C12:H12"/>
    <mergeCell ref="G16:G18"/>
  </mergeCells>
  <dataValidations count="1">
    <dataValidation type="list" allowBlank="1" showInputMessage="1" showErrorMessage="1" sqref="E16" xr:uid="{1946A32C-6E43-CA44-9C10-B8D3C9EB5829}">
      <formula1>"Activado, Desactivado"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F9D03-4979-DB4E-B0CF-3D99978F2DA8}">
  <sheetPr codeName="Hoja2"/>
  <dimension ref="C1:M24"/>
  <sheetViews>
    <sheetView showGridLines="0" topLeftCell="A2" workbookViewId="0">
      <selection activeCell="D15" sqref="D15"/>
    </sheetView>
  </sheetViews>
  <sheetFormatPr baseColWidth="10" defaultColWidth="10.69921875" defaultRowHeight="15.6" x14ac:dyDescent="0.3"/>
  <cols>
    <col min="3" max="3" width="38.5" customWidth="1"/>
    <col min="4" max="4" width="17.5" style="67" customWidth="1"/>
    <col min="6" max="6" width="37.5" customWidth="1"/>
    <col min="7" max="7" width="28.5" style="67" customWidth="1"/>
    <col min="9" max="9" width="10.59765625" customWidth="1"/>
    <col min="10" max="10" width="11.19921875" style="79"/>
    <col min="12" max="12" width="42.19921875" bestFit="1" customWidth="1"/>
  </cols>
  <sheetData>
    <row r="1" spans="3:10" s="1" customFormat="1" x14ac:dyDescent="0.3"/>
    <row r="2" spans="3:10" s="1" customFormat="1" ht="28.8" x14ac:dyDescent="0.55000000000000004">
      <c r="C2" s="13" t="s">
        <v>38</v>
      </c>
    </row>
    <row r="3" spans="3:10" s="1" customFormat="1" x14ac:dyDescent="0.3"/>
    <row r="4" spans="3:10" x14ac:dyDescent="0.3">
      <c r="D4"/>
      <c r="G4"/>
      <c r="J4"/>
    </row>
    <row r="5" spans="3:10" x14ac:dyDescent="0.3">
      <c r="D5"/>
      <c r="G5"/>
      <c r="J5"/>
    </row>
    <row r="6" spans="3:10" ht="18" x14ac:dyDescent="0.35">
      <c r="C6" s="12" t="s">
        <v>25</v>
      </c>
      <c r="D6" s="1"/>
      <c r="F6" s="104" t="s">
        <v>51</v>
      </c>
      <c r="G6" s="104"/>
      <c r="I6" s="104" t="s">
        <v>56</v>
      </c>
      <c r="J6" s="104"/>
    </row>
    <row r="7" spans="3:10" x14ac:dyDescent="0.3">
      <c r="D7"/>
      <c r="F7">
        <v>2023</v>
      </c>
      <c r="G7" s="51">
        <f ca="1">SUMIF('Libro Mayor'!E7:P7,"&lt;0")</f>
        <v>0</v>
      </c>
      <c r="I7">
        <f>MONTH(J7)</f>
        <v>1</v>
      </c>
      <c r="J7" s="35">
        <v>36526</v>
      </c>
    </row>
    <row r="8" spans="3:10" x14ac:dyDescent="0.3">
      <c r="C8" s="9" t="s">
        <v>39</v>
      </c>
      <c r="D8" s="35">
        <f ca="1">TODAY()</f>
        <v>45590</v>
      </c>
      <c r="F8">
        <v>2024</v>
      </c>
      <c r="G8" s="51">
        <f ca="1">SUMIF('Libro Mayor'!S7:AD7,"&lt;0")</f>
        <v>0</v>
      </c>
      <c r="I8">
        <f t="shared" ref="I8:I18" si="0">MONTH(J8)</f>
        <v>2</v>
      </c>
      <c r="J8" s="35">
        <v>36557</v>
      </c>
    </row>
    <row r="9" spans="3:10" x14ac:dyDescent="0.3">
      <c r="C9" s="9" t="s">
        <v>40</v>
      </c>
      <c r="D9" s="35">
        <f>MAX(Libro_Diario[Fecha])</f>
        <v>0</v>
      </c>
      <c r="F9">
        <v>2025</v>
      </c>
      <c r="G9" s="51">
        <f ca="1">SUMIF('Libro Mayor'!AG7:AR7,"&lt;0")</f>
        <v>0</v>
      </c>
      <c r="I9">
        <f t="shared" si="0"/>
        <v>3</v>
      </c>
      <c r="J9" s="35">
        <v>36586</v>
      </c>
    </row>
    <row r="10" spans="3:10" x14ac:dyDescent="0.3">
      <c r="C10" s="9" t="s">
        <v>41</v>
      </c>
      <c r="D10" t="str">
        <f>IF(D9=0,"","("&amp; _xlfn.DAYS(D8,D9)&amp;" días transcurridos)")</f>
        <v/>
      </c>
      <c r="F10">
        <v>2026</v>
      </c>
      <c r="G10" s="51">
        <f ca="1">SUMIF('Libro Mayor'!AU7:BF7,"&lt;0")</f>
        <v>0</v>
      </c>
      <c r="I10">
        <f t="shared" si="0"/>
        <v>4</v>
      </c>
      <c r="J10" s="35">
        <v>36617</v>
      </c>
    </row>
    <row r="11" spans="3:10" x14ac:dyDescent="0.3">
      <c r="C11" s="9" t="s">
        <v>42</v>
      </c>
      <c r="D11">
        <f>COUNT(Libro_Diario[Fecha])</f>
        <v>0</v>
      </c>
      <c r="F11">
        <v>2027</v>
      </c>
      <c r="G11" s="51">
        <f ca="1">SUMIF('Libro Mayor'!BI7:BT7,"&lt;0")</f>
        <v>0</v>
      </c>
      <c r="I11">
        <f t="shared" si="0"/>
        <v>5</v>
      </c>
      <c r="J11" s="35">
        <v>36647</v>
      </c>
    </row>
    <row r="12" spans="3:10" x14ac:dyDescent="0.3">
      <c r="C12" s="9"/>
      <c r="D12"/>
      <c r="F12">
        <v>2028</v>
      </c>
      <c r="G12" s="51">
        <f ca="1">SUMIF('Libro Mayor'!BW7:CH7,"&lt;0")</f>
        <v>0</v>
      </c>
      <c r="I12">
        <f t="shared" si="0"/>
        <v>6</v>
      </c>
      <c r="J12" s="35">
        <v>36678</v>
      </c>
    </row>
    <row r="13" spans="3:10" x14ac:dyDescent="0.3">
      <c r="D13"/>
      <c r="F13">
        <v>2029</v>
      </c>
      <c r="G13" s="51">
        <f ca="1">SUMIF('Libro Mayor'!CK7:CV7,"&lt;0")</f>
        <v>0</v>
      </c>
      <c r="I13">
        <f t="shared" si="0"/>
        <v>7</v>
      </c>
      <c r="J13" s="35">
        <v>36708</v>
      </c>
    </row>
    <row r="14" spans="3:10" ht="18" x14ac:dyDescent="0.35">
      <c r="C14" s="12" t="s">
        <v>48</v>
      </c>
      <c r="D14" s="12"/>
      <c r="F14">
        <v>2030</v>
      </c>
      <c r="G14" s="51">
        <f ca="1">SUMIF('Libro Mayor'!CY7:DJ7,"&lt;0")</f>
        <v>0</v>
      </c>
      <c r="I14">
        <f t="shared" si="0"/>
        <v>8</v>
      </c>
      <c r="J14" s="35">
        <v>36739</v>
      </c>
    </row>
    <row r="15" spans="3:10" x14ac:dyDescent="0.3">
      <c r="C15" s="9" t="s">
        <v>49</v>
      </c>
      <c r="D15" s="49">
        <f ca="1">SUM('Libro Mayor'!E43:P43,'Libro Mayor'!S43:AD43,'Libro Mayor'!AG43:AR43,'Libro Mayor'!AU43:BF43,'Libro Mayor'!BF43,'Libro Mayor'!BI43:BT43,'Libro Mayor'!BW43:CH43,'Libro Mayor'!CK43:CV43,'Libro Mayor'!CY43:DJ43,'Libro Mayor'!DM43:DX43,'Libro Mayor'!EA43:EL43,'Libro Mayor'!EO43:EZ43)</f>
        <v>0</v>
      </c>
      <c r="F15">
        <v>2031</v>
      </c>
      <c r="G15" s="51">
        <f ca="1">SUMIF('Libro Mayor'!DM7:DX7,"&lt;0")</f>
        <v>0</v>
      </c>
      <c r="I15">
        <f t="shared" si="0"/>
        <v>9</v>
      </c>
      <c r="J15" s="35">
        <v>36770</v>
      </c>
    </row>
    <row r="16" spans="3:10" x14ac:dyDescent="0.3">
      <c r="C16" s="9" t="s">
        <v>50</v>
      </c>
      <c r="D16">
        <f ca="1">SUM(G7:G17)</f>
        <v>0</v>
      </c>
      <c r="F16">
        <v>2032</v>
      </c>
      <c r="G16" s="51">
        <f ca="1">SUMIF('Libro Mayor'!EA7:EL7,"&lt;0")</f>
        <v>0</v>
      </c>
      <c r="I16">
        <f t="shared" si="0"/>
        <v>10</v>
      </c>
      <c r="J16" s="35">
        <v>36800</v>
      </c>
    </row>
    <row r="17" spans="3:13" x14ac:dyDescent="0.3">
      <c r="C17" s="9" t="s">
        <v>54</v>
      </c>
      <c r="D17" s="49">
        <f ca="1">SUM('Libro Mayor'!E44:P44,'Libro Mayor'!S44:AD44,'Libro Mayor'!AG44:AR44,'Libro Mayor'!AU44:BF44,'Libro Mayor'!BF44,'Libro Mayor'!BI44:BT44,'Libro Mayor'!BW44:CH44,'Libro Mayor'!CK44:CV44,'Libro Mayor'!CY44:DJ44,'Libro Mayor'!DM44:DX44,'Libro Mayor'!EA44:EL44,'Libro Mayor'!EO44:EZ44)</f>
        <v>0</v>
      </c>
      <c r="F17">
        <v>2033</v>
      </c>
      <c r="G17" s="51">
        <f ca="1">SUMIF('Libro Mayor'!EO7:EZ7,"&lt;0")</f>
        <v>0</v>
      </c>
      <c r="I17">
        <f t="shared" si="0"/>
        <v>11</v>
      </c>
      <c r="J17" s="35">
        <v>36831</v>
      </c>
    </row>
    <row r="18" spans="3:13" x14ac:dyDescent="0.3">
      <c r="D18"/>
      <c r="G18"/>
      <c r="I18">
        <f t="shared" si="0"/>
        <v>12</v>
      </c>
      <c r="J18" s="35">
        <v>36861</v>
      </c>
    </row>
    <row r="19" spans="3:13" x14ac:dyDescent="0.3">
      <c r="D19"/>
      <c r="G19"/>
      <c r="J19"/>
    </row>
    <row r="20" spans="3:13" ht="18" x14ac:dyDescent="0.35">
      <c r="C20" s="80" t="s">
        <v>97</v>
      </c>
      <c r="D20" s="81" t="s">
        <v>98</v>
      </c>
      <c r="F20" s="80" t="s">
        <v>77</v>
      </c>
      <c r="G20" s="81" t="s">
        <v>98</v>
      </c>
      <c r="I20" s="80" t="s">
        <v>99</v>
      </c>
      <c r="J20" s="81" t="s">
        <v>98</v>
      </c>
      <c r="L20" s="12" t="s">
        <v>102</v>
      </c>
      <c r="M20" s="12" t="s">
        <v>101</v>
      </c>
    </row>
    <row r="21" spans="3:13" x14ac:dyDescent="0.3">
      <c r="C21" t="str" cm="1">
        <f t="array" ref="C21">_xlfn.UNIQUE(_xlfn.ANCHORARRAY('Cartera Inversión'!E7))</f>
        <v>Grd</v>
      </c>
      <c r="D21" s="67" cm="1">
        <f t="array" ref="D21">SUMIF(_xlfn.ANCHORARRAY('Cartera Inversión'!E7),_xlfn.ANCHORARRAY(Cálculos!C21),_xlfn.ANCHORARRAY('Cartera Inversión'!K7))</f>
        <v>0</v>
      </c>
      <c r="F21" t="str" cm="1">
        <f t="array" ref="F21">_xlfn.UNIQUE(_xlfn.ANCHORARRAY('Cartera Inversión'!C7))</f>
        <v>No hay inversiones</v>
      </c>
      <c r="G21" s="67" cm="1">
        <f t="array" ref="G21">SUMIF(_xlfn.ANCHORARRAY('Cartera Inversión'!C7),_xlfn.ANCHORARRAY(Cálculos!F21),_xlfn.ANCHORARRAY('Cartera Inversión'!K7))</f>
        <v>0</v>
      </c>
      <c r="I21" t="e" cm="1" vm="1">
        <f t="array" ref="I21">_FV(_xlfn.ANCHORARRAY('Cartera Inversión'!B7),"Símbolo bursátil",TRUE)</f>
        <v>#VALUE!</v>
      </c>
      <c r="J21" s="79" t="str" cm="1">
        <f t="array" ref="J21">_xlfn.ANCHORARRAY('Cartera Inversión'!K7)</f>
        <v>0</v>
      </c>
      <c r="L21" t="str" cm="1">
        <f t="array" ref="L21">_xlfn.ANCHORARRAY('Cartera Inversión'!B7)</f>
        <v>No hay inversiones</v>
      </c>
      <c r="M21" cm="1">
        <f t="array" ref="M21">_xlfn.ANCHORARRAY('Cartera Inversión'!O7)</f>
        <v>0</v>
      </c>
    </row>
    <row r="24" spans="3:13" x14ac:dyDescent="0.3">
      <c r="C24" s="82"/>
    </row>
  </sheetData>
  <mergeCells count="2">
    <mergeCell ref="F6:G6"/>
    <mergeCell ref="I6:J6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EBD00-9CA9-1F4A-A389-AD92983ADDE6}">
  <sheetPr codeName="Hoja3"/>
  <dimension ref="B3:E32"/>
  <sheetViews>
    <sheetView showGridLines="0" tabSelected="1" workbookViewId="0">
      <selection activeCell="C4" sqref="C4"/>
    </sheetView>
  </sheetViews>
  <sheetFormatPr baseColWidth="10" defaultColWidth="10.69921875" defaultRowHeight="15.6" x14ac:dyDescent="0.3"/>
  <cols>
    <col min="2" max="2" width="31.69921875" customWidth="1"/>
    <col min="3" max="3" width="15.69921875" customWidth="1"/>
    <col min="4" max="4" width="13.19921875" customWidth="1"/>
    <col min="5" max="5" width="12.5" bestFit="1" customWidth="1"/>
    <col min="8" max="8" width="11.5" bestFit="1" customWidth="1"/>
  </cols>
  <sheetData>
    <row r="3" spans="2:5" x14ac:dyDescent="0.3">
      <c r="B3" s="33" t="s">
        <v>10</v>
      </c>
    </row>
    <row r="4" spans="2:5" x14ac:dyDescent="0.3">
      <c r="B4" s="33" t="s">
        <v>57</v>
      </c>
      <c r="C4" s="58">
        <v>2023</v>
      </c>
    </row>
    <row r="5" spans="2:5" x14ac:dyDescent="0.3">
      <c r="B5" s="33" t="s">
        <v>60</v>
      </c>
      <c r="C5" s="58">
        <v>1</v>
      </c>
    </row>
    <row r="8" spans="2:5" ht="13.95" customHeight="1" x14ac:dyDescent="0.3"/>
    <row r="9" spans="2:5" x14ac:dyDescent="0.3">
      <c r="B9" s="27" t="s">
        <v>10</v>
      </c>
      <c r="C9" s="56" t="s">
        <v>55</v>
      </c>
      <c r="D9" s="27" t="s">
        <v>59</v>
      </c>
      <c r="E9" s="27" t="s">
        <v>58</v>
      </c>
    </row>
    <row r="10" spans="2:5" x14ac:dyDescent="0.3">
      <c r="B10" s="16" t="s">
        <v>11</v>
      </c>
      <c r="C10" s="54"/>
      <c r="D10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0" s="53">
        <f>Gastos7[[#This Row],[Cantidad]]-Gastos7[[#This Row],[Mes]]</f>
        <v>0</v>
      </c>
    </row>
    <row r="11" spans="2:5" x14ac:dyDescent="0.3">
      <c r="B11" s="17" t="s">
        <v>17</v>
      </c>
      <c r="C11" s="53"/>
      <c r="D11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1" s="53">
        <f>Gastos7[[#This Row],[Cantidad]]-Gastos7[[#This Row],[Mes]]</f>
        <v>0</v>
      </c>
    </row>
    <row r="12" spans="2:5" x14ac:dyDescent="0.3">
      <c r="B12" s="17" t="s">
        <v>18</v>
      </c>
      <c r="C12" s="53"/>
      <c r="D12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2" s="53">
        <f>Gastos7[[#This Row],[Cantidad]]-Gastos7[[#This Row],[Mes]]</f>
        <v>0</v>
      </c>
    </row>
    <row r="13" spans="2:5" x14ac:dyDescent="0.3">
      <c r="B13" s="17" t="s">
        <v>12</v>
      </c>
      <c r="C13" s="53"/>
      <c r="D13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3" s="53">
        <f>Gastos7[[#This Row],[Cantidad]]-Gastos7[[#This Row],[Mes]]</f>
        <v>0</v>
      </c>
    </row>
    <row r="14" spans="2:5" x14ac:dyDescent="0.3">
      <c r="B14" s="17" t="s">
        <v>13</v>
      </c>
      <c r="C14" s="53"/>
      <c r="D14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4" s="53">
        <f>Gastos7[[#This Row],[Cantidad]]-Gastos7[[#This Row],[Mes]]</f>
        <v>0</v>
      </c>
    </row>
    <row r="15" spans="2:5" x14ac:dyDescent="0.3">
      <c r="B15" s="17" t="s">
        <v>44</v>
      </c>
      <c r="C15" s="53"/>
      <c r="D15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5" s="53">
        <f>Gastos7[[#This Row],[Cantidad]]-Gastos7[[#This Row],[Mes]]</f>
        <v>0</v>
      </c>
    </row>
    <row r="16" spans="2:5" x14ac:dyDescent="0.3">
      <c r="B16" s="16" t="s">
        <v>84</v>
      </c>
      <c r="C16" s="53"/>
      <c r="D16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6" s="53">
        <f>Gastos7[[#This Row],[Cantidad]]-Gastos7[[#This Row],[Mes]]</f>
        <v>0</v>
      </c>
    </row>
    <row r="17" spans="2:5" x14ac:dyDescent="0.3">
      <c r="B17" s="17" t="s">
        <v>45</v>
      </c>
      <c r="C17" s="53"/>
      <c r="D17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7" s="53">
        <f>Gastos7[[#This Row],[Cantidad]]-Gastos7[[#This Row],[Mes]]</f>
        <v>0</v>
      </c>
    </row>
    <row r="18" spans="2:5" x14ac:dyDescent="0.3">
      <c r="B18" s="16" t="s">
        <v>65</v>
      </c>
      <c r="C18" s="53"/>
      <c r="D18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8" s="53">
        <f>Gastos7[[#This Row],[Cantidad]]-Gastos7[[#This Row],[Mes]]</f>
        <v>0</v>
      </c>
    </row>
    <row r="19" spans="2:5" x14ac:dyDescent="0.3">
      <c r="B19" s="16" t="s">
        <v>63</v>
      </c>
      <c r="C19" s="53"/>
      <c r="D19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19" s="53">
        <f>Gastos7[[#This Row],[Cantidad]]-Gastos7[[#This Row],[Mes]]</f>
        <v>0</v>
      </c>
    </row>
    <row r="20" spans="2:5" x14ac:dyDescent="0.3">
      <c r="B20" s="16" t="s">
        <v>106</v>
      </c>
      <c r="C20" s="53"/>
      <c r="D20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20" s="53">
        <f>Gastos7[[#This Row],[Cantidad]]-Gastos7[[#This Row],[Mes]]</f>
        <v>0</v>
      </c>
    </row>
    <row r="21" spans="2:5" x14ac:dyDescent="0.3">
      <c r="B21" s="17" t="s">
        <v>53</v>
      </c>
      <c r="C21" s="55"/>
      <c r="D21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21" s="53">
        <f>Gastos7[[#This Row],[Cantidad]]-Gastos7[[#This Row],[Mes]]</f>
        <v>0</v>
      </c>
    </row>
    <row r="22" spans="2:5" x14ac:dyDescent="0.3">
      <c r="B22" s="17" t="s">
        <v>14</v>
      </c>
      <c r="C22" s="55"/>
      <c r="D22" s="53">
        <f>SUMIFS(Libro_Diario[[Cantidad ]],Libro_Diario[[Tipo ]],"=Gastos",Libro_Diario[Año Numero],'Presupuestos de Gastos'!$C$4,Libro_Diario[Mes Número],'Presupuestos de Gastos'!$C$5,Libro_Diario[[Categoria ]],Gastos7[[#This Row],[Gastos]])</f>
        <v>0</v>
      </c>
      <c r="E22" s="53">
        <f>Gastos7[[#This Row],[Cantidad]]-Gastos7[[#This Row],[Mes]]</f>
        <v>0</v>
      </c>
    </row>
    <row r="23" spans="2:5" x14ac:dyDescent="0.3">
      <c r="B23" s="33" t="s">
        <v>7</v>
      </c>
      <c r="C23" s="57">
        <f>SUM(C10:C22)</f>
        <v>0</v>
      </c>
      <c r="D23" s="57">
        <f>SUM(Gastos7[Mes])</f>
        <v>0</v>
      </c>
      <c r="E23" s="57">
        <f>C23-D23</f>
        <v>0</v>
      </c>
    </row>
    <row r="31" spans="2:5" hidden="1" x14ac:dyDescent="0.3"/>
    <row r="32" spans="2:5" hidden="1" x14ac:dyDescent="0.3"/>
  </sheetData>
  <conditionalFormatting sqref="B10:D22">
    <cfRule type="expression" dxfId="80" priority="11" stopIfTrue="1">
      <formula>ROW(B10)&lt;=Gastos_max_fila</formula>
    </cfRule>
  </conditionalFormatting>
  <conditionalFormatting sqref="C4:C5">
    <cfRule type="expression" dxfId="79" priority="1" stopIfTrue="1">
      <formula>ROW(C4)&lt;=Gastos_max_fila</formula>
    </cfRule>
  </conditionalFormatting>
  <conditionalFormatting sqref="E10:E22">
    <cfRule type="cellIs" dxfId="78" priority="3" operator="lessThan">
      <formula>0</formula>
    </cfRule>
    <cfRule type="expression" dxfId="77" priority="4" stopIfTrue="1">
      <formula>ROW(E10)&lt;=Gastos_max_fila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B8609E-00DF-3F4E-87FB-05C057434436}">
          <x14:formula1>
            <xm:f>Cálculos!$F$7:$F$17</xm:f>
          </x14:formula1>
          <xm:sqref>C4</xm:sqref>
        </x14:dataValidation>
        <x14:dataValidation type="list" allowBlank="1" showInputMessage="1" showErrorMessage="1" xr:uid="{3EF79F99-A265-C747-9262-1B48EA4D1E23}">
          <x14:formula1>
            <xm:f>Cálculos!$I$7:$I$18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793A4-4A84-1E47-AF18-46A6BF7B7F67}">
  <sheetPr codeName="Hoja5"/>
  <dimension ref="C1:FA56"/>
  <sheetViews>
    <sheetView showGridLines="0" topLeftCell="A3" zoomScale="90" zoomScaleNormal="90" workbookViewId="0">
      <selection activeCell="S40" sqref="S40"/>
    </sheetView>
  </sheetViews>
  <sheetFormatPr baseColWidth="10" defaultColWidth="10.69921875" defaultRowHeight="15.6" outlineLevelCol="1" x14ac:dyDescent="0.3"/>
  <cols>
    <col min="3" max="3" width="33.19921875" customWidth="1"/>
    <col min="4" max="4" width="3.69921875" customWidth="1"/>
    <col min="5" max="5" width="11.69921875" customWidth="1" outlineLevel="1"/>
    <col min="6" max="16" width="10.69921875" customWidth="1" outlineLevel="1"/>
    <col min="17" max="17" width="11.19921875"/>
    <col min="18" max="18" width="5.19921875" customWidth="1"/>
    <col min="19" max="30" width="10.69921875" customWidth="1" outlineLevel="1"/>
    <col min="32" max="32" width="5.19921875" customWidth="1"/>
    <col min="33" max="44" width="10.69921875" hidden="1" customWidth="1" outlineLevel="1"/>
    <col min="45" max="45" width="10.69921875" collapsed="1"/>
    <col min="46" max="46" width="5.19921875" customWidth="1"/>
    <col min="47" max="58" width="10.69921875" hidden="1" customWidth="1" outlineLevel="1"/>
    <col min="59" max="59" width="10.69921875" collapsed="1"/>
    <col min="60" max="60" width="5.19921875" customWidth="1"/>
    <col min="61" max="72" width="10.69921875" hidden="1" customWidth="1" outlineLevel="1"/>
    <col min="73" max="73" width="10.69921875" collapsed="1"/>
    <col min="74" max="74" width="5.19921875" customWidth="1"/>
    <col min="75" max="86" width="10.69921875" hidden="1" customWidth="1" outlineLevel="1"/>
    <col min="87" max="87" width="10.69921875" collapsed="1"/>
    <col min="88" max="88" width="5.19921875" customWidth="1"/>
    <col min="89" max="100" width="10.69921875" hidden="1" customWidth="1" outlineLevel="1"/>
    <col min="101" max="101" width="10.69921875" collapsed="1"/>
    <col min="102" max="102" width="5.19921875" customWidth="1"/>
    <col min="103" max="114" width="10.69921875" hidden="1" customWidth="1" outlineLevel="1"/>
    <col min="115" max="115" width="10.69921875" collapsed="1"/>
    <col min="116" max="116" width="5.19921875" customWidth="1"/>
    <col min="117" max="128" width="10.69921875" hidden="1" customWidth="1" outlineLevel="1"/>
    <col min="129" max="129" width="10.69921875" collapsed="1"/>
    <col min="130" max="130" width="5.19921875" customWidth="1"/>
    <col min="131" max="142" width="10.69921875" hidden="1" customWidth="1" outlineLevel="1"/>
    <col min="143" max="143" width="10.69921875" collapsed="1"/>
    <col min="144" max="144" width="5.19921875" customWidth="1"/>
    <col min="145" max="156" width="10.69921875" hidden="1" customWidth="1" outlineLevel="1"/>
    <col min="157" max="157" width="10.69921875" collapsed="1"/>
    <col min="158" max="158" width="5.19921875" customWidth="1"/>
  </cols>
  <sheetData>
    <row r="1" spans="3:157" s="1" customFormat="1" x14ac:dyDescent="0.3">
      <c r="C1" s="18"/>
    </row>
    <row r="2" spans="3:157" s="1" customFormat="1" ht="28.8" x14ac:dyDescent="0.55000000000000004">
      <c r="C2" s="13" t="s">
        <v>24</v>
      </c>
    </row>
    <row r="3" spans="3:157" s="1" customFormat="1" x14ac:dyDescent="0.3"/>
    <row r="5" spans="3:157" ht="22.2" customHeight="1" x14ac:dyDescent="0.3">
      <c r="C5" s="14" t="s">
        <v>4</v>
      </c>
      <c r="E5" s="102">
        <f>Año_de_inicio</f>
        <v>2023</v>
      </c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S5" s="102">
        <f>E5+1</f>
        <v>2024</v>
      </c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G5" s="102">
        <f>S5+1</f>
        <v>2025</v>
      </c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U5" s="102">
        <f>AG5+1</f>
        <v>2026</v>
      </c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I5" s="102">
        <f>AU5+1</f>
        <v>2027</v>
      </c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W5" s="102">
        <f>BI5+1</f>
        <v>2028</v>
      </c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K5" s="102">
        <f>BW5+1</f>
        <v>2029</v>
      </c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Y5" s="102">
        <f>CK5+1</f>
        <v>2030</v>
      </c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M5" s="102">
        <f>CY5+1</f>
        <v>2031</v>
      </c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EA5" s="102">
        <f>DM5+1</f>
        <v>2032</v>
      </c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O5" s="102">
        <f>EA5+1</f>
        <v>2033</v>
      </c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</row>
    <row r="6" spans="3:157" x14ac:dyDescent="0.3">
      <c r="E6" s="36" t="s">
        <v>9</v>
      </c>
      <c r="F6" s="36" t="s">
        <v>27</v>
      </c>
      <c r="G6" s="36" t="s">
        <v>28</v>
      </c>
      <c r="H6" s="36" t="s">
        <v>29</v>
      </c>
      <c r="I6" s="36" t="s">
        <v>30</v>
      </c>
      <c r="J6" s="36" t="s">
        <v>31</v>
      </c>
      <c r="K6" s="36" t="s">
        <v>32</v>
      </c>
      <c r="L6" s="36" t="s">
        <v>33</v>
      </c>
      <c r="M6" s="36" t="s">
        <v>34</v>
      </c>
      <c r="N6" s="36" t="s">
        <v>35</v>
      </c>
      <c r="O6" s="36" t="s">
        <v>36</v>
      </c>
      <c r="P6" s="36" t="s">
        <v>37</v>
      </c>
      <c r="Q6" s="36" t="s">
        <v>7</v>
      </c>
      <c r="S6" s="36" t="s">
        <v>9</v>
      </c>
      <c r="T6" s="36" t="s">
        <v>27</v>
      </c>
      <c r="U6" s="36" t="s">
        <v>28</v>
      </c>
      <c r="V6" s="36" t="s">
        <v>29</v>
      </c>
      <c r="W6" s="36" t="s">
        <v>30</v>
      </c>
      <c r="X6" s="36" t="s">
        <v>31</v>
      </c>
      <c r="Y6" s="36" t="s">
        <v>32</v>
      </c>
      <c r="Z6" s="97" t="s">
        <v>33</v>
      </c>
      <c r="AA6" s="36" t="s">
        <v>34</v>
      </c>
      <c r="AB6" s="36" t="s">
        <v>35</v>
      </c>
      <c r="AC6" s="36" t="s">
        <v>36</v>
      </c>
      <c r="AD6" s="36" t="s">
        <v>37</v>
      </c>
      <c r="AE6" s="36" t="s">
        <v>7</v>
      </c>
      <c r="AG6" s="36" t="s">
        <v>9</v>
      </c>
      <c r="AH6" s="36" t="s">
        <v>27</v>
      </c>
      <c r="AI6" s="36" t="s">
        <v>28</v>
      </c>
      <c r="AJ6" s="36" t="s">
        <v>29</v>
      </c>
      <c r="AK6" s="36" t="s">
        <v>30</v>
      </c>
      <c r="AL6" s="36" t="s">
        <v>31</v>
      </c>
      <c r="AM6" s="36" t="s">
        <v>32</v>
      </c>
      <c r="AN6" s="36" t="s">
        <v>33</v>
      </c>
      <c r="AO6" s="36" t="s">
        <v>34</v>
      </c>
      <c r="AP6" s="36" t="s">
        <v>35</v>
      </c>
      <c r="AQ6" s="36" t="s">
        <v>36</v>
      </c>
      <c r="AR6" s="36" t="s">
        <v>37</v>
      </c>
      <c r="AS6" s="36" t="s">
        <v>7</v>
      </c>
      <c r="AU6" s="36" t="s">
        <v>9</v>
      </c>
      <c r="AV6" s="36" t="s">
        <v>27</v>
      </c>
      <c r="AW6" s="36" t="s">
        <v>28</v>
      </c>
      <c r="AX6" s="36" t="s">
        <v>29</v>
      </c>
      <c r="AY6" s="36" t="s">
        <v>30</v>
      </c>
      <c r="AZ6" s="36" t="s">
        <v>31</v>
      </c>
      <c r="BA6" s="36" t="s">
        <v>32</v>
      </c>
      <c r="BB6" s="36" t="s">
        <v>33</v>
      </c>
      <c r="BC6" s="36" t="s">
        <v>34</v>
      </c>
      <c r="BD6" s="36" t="s">
        <v>35</v>
      </c>
      <c r="BE6" s="36" t="s">
        <v>36</v>
      </c>
      <c r="BF6" s="36" t="s">
        <v>37</v>
      </c>
      <c r="BG6" s="36" t="s">
        <v>7</v>
      </c>
      <c r="BI6" s="36" t="s">
        <v>9</v>
      </c>
      <c r="BJ6" s="36" t="s">
        <v>27</v>
      </c>
      <c r="BK6" s="36" t="s">
        <v>28</v>
      </c>
      <c r="BL6" s="36" t="s">
        <v>29</v>
      </c>
      <c r="BM6" s="36" t="s">
        <v>30</v>
      </c>
      <c r="BN6" s="36" t="s">
        <v>31</v>
      </c>
      <c r="BO6" s="36" t="s">
        <v>32</v>
      </c>
      <c r="BP6" s="36" t="s">
        <v>33</v>
      </c>
      <c r="BQ6" s="36" t="s">
        <v>34</v>
      </c>
      <c r="BR6" s="36" t="s">
        <v>35</v>
      </c>
      <c r="BS6" s="36" t="s">
        <v>36</v>
      </c>
      <c r="BT6" s="36" t="s">
        <v>37</v>
      </c>
      <c r="BU6" s="36" t="s">
        <v>7</v>
      </c>
      <c r="BW6" s="36" t="s">
        <v>9</v>
      </c>
      <c r="BX6" s="36" t="s">
        <v>27</v>
      </c>
      <c r="BY6" s="36" t="s">
        <v>28</v>
      </c>
      <c r="BZ6" s="36" t="s">
        <v>29</v>
      </c>
      <c r="CA6" s="36" t="s">
        <v>30</v>
      </c>
      <c r="CB6" s="36" t="s">
        <v>31</v>
      </c>
      <c r="CC6" s="36" t="s">
        <v>32</v>
      </c>
      <c r="CD6" s="36" t="s">
        <v>33</v>
      </c>
      <c r="CE6" s="36" t="s">
        <v>34</v>
      </c>
      <c r="CF6" s="36" t="s">
        <v>35</v>
      </c>
      <c r="CG6" s="36" t="s">
        <v>36</v>
      </c>
      <c r="CH6" s="36" t="s">
        <v>37</v>
      </c>
      <c r="CI6" s="36" t="s">
        <v>7</v>
      </c>
      <c r="CK6" s="36" t="s">
        <v>9</v>
      </c>
      <c r="CL6" s="36" t="s">
        <v>27</v>
      </c>
      <c r="CM6" s="36" t="s">
        <v>28</v>
      </c>
      <c r="CN6" s="36" t="s">
        <v>29</v>
      </c>
      <c r="CO6" s="36" t="s">
        <v>30</v>
      </c>
      <c r="CP6" s="36" t="s">
        <v>31</v>
      </c>
      <c r="CQ6" s="36" t="s">
        <v>32</v>
      </c>
      <c r="CR6" s="36" t="s">
        <v>33</v>
      </c>
      <c r="CS6" s="36" t="s">
        <v>34</v>
      </c>
      <c r="CT6" s="36" t="s">
        <v>35</v>
      </c>
      <c r="CU6" s="36" t="s">
        <v>36</v>
      </c>
      <c r="CV6" s="36" t="s">
        <v>37</v>
      </c>
      <c r="CW6" s="36" t="s">
        <v>7</v>
      </c>
      <c r="CY6" s="36" t="s">
        <v>9</v>
      </c>
      <c r="CZ6" s="36" t="s">
        <v>27</v>
      </c>
      <c r="DA6" s="36" t="s">
        <v>28</v>
      </c>
      <c r="DB6" s="36" t="s">
        <v>29</v>
      </c>
      <c r="DC6" s="36" t="s">
        <v>30</v>
      </c>
      <c r="DD6" s="36" t="s">
        <v>31</v>
      </c>
      <c r="DE6" s="36" t="s">
        <v>32</v>
      </c>
      <c r="DF6" s="36" t="s">
        <v>33</v>
      </c>
      <c r="DG6" s="36" t="s">
        <v>34</v>
      </c>
      <c r="DH6" s="36" t="s">
        <v>35</v>
      </c>
      <c r="DI6" s="36" t="s">
        <v>36</v>
      </c>
      <c r="DJ6" s="36" t="s">
        <v>37</v>
      </c>
      <c r="DK6" s="36" t="s">
        <v>7</v>
      </c>
      <c r="DM6" s="36" t="s">
        <v>9</v>
      </c>
      <c r="DN6" s="36" t="s">
        <v>27</v>
      </c>
      <c r="DO6" s="36" t="s">
        <v>28</v>
      </c>
      <c r="DP6" s="36" t="s">
        <v>29</v>
      </c>
      <c r="DQ6" s="36" t="s">
        <v>30</v>
      </c>
      <c r="DR6" s="36" t="s">
        <v>31</v>
      </c>
      <c r="DS6" s="36" t="s">
        <v>32</v>
      </c>
      <c r="DT6" s="36" t="s">
        <v>33</v>
      </c>
      <c r="DU6" s="36" t="s">
        <v>34</v>
      </c>
      <c r="DV6" s="36" t="s">
        <v>35</v>
      </c>
      <c r="DW6" s="36" t="s">
        <v>36</v>
      </c>
      <c r="DX6" s="36" t="s">
        <v>37</v>
      </c>
      <c r="DY6" s="36" t="s">
        <v>7</v>
      </c>
      <c r="EA6" s="36" t="s">
        <v>9</v>
      </c>
      <c r="EB6" s="36" t="s">
        <v>27</v>
      </c>
      <c r="EC6" s="36" t="s">
        <v>28</v>
      </c>
      <c r="ED6" s="36" t="s">
        <v>29</v>
      </c>
      <c r="EE6" s="36" t="s">
        <v>30</v>
      </c>
      <c r="EF6" s="36" t="s">
        <v>31</v>
      </c>
      <c r="EG6" s="36" t="s">
        <v>32</v>
      </c>
      <c r="EH6" s="36" t="s">
        <v>33</v>
      </c>
      <c r="EI6" s="36" t="s">
        <v>34</v>
      </c>
      <c r="EJ6" s="36" t="s">
        <v>35</v>
      </c>
      <c r="EK6" s="36" t="s">
        <v>36</v>
      </c>
      <c r="EL6" s="36" t="s">
        <v>37</v>
      </c>
      <c r="EM6" s="36" t="s">
        <v>7</v>
      </c>
      <c r="EO6" s="36" t="s">
        <v>9</v>
      </c>
      <c r="EP6" s="36" t="s">
        <v>27</v>
      </c>
      <c r="EQ6" s="36" t="s">
        <v>28</v>
      </c>
      <c r="ER6" s="36" t="s">
        <v>29</v>
      </c>
      <c r="ES6" s="36" t="s">
        <v>30</v>
      </c>
      <c r="ET6" s="36" t="s">
        <v>31</v>
      </c>
      <c r="EU6" s="36" t="s">
        <v>32</v>
      </c>
      <c r="EV6" s="36" t="s">
        <v>33</v>
      </c>
      <c r="EW6" s="36" t="s">
        <v>34</v>
      </c>
      <c r="EX6" s="36" t="s">
        <v>35</v>
      </c>
      <c r="EY6" s="36" t="s">
        <v>36</v>
      </c>
      <c r="EZ6" s="36" t="s">
        <v>37</v>
      </c>
      <c r="FA6" s="36" t="s">
        <v>7</v>
      </c>
    </row>
    <row r="7" spans="3:157" x14ac:dyDescent="0.3">
      <c r="C7" t="s">
        <v>26</v>
      </c>
      <c r="E7" s="34">
        <f t="shared" ref="E7:Q7" ca="1" si="0" xml:space="preserve"> E20-E37</f>
        <v>0</v>
      </c>
      <c r="F7" s="34">
        <f t="shared" ca="1" si="0"/>
        <v>0</v>
      </c>
      <c r="G7" s="34">
        <f t="shared" ca="1" si="0"/>
        <v>0</v>
      </c>
      <c r="H7" s="34">
        <f t="shared" ca="1" si="0"/>
        <v>0</v>
      </c>
      <c r="I7" s="34">
        <f t="shared" ca="1" si="0"/>
        <v>0</v>
      </c>
      <c r="J7" s="34">
        <f t="shared" ca="1" si="0"/>
        <v>0</v>
      </c>
      <c r="K7" s="34">
        <f t="shared" ca="1" si="0"/>
        <v>0</v>
      </c>
      <c r="L7" s="34">
        <f t="shared" ca="1" si="0"/>
        <v>0</v>
      </c>
      <c r="M7" s="34">
        <f t="shared" ca="1" si="0"/>
        <v>0</v>
      </c>
      <c r="N7" s="34">
        <f t="shared" ca="1" si="0"/>
        <v>0</v>
      </c>
      <c r="O7" s="34">
        <f t="shared" ca="1" si="0"/>
        <v>0</v>
      </c>
      <c r="P7" s="34">
        <f t="shared" ca="1" si="0"/>
        <v>0</v>
      </c>
      <c r="Q7" s="34">
        <f t="shared" ca="1" si="0"/>
        <v>0</v>
      </c>
      <c r="S7" s="34">
        <f t="shared" ref="S7:AE7" ca="1" si="1" xml:space="preserve"> S20-S37</f>
        <v>0</v>
      </c>
      <c r="T7" s="34">
        <f t="shared" ca="1" si="1"/>
        <v>0</v>
      </c>
      <c r="U7" s="34">
        <f t="shared" ca="1" si="1"/>
        <v>0</v>
      </c>
      <c r="V7" s="34">
        <f t="shared" ca="1" si="1"/>
        <v>0</v>
      </c>
      <c r="W7" s="34">
        <f t="shared" ca="1" si="1"/>
        <v>0</v>
      </c>
      <c r="X7" s="34">
        <f t="shared" ca="1" si="1"/>
        <v>0</v>
      </c>
      <c r="Y7" s="34">
        <f t="shared" ca="1" si="1"/>
        <v>0</v>
      </c>
      <c r="Z7" s="34">
        <f t="shared" ca="1" si="1"/>
        <v>0</v>
      </c>
      <c r="AA7" s="34">
        <f t="shared" ca="1" si="1"/>
        <v>0</v>
      </c>
      <c r="AB7" s="34">
        <f t="shared" ca="1" si="1"/>
        <v>0</v>
      </c>
      <c r="AC7" s="34">
        <f t="shared" ca="1" si="1"/>
        <v>0</v>
      </c>
      <c r="AD7" s="34">
        <f t="shared" ca="1" si="1"/>
        <v>0</v>
      </c>
      <c r="AE7" s="34">
        <f t="shared" ca="1" si="1"/>
        <v>0</v>
      </c>
      <c r="AG7" s="34">
        <f t="shared" ref="AG7:AS7" ca="1" si="2" xml:space="preserve"> AG20-AG37</f>
        <v>0</v>
      </c>
      <c r="AH7" s="34">
        <f t="shared" ca="1" si="2"/>
        <v>0</v>
      </c>
      <c r="AI7" s="34">
        <f t="shared" ca="1" si="2"/>
        <v>0</v>
      </c>
      <c r="AJ7" s="34">
        <f t="shared" ca="1" si="2"/>
        <v>0</v>
      </c>
      <c r="AK7" s="34">
        <f t="shared" ca="1" si="2"/>
        <v>0</v>
      </c>
      <c r="AL7" s="34">
        <f t="shared" ca="1" si="2"/>
        <v>0</v>
      </c>
      <c r="AM7" s="34">
        <f t="shared" ca="1" si="2"/>
        <v>0</v>
      </c>
      <c r="AN7" s="34">
        <f t="shared" ca="1" si="2"/>
        <v>0</v>
      </c>
      <c r="AO7" s="34">
        <f t="shared" ca="1" si="2"/>
        <v>0</v>
      </c>
      <c r="AP7" s="34">
        <f t="shared" ca="1" si="2"/>
        <v>0</v>
      </c>
      <c r="AQ7" s="34">
        <f t="shared" ca="1" si="2"/>
        <v>0</v>
      </c>
      <c r="AR7" s="34">
        <f t="shared" ca="1" si="2"/>
        <v>0</v>
      </c>
      <c r="AS7" s="34">
        <f t="shared" ca="1" si="2"/>
        <v>0</v>
      </c>
      <c r="AU7" s="34">
        <f t="shared" ref="AU7:BG7" ca="1" si="3" xml:space="preserve"> AU20-AU37</f>
        <v>0</v>
      </c>
      <c r="AV7" s="34">
        <f t="shared" ca="1" si="3"/>
        <v>0</v>
      </c>
      <c r="AW7" s="34">
        <f t="shared" ca="1" si="3"/>
        <v>0</v>
      </c>
      <c r="AX7" s="34">
        <f t="shared" ca="1" si="3"/>
        <v>0</v>
      </c>
      <c r="AY7" s="34">
        <f t="shared" ca="1" si="3"/>
        <v>0</v>
      </c>
      <c r="AZ7" s="34">
        <f t="shared" ca="1" si="3"/>
        <v>0</v>
      </c>
      <c r="BA7" s="34">
        <f t="shared" ca="1" si="3"/>
        <v>0</v>
      </c>
      <c r="BB7" s="34">
        <f t="shared" ca="1" si="3"/>
        <v>0</v>
      </c>
      <c r="BC7" s="34">
        <f t="shared" ca="1" si="3"/>
        <v>0</v>
      </c>
      <c r="BD7" s="34">
        <f t="shared" ca="1" si="3"/>
        <v>0</v>
      </c>
      <c r="BE7" s="34">
        <f t="shared" ca="1" si="3"/>
        <v>0</v>
      </c>
      <c r="BF7" s="34">
        <f t="shared" ca="1" si="3"/>
        <v>0</v>
      </c>
      <c r="BG7" s="34">
        <f t="shared" ca="1" si="3"/>
        <v>0</v>
      </c>
      <c r="BI7" s="34">
        <f t="shared" ref="BI7:BU7" ca="1" si="4" xml:space="preserve"> BI20-BI37</f>
        <v>0</v>
      </c>
      <c r="BJ7" s="34">
        <f t="shared" ca="1" si="4"/>
        <v>0</v>
      </c>
      <c r="BK7" s="34">
        <f t="shared" ca="1" si="4"/>
        <v>0</v>
      </c>
      <c r="BL7" s="34">
        <f t="shared" ca="1" si="4"/>
        <v>0</v>
      </c>
      <c r="BM7" s="34">
        <f t="shared" ca="1" si="4"/>
        <v>0</v>
      </c>
      <c r="BN7" s="34">
        <f t="shared" ca="1" si="4"/>
        <v>0</v>
      </c>
      <c r="BO7" s="34">
        <f t="shared" ca="1" si="4"/>
        <v>0</v>
      </c>
      <c r="BP7" s="34">
        <f t="shared" ca="1" si="4"/>
        <v>0</v>
      </c>
      <c r="BQ7" s="34">
        <f t="shared" ca="1" si="4"/>
        <v>0</v>
      </c>
      <c r="BR7" s="34">
        <f t="shared" ca="1" si="4"/>
        <v>0</v>
      </c>
      <c r="BS7" s="34">
        <f t="shared" ca="1" si="4"/>
        <v>0</v>
      </c>
      <c r="BT7" s="34">
        <f t="shared" ca="1" si="4"/>
        <v>0</v>
      </c>
      <c r="BU7" s="34">
        <f t="shared" ca="1" si="4"/>
        <v>0</v>
      </c>
      <c r="BW7" s="34">
        <f t="shared" ref="BW7:CI7" ca="1" si="5" xml:space="preserve"> BW20-BW37</f>
        <v>0</v>
      </c>
      <c r="BX7" s="34">
        <f t="shared" ca="1" si="5"/>
        <v>0</v>
      </c>
      <c r="BY7" s="34">
        <f t="shared" ca="1" si="5"/>
        <v>0</v>
      </c>
      <c r="BZ7" s="34">
        <f t="shared" ca="1" si="5"/>
        <v>0</v>
      </c>
      <c r="CA7" s="34">
        <f t="shared" ca="1" si="5"/>
        <v>0</v>
      </c>
      <c r="CB7" s="34">
        <f t="shared" ca="1" si="5"/>
        <v>0</v>
      </c>
      <c r="CC7" s="34">
        <f t="shared" ca="1" si="5"/>
        <v>0</v>
      </c>
      <c r="CD7" s="34">
        <f t="shared" ca="1" si="5"/>
        <v>0</v>
      </c>
      <c r="CE7" s="34">
        <f t="shared" ca="1" si="5"/>
        <v>0</v>
      </c>
      <c r="CF7" s="34">
        <f t="shared" ca="1" si="5"/>
        <v>0</v>
      </c>
      <c r="CG7" s="34">
        <f t="shared" ca="1" si="5"/>
        <v>0</v>
      </c>
      <c r="CH7" s="34">
        <f t="shared" ca="1" si="5"/>
        <v>0</v>
      </c>
      <c r="CI7" s="34">
        <f t="shared" ca="1" si="5"/>
        <v>0</v>
      </c>
      <c r="CK7" s="34">
        <f t="shared" ref="CK7:CW7" ca="1" si="6" xml:space="preserve"> CK20-CK37</f>
        <v>0</v>
      </c>
      <c r="CL7" s="34">
        <f t="shared" ca="1" si="6"/>
        <v>0</v>
      </c>
      <c r="CM7" s="34">
        <f t="shared" ca="1" si="6"/>
        <v>0</v>
      </c>
      <c r="CN7" s="34">
        <f t="shared" ca="1" si="6"/>
        <v>0</v>
      </c>
      <c r="CO7" s="34">
        <f t="shared" ca="1" si="6"/>
        <v>0</v>
      </c>
      <c r="CP7" s="34">
        <f t="shared" ca="1" si="6"/>
        <v>0</v>
      </c>
      <c r="CQ7" s="34">
        <f t="shared" ca="1" si="6"/>
        <v>0</v>
      </c>
      <c r="CR7" s="34">
        <f t="shared" ca="1" si="6"/>
        <v>0</v>
      </c>
      <c r="CS7" s="34">
        <f t="shared" ca="1" si="6"/>
        <v>0</v>
      </c>
      <c r="CT7" s="34">
        <f t="shared" ca="1" si="6"/>
        <v>0</v>
      </c>
      <c r="CU7" s="34">
        <f t="shared" ca="1" si="6"/>
        <v>0</v>
      </c>
      <c r="CV7" s="34">
        <f t="shared" ca="1" si="6"/>
        <v>0</v>
      </c>
      <c r="CW7" s="34">
        <f t="shared" ca="1" si="6"/>
        <v>0</v>
      </c>
      <c r="CY7" s="34">
        <f t="shared" ref="CY7:DK7" ca="1" si="7" xml:space="preserve"> CY20-CY37</f>
        <v>0</v>
      </c>
      <c r="CZ7" s="34">
        <f t="shared" ca="1" si="7"/>
        <v>0</v>
      </c>
      <c r="DA7" s="34">
        <f t="shared" ca="1" si="7"/>
        <v>0</v>
      </c>
      <c r="DB7" s="34">
        <f t="shared" ca="1" si="7"/>
        <v>0</v>
      </c>
      <c r="DC7" s="34">
        <f t="shared" ca="1" si="7"/>
        <v>0</v>
      </c>
      <c r="DD7" s="34">
        <f t="shared" ca="1" si="7"/>
        <v>0</v>
      </c>
      <c r="DE7" s="34">
        <f t="shared" ca="1" si="7"/>
        <v>0</v>
      </c>
      <c r="DF7" s="34">
        <f t="shared" ca="1" si="7"/>
        <v>0</v>
      </c>
      <c r="DG7" s="34">
        <f t="shared" ca="1" si="7"/>
        <v>0</v>
      </c>
      <c r="DH7" s="34">
        <f t="shared" ca="1" si="7"/>
        <v>0</v>
      </c>
      <c r="DI7" s="34">
        <f t="shared" ca="1" si="7"/>
        <v>0</v>
      </c>
      <c r="DJ7" s="34">
        <f t="shared" ca="1" si="7"/>
        <v>0</v>
      </c>
      <c r="DK7" s="34">
        <f t="shared" ca="1" si="7"/>
        <v>0</v>
      </c>
      <c r="DM7" s="34">
        <f t="shared" ref="DM7:DY7" ca="1" si="8" xml:space="preserve"> DM20-DM37</f>
        <v>0</v>
      </c>
      <c r="DN7" s="34">
        <f t="shared" ca="1" si="8"/>
        <v>0</v>
      </c>
      <c r="DO7" s="34">
        <f t="shared" ca="1" si="8"/>
        <v>0</v>
      </c>
      <c r="DP7" s="34">
        <f t="shared" ca="1" si="8"/>
        <v>0</v>
      </c>
      <c r="DQ7" s="34">
        <f t="shared" ca="1" si="8"/>
        <v>0</v>
      </c>
      <c r="DR7" s="34">
        <f t="shared" ca="1" si="8"/>
        <v>0</v>
      </c>
      <c r="DS7" s="34">
        <f t="shared" ca="1" si="8"/>
        <v>0</v>
      </c>
      <c r="DT7" s="34">
        <f t="shared" ca="1" si="8"/>
        <v>0</v>
      </c>
      <c r="DU7" s="34">
        <f t="shared" ca="1" si="8"/>
        <v>0</v>
      </c>
      <c r="DV7" s="34">
        <f t="shared" ca="1" si="8"/>
        <v>0</v>
      </c>
      <c r="DW7" s="34">
        <f t="shared" ca="1" si="8"/>
        <v>0</v>
      </c>
      <c r="DX7" s="34">
        <f t="shared" ca="1" si="8"/>
        <v>0</v>
      </c>
      <c r="DY7" s="34">
        <f t="shared" ca="1" si="8"/>
        <v>0</v>
      </c>
      <c r="EA7" s="34">
        <f t="shared" ref="EA7:EM7" ca="1" si="9" xml:space="preserve"> EA20-EA37</f>
        <v>0</v>
      </c>
      <c r="EB7" s="34">
        <f t="shared" ca="1" si="9"/>
        <v>0</v>
      </c>
      <c r="EC7" s="34">
        <f t="shared" ca="1" si="9"/>
        <v>0</v>
      </c>
      <c r="ED7" s="34">
        <f t="shared" ca="1" si="9"/>
        <v>0</v>
      </c>
      <c r="EE7" s="34">
        <f t="shared" ca="1" si="9"/>
        <v>0</v>
      </c>
      <c r="EF7" s="34">
        <f t="shared" ca="1" si="9"/>
        <v>0</v>
      </c>
      <c r="EG7" s="34">
        <f t="shared" ca="1" si="9"/>
        <v>0</v>
      </c>
      <c r="EH7" s="34">
        <f t="shared" ca="1" si="9"/>
        <v>0</v>
      </c>
      <c r="EI7" s="34">
        <f t="shared" ca="1" si="9"/>
        <v>0</v>
      </c>
      <c r="EJ7" s="34">
        <f t="shared" ca="1" si="9"/>
        <v>0</v>
      </c>
      <c r="EK7" s="34">
        <f t="shared" ca="1" si="9"/>
        <v>0</v>
      </c>
      <c r="EL7" s="34">
        <f t="shared" ca="1" si="9"/>
        <v>0</v>
      </c>
      <c r="EM7" s="34">
        <f t="shared" ca="1" si="9"/>
        <v>0</v>
      </c>
      <c r="EO7" s="34">
        <f t="shared" ref="EO7:FA7" ca="1" si="10" xml:space="preserve"> EO20-EO37</f>
        <v>0</v>
      </c>
      <c r="EP7" s="34">
        <f t="shared" ca="1" si="10"/>
        <v>0</v>
      </c>
      <c r="EQ7" s="34">
        <f t="shared" ca="1" si="10"/>
        <v>0</v>
      </c>
      <c r="ER7" s="34">
        <f t="shared" ca="1" si="10"/>
        <v>0</v>
      </c>
      <c r="ES7" s="34">
        <f t="shared" ca="1" si="10"/>
        <v>0</v>
      </c>
      <c r="ET7" s="34">
        <f t="shared" ca="1" si="10"/>
        <v>0</v>
      </c>
      <c r="EU7" s="34">
        <f t="shared" ca="1" si="10"/>
        <v>0</v>
      </c>
      <c r="EV7" s="34">
        <f t="shared" ca="1" si="10"/>
        <v>0</v>
      </c>
      <c r="EW7" s="34">
        <f t="shared" ca="1" si="10"/>
        <v>0</v>
      </c>
      <c r="EX7" s="34">
        <f t="shared" ca="1" si="10"/>
        <v>0</v>
      </c>
      <c r="EY7" s="34">
        <f t="shared" ca="1" si="10"/>
        <v>0</v>
      </c>
      <c r="EZ7" s="34">
        <f t="shared" ca="1" si="10"/>
        <v>0</v>
      </c>
      <c r="FA7" s="34">
        <f t="shared" ca="1" si="10"/>
        <v>0</v>
      </c>
    </row>
    <row r="9" spans="3:157" x14ac:dyDescent="0.3">
      <c r="C9" s="19" t="s">
        <v>5</v>
      </c>
      <c r="E9" s="21">
        <f>DATE(E$5,1,1)</f>
        <v>44927</v>
      </c>
      <c r="F9" s="21">
        <f>DATE(E$5,2,1)</f>
        <v>44958</v>
      </c>
      <c r="G9" s="21">
        <f>DATE(E$5,3,1)</f>
        <v>44986</v>
      </c>
      <c r="H9" s="21">
        <f>DATE(E$5,4,1)</f>
        <v>45017</v>
      </c>
      <c r="I9" s="21">
        <f>DATE(E$5,5,1)</f>
        <v>45047</v>
      </c>
      <c r="J9" s="21">
        <f>DATE(E$5,6,1)</f>
        <v>45078</v>
      </c>
      <c r="K9" s="21">
        <f>DATE(E$5,7,1)</f>
        <v>45108</v>
      </c>
      <c r="L9" s="21">
        <f>DATE(E$5,8,1)</f>
        <v>45139</v>
      </c>
      <c r="M9" s="21">
        <f>DATE(E$5,9,1)</f>
        <v>45170</v>
      </c>
      <c r="N9" s="21">
        <f>DATE(E$5,10,1)</f>
        <v>45200</v>
      </c>
      <c r="O9" s="21">
        <f>DATE(E$5,11,1)</f>
        <v>45231</v>
      </c>
      <c r="P9" s="21">
        <f>DATE(E$5,12,1)</f>
        <v>45261</v>
      </c>
      <c r="Q9" s="20">
        <f>$E5</f>
        <v>2023</v>
      </c>
      <c r="S9" s="21">
        <f>DATE(S$5,1,1)</f>
        <v>45292</v>
      </c>
      <c r="T9" s="21">
        <f>DATE(S$5,2,1)</f>
        <v>45323</v>
      </c>
      <c r="U9" s="21">
        <f>DATE(S$5,3,1)</f>
        <v>45352</v>
      </c>
      <c r="V9" s="21">
        <f>DATE(S$5,4,1)</f>
        <v>45383</v>
      </c>
      <c r="W9" s="21">
        <f>DATE(S$5,5,1)</f>
        <v>45413</v>
      </c>
      <c r="X9" s="21">
        <f>DATE(S$5,6,1)</f>
        <v>45444</v>
      </c>
      <c r="Y9" s="21">
        <f>DATE(S$5,7,1)</f>
        <v>45474</v>
      </c>
      <c r="Z9" s="21">
        <f>DATE(S$5,8,1)</f>
        <v>45505</v>
      </c>
      <c r="AA9" s="21">
        <f>DATE(S$5,9,1)</f>
        <v>45536</v>
      </c>
      <c r="AB9" s="21">
        <f>DATE(S$5,10,1)</f>
        <v>45566</v>
      </c>
      <c r="AC9" s="21">
        <f>DATE(S$5,11,1)</f>
        <v>45597</v>
      </c>
      <c r="AD9" s="21">
        <f>DATE(S$5,12,1)</f>
        <v>45627</v>
      </c>
      <c r="AE9" s="20">
        <v>2024</v>
      </c>
      <c r="AG9" s="21">
        <f>DATE(AG$5,1,1)</f>
        <v>45658</v>
      </c>
      <c r="AH9" s="21">
        <f>DATE(AG$5,2,1)</f>
        <v>45689</v>
      </c>
      <c r="AI9" s="21">
        <f>DATE(AG$5,3,1)</f>
        <v>45717</v>
      </c>
      <c r="AJ9" s="21">
        <f>DATE(AG$5,4,1)</f>
        <v>45748</v>
      </c>
      <c r="AK9" s="21">
        <f>DATE(AG$5,5,1)</f>
        <v>45778</v>
      </c>
      <c r="AL9" s="21">
        <f>DATE(AG$5,6,1)</f>
        <v>45809</v>
      </c>
      <c r="AM9" s="21">
        <f>DATE(AG$5,7,1)</f>
        <v>45839</v>
      </c>
      <c r="AN9" s="21">
        <f>DATE(AG$5,8,1)</f>
        <v>45870</v>
      </c>
      <c r="AO9" s="21">
        <f>DATE(AG$5,9,1)</f>
        <v>45901</v>
      </c>
      <c r="AP9" s="21">
        <f>DATE(AG$5,10,1)</f>
        <v>45931</v>
      </c>
      <c r="AQ9" s="21">
        <f>DATE(AG$5,11,1)</f>
        <v>45962</v>
      </c>
      <c r="AR9" s="21">
        <f>DATE(AG$5,12,1)</f>
        <v>45992</v>
      </c>
      <c r="AS9" s="20">
        <v>2025</v>
      </c>
      <c r="AU9" s="21">
        <f>DATE(AU$5,1,1)</f>
        <v>46023</v>
      </c>
      <c r="AV9" s="21">
        <f>DATE(AU$5,2,1)</f>
        <v>46054</v>
      </c>
      <c r="AW9" s="21">
        <f>DATE(AU$5,3,1)</f>
        <v>46082</v>
      </c>
      <c r="AX9" s="21">
        <f>DATE(AU$5,4,1)</f>
        <v>46113</v>
      </c>
      <c r="AY9" s="21">
        <f>DATE(AU$5,5,1)</f>
        <v>46143</v>
      </c>
      <c r="AZ9" s="21">
        <f>DATE(AU$5,6,1)</f>
        <v>46174</v>
      </c>
      <c r="BA9" s="21">
        <f>DATE(AU$5,7,1)</f>
        <v>46204</v>
      </c>
      <c r="BB9" s="21">
        <f>DATE(AU$5,8,1)</f>
        <v>46235</v>
      </c>
      <c r="BC9" s="21">
        <f>DATE(AU$5,9,1)</f>
        <v>46266</v>
      </c>
      <c r="BD9" s="21">
        <f>DATE(AU$5,10,1)</f>
        <v>46296</v>
      </c>
      <c r="BE9" s="21">
        <f>DATE(AU$5,11,1)</f>
        <v>46327</v>
      </c>
      <c r="BF9" s="21">
        <f>DATE(AU$5,12,1)</f>
        <v>46357</v>
      </c>
      <c r="BG9" s="20">
        <v>2026</v>
      </c>
      <c r="BI9" s="21">
        <f>DATE(BI$5,1,1)</f>
        <v>46388</v>
      </c>
      <c r="BJ9" s="21">
        <f>DATE(BI$5,2,1)</f>
        <v>46419</v>
      </c>
      <c r="BK9" s="21">
        <f>DATE(BI$5,3,1)</f>
        <v>46447</v>
      </c>
      <c r="BL9" s="21">
        <f>DATE(BI$5,4,1)</f>
        <v>46478</v>
      </c>
      <c r="BM9" s="21">
        <f>DATE(BI$5,5,1)</f>
        <v>46508</v>
      </c>
      <c r="BN9" s="21">
        <f>DATE(BI$5,6,1)</f>
        <v>46539</v>
      </c>
      <c r="BO9" s="21">
        <f>DATE(BI$5,7,1)</f>
        <v>46569</v>
      </c>
      <c r="BP9" s="21">
        <f>DATE(BI$5,8,1)</f>
        <v>46600</v>
      </c>
      <c r="BQ9" s="21">
        <f>DATE(BI$5,9,1)</f>
        <v>46631</v>
      </c>
      <c r="BR9" s="21">
        <f>DATE(BI$5,10,1)</f>
        <v>46661</v>
      </c>
      <c r="BS9" s="21">
        <f>DATE(BI$5,11,1)</f>
        <v>46692</v>
      </c>
      <c r="BT9" s="21">
        <f>DATE(BI$5,12,1)</f>
        <v>46722</v>
      </c>
      <c r="BU9" s="20">
        <v>2027</v>
      </c>
      <c r="BW9" s="21">
        <f>DATE(BW$5,1,1)</f>
        <v>46753</v>
      </c>
      <c r="BX9" s="21">
        <f>DATE(BW$5,2,1)</f>
        <v>46784</v>
      </c>
      <c r="BY9" s="21">
        <f>DATE(BW$5,3,1)</f>
        <v>46813</v>
      </c>
      <c r="BZ9" s="21">
        <f>DATE(BW$5,4,1)</f>
        <v>46844</v>
      </c>
      <c r="CA9" s="21">
        <f>DATE(BW$5,5,1)</f>
        <v>46874</v>
      </c>
      <c r="CB9" s="21">
        <f>DATE(BW$5,6,1)</f>
        <v>46905</v>
      </c>
      <c r="CC9" s="21">
        <f>DATE(BW$5,7,1)</f>
        <v>46935</v>
      </c>
      <c r="CD9" s="21">
        <f>DATE(BW$5,8,1)</f>
        <v>46966</v>
      </c>
      <c r="CE9" s="21">
        <f>DATE(BW$5,9,1)</f>
        <v>46997</v>
      </c>
      <c r="CF9" s="21">
        <f>DATE(BW$5,10,1)</f>
        <v>47027</v>
      </c>
      <c r="CG9" s="21">
        <f>DATE(BW$5,11,1)</f>
        <v>47058</v>
      </c>
      <c r="CH9" s="21">
        <f>DATE(BW$5,12,1)</f>
        <v>47088</v>
      </c>
      <c r="CI9" s="20">
        <v>2028</v>
      </c>
      <c r="CK9" s="21">
        <f>DATE(CK$5,1,1)</f>
        <v>47119</v>
      </c>
      <c r="CL9" s="21">
        <f>DATE(CK$5,2,1)</f>
        <v>47150</v>
      </c>
      <c r="CM9" s="21">
        <f>DATE(CK$5,3,1)</f>
        <v>47178</v>
      </c>
      <c r="CN9" s="21">
        <f>DATE(CK$5,4,1)</f>
        <v>47209</v>
      </c>
      <c r="CO9" s="21">
        <f>DATE(CK$5,5,1)</f>
        <v>47239</v>
      </c>
      <c r="CP9" s="21">
        <f>DATE(CK$5,6,1)</f>
        <v>47270</v>
      </c>
      <c r="CQ9" s="21">
        <f>DATE(CK$5,7,1)</f>
        <v>47300</v>
      </c>
      <c r="CR9" s="21">
        <f>DATE(CK$5,8,1)</f>
        <v>47331</v>
      </c>
      <c r="CS9" s="21">
        <f>DATE(CK$5,9,1)</f>
        <v>47362</v>
      </c>
      <c r="CT9" s="21">
        <f>DATE(CK$5,10,1)</f>
        <v>47392</v>
      </c>
      <c r="CU9" s="21">
        <f>DATE(CK$5,11,1)</f>
        <v>47423</v>
      </c>
      <c r="CV9" s="21">
        <f>DATE(CK$5,12,1)</f>
        <v>47453</v>
      </c>
      <c r="CW9" s="20">
        <v>2029</v>
      </c>
      <c r="CY9" s="21">
        <f>DATE(CY$5,1,1)</f>
        <v>47484</v>
      </c>
      <c r="CZ9" s="21">
        <f>DATE(CY$5,2,1)</f>
        <v>47515</v>
      </c>
      <c r="DA9" s="21">
        <f>DATE(CY$5,3,1)</f>
        <v>47543</v>
      </c>
      <c r="DB9" s="21">
        <f>DATE(CY$5,4,1)</f>
        <v>47574</v>
      </c>
      <c r="DC9" s="21">
        <f>DATE(CY$5,5,1)</f>
        <v>47604</v>
      </c>
      <c r="DD9" s="21">
        <f>DATE(CY$5,6,1)</f>
        <v>47635</v>
      </c>
      <c r="DE9" s="21">
        <f>DATE(CY$5,7,1)</f>
        <v>47665</v>
      </c>
      <c r="DF9" s="21">
        <f>DATE(CY$5,8,1)</f>
        <v>47696</v>
      </c>
      <c r="DG9" s="21">
        <f>DATE(CY$5,9,1)</f>
        <v>47727</v>
      </c>
      <c r="DH9" s="21">
        <f>DATE(CY$5,10,1)</f>
        <v>47757</v>
      </c>
      <c r="DI9" s="21">
        <f>DATE(CY$5,11,1)</f>
        <v>47788</v>
      </c>
      <c r="DJ9" s="21">
        <f>DATE(CY$5,12,1)</f>
        <v>47818</v>
      </c>
      <c r="DK9" s="20">
        <v>2030</v>
      </c>
      <c r="DM9" s="21">
        <f>DATE(DM$5,1,1)</f>
        <v>47849</v>
      </c>
      <c r="DN9" s="21">
        <f>DATE(DM$5,2,1)</f>
        <v>47880</v>
      </c>
      <c r="DO9" s="21">
        <f>DATE(DM$5,3,1)</f>
        <v>47908</v>
      </c>
      <c r="DP9" s="21">
        <f>DATE(DM$5,4,1)</f>
        <v>47939</v>
      </c>
      <c r="DQ9" s="21">
        <f>DATE(DM$5,5,1)</f>
        <v>47969</v>
      </c>
      <c r="DR9" s="21">
        <f>DATE(DM$5,6,1)</f>
        <v>48000</v>
      </c>
      <c r="DS9" s="21">
        <f>DATE(DM$5,7,1)</f>
        <v>48030</v>
      </c>
      <c r="DT9" s="21">
        <f>DATE(DM$5,8,1)</f>
        <v>48061</v>
      </c>
      <c r="DU9" s="21">
        <f>DATE(DM$5,9,1)</f>
        <v>48092</v>
      </c>
      <c r="DV9" s="21">
        <f>DATE(DM$5,10,1)</f>
        <v>48122</v>
      </c>
      <c r="DW9" s="21">
        <f>DATE(DM$5,11,1)</f>
        <v>48153</v>
      </c>
      <c r="DX9" s="21">
        <f>DATE(DM$5,12,1)</f>
        <v>48183</v>
      </c>
      <c r="DY9" s="20">
        <v>2031</v>
      </c>
      <c r="EA9" s="21">
        <f>DATE(EA$5,1,1)</f>
        <v>48214</v>
      </c>
      <c r="EB9" s="21">
        <f>DATE(EA$5,2,1)</f>
        <v>48245</v>
      </c>
      <c r="EC9" s="21">
        <f>DATE(EA$5,3,1)</f>
        <v>48274</v>
      </c>
      <c r="ED9" s="21">
        <f>DATE(EA$5,4,1)</f>
        <v>48305</v>
      </c>
      <c r="EE9" s="21">
        <f>DATE(EA$5,5,1)</f>
        <v>48335</v>
      </c>
      <c r="EF9" s="21">
        <f>DATE(EA$5,6,1)</f>
        <v>48366</v>
      </c>
      <c r="EG9" s="21">
        <f>DATE(EA$5,7,1)</f>
        <v>48396</v>
      </c>
      <c r="EH9" s="21">
        <f>DATE(EA$5,8,1)</f>
        <v>48427</v>
      </c>
      <c r="EI9" s="21">
        <f>DATE(EA$5,9,1)</f>
        <v>48458</v>
      </c>
      <c r="EJ9" s="21">
        <f>DATE(EA$5,10,1)</f>
        <v>48488</v>
      </c>
      <c r="EK9" s="21">
        <f>DATE(EA$5,11,1)</f>
        <v>48519</v>
      </c>
      <c r="EL9" s="21">
        <f>DATE(EA$5,12,1)</f>
        <v>48549</v>
      </c>
      <c r="EM9" s="20">
        <v>2032</v>
      </c>
      <c r="EO9" s="21">
        <f>DATE(EO$5,1,1)</f>
        <v>48580</v>
      </c>
      <c r="EP9" s="21">
        <f>DATE(EO$5,2,1)</f>
        <v>48611</v>
      </c>
      <c r="EQ9" s="21">
        <f>DATE(EO$5,3,1)</f>
        <v>48639</v>
      </c>
      <c r="ER9" s="21">
        <f>DATE(EO$5,4,1)</f>
        <v>48670</v>
      </c>
      <c r="ES9" s="21">
        <f>DATE(EO$5,5,1)</f>
        <v>48700</v>
      </c>
      <c r="ET9" s="21">
        <f>DATE(EO$5,6,1)</f>
        <v>48731</v>
      </c>
      <c r="EU9" s="21">
        <f>DATE(EO$5,7,1)</f>
        <v>48761</v>
      </c>
      <c r="EV9" s="21">
        <f>DATE(EO$5,8,1)</f>
        <v>48792</v>
      </c>
      <c r="EW9" s="21">
        <f>DATE(EO$5,9,1)</f>
        <v>48823</v>
      </c>
      <c r="EX9" s="21">
        <f>DATE(EO$5,10,1)</f>
        <v>48853</v>
      </c>
      <c r="EY9" s="21">
        <f>DATE(EO$5,11,1)</f>
        <v>48884</v>
      </c>
      <c r="EZ9" s="21">
        <f>DATE(EO$5,12,1)</f>
        <v>48914</v>
      </c>
      <c r="FA9" s="20">
        <v>2033</v>
      </c>
    </row>
    <row r="10" spans="3:157" x14ac:dyDescent="0.3">
      <c r="C10" s="16" t="s">
        <v>8</v>
      </c>
      <c r="D10" s="23"/>
      <c r="E10" s="24">
        <f>SUMIFS(Libro_Diario[[Cantidad ]],Libro_Diario[[Tipo ]],Ingresos[[#Headers],[Ingresos]],Libro_Diario[[Categoria ]],Ingresos[[#This Row],[Ingresos]],Libro_Diario[Fecha],"&gt;="&amp;'Libro Mayor'!E$9,Libro_Diario[Fecha],"&lt;="&amp;EOMONTH('Libro Mayor'!E$9,0))</f>
        <v>0</v>
      </c>
      <c r="F10" s="24">
        <f>SUMIFS(Libro_Diario[[Cantidad ]],Libro_Diario[[Tipo ]],Ingresos[[#Headers],[Ingresos]],Libro_Diario[[Categoria ]],Ingresos[[#This Row],[Ingresos]],Libro_Diario[Fecha],"&gt;="&amp;'Libro Mayor'!F$9,Libro_Diario[Fecha],"&lt;="&amp;EOMONTH('Libro Mayor'!F$9,0))</f>
        <v>0</v>
      </c>
      <c r="G10" s="24">
        <f>SUMIFS(Libro_Diario[[Cantidad ]],Libro_Diario[[Tipo ]],Ingresos[[#Headers],[Ingresos]],Libro_Diario[[Categoria ]],Ingresos[[#This Row],[Ingresos]],Libro_Diario[Fecha],"&gt;="&amp;'Libro Mayor'!G$9,Libro_Diario[Fecha],"&lt;="&amp;EOMONTH('Libro Mayor'!G$9,0))</f>
        <v>0</v>
      </c>
      <c r="H10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0" s="24">
        <f>SUMIFS(Libro_Diario[[Cantidad ]],Libro_Diario[[Tipo ]],Ingresos[[#Headers],[Ingresos]],Libro_Diario[[Categoria ]],Ingresos[[#This Row],[Ingresos]],Libro_Diario[Fecha],"&gt;="&amp;'Libro Mayor'!I$9,Libro_Diario[Fecha],"&lt;="&amp;EOMONTH('Libro Mayor'!I$9,0))</f>
        <v>0</v>
      </c>
      <c r="J10" s="24">
        <f>SUMIFS(Libro_Diario[[Cantidad ]],Libro_Diario[[Tipo ]],Ingresos[[#Headers],[Ingresos]],Libro_Diario[[Categoria ]],Ingresos[[#This Row],[Ingresos]],Libro_Diario[Fecha],"&gt;="&amp;'Libro Mayor'!J$9,Libro_Diario[Fecha],"&lt;="&amp;EOMONTH('Libro Mayor'!J$9,0))</f>
        <v>0</v>
      </c>
      <c r="K10" s="24">
        <f>SUMIFS(Libro_Diario[[Cantidad ]],Libro_Diario[[Tipo ]],Ingresos[[#Headers],[Ingresos]],Libro_Diario[[Categoria ]],Ingresos[[#This Row],[Ingresos]],Libro_Diario[Fecha],"&gt;="&amp;'Libro Mayor'!K$9,Libro_Diario[Fecha],"&lt;="&amp;EOMONTH('Libro Mayor'!K$9,0))</f>
        <v>0</v>
      </c>
      <c r="L10" s="24">
        <f>SUMIFS(Libro_Diario[[Cantidad ]],Libro_Diario[[Tipo ]],Ingresos[[#Headers],[Ingresos]],Libro_Diario[[Categoria ]],Ingresos[[#This Row],[Ingresos]],Libro_Diario[Fecha],"&gt;="&amp;'Libro Mayor'!L$9,Libro_Diario[Fecha],"&lt;="&amp;EOMONTH('Libro Mayor'!L$9,0))</f>
        <v>0</v>
      </c>
      <c r="M10" s="24"/>
      <c r="N10" s="24">
        <f>SUMIFS(Libro_Diario[[Cantidad ]],Libro_Diario[[Tipo ]],Ingresos[[#Headers],[Ingresos]],Libro_Diario[[Categoria ]],Ingresos[[#This Row],[Ingresos]],Libro_Diario[Fecha],"&gt;="&amp;'Libro Mayor'!N$9,Libro_Diario[Fecha],"&lt;="&amp;EOMONTH('Libro Mayor'!N$9,0))</f>
        <v>0</v>
      </c>
      <c r="O10" s="24">
        <f>SUMIFS(Libro_Diario[[Cantidad ]],Libro_Diario[[Tipo ]],Ingresos[[#Headers],[Ingresos]],Libro_Diario[[Categoria ]],Ingresos[[#This Row],[Ingresos]],Libro_Diario[Fecha],"&gt;="&amp;'Libro Mayor'!O$9,Libro_Diario[Fecha],"&lt;="&amp;EOMONTH('Libro Mayor'!O$9,0))</f>
        <v>0</v>
      </c>
      <c r="P10" s="24">
        <f>SUMIFS(Libro_Diario[[Cantidad ]],Libro_Diario[[Tipo ]],Ingresos[[#Headers],[Ingresos]],Libro_Diario[[Categoria ]],Ingresos[[#This Row],[Ingresos]],Libro_Diario[Fecha],"&gt;="&amp;'Libro Mayor'!P$9,Libro_Diario[Fecha],"&lt;="&amp;EOMONTH('Libro Mayor'!P$9,0))</f>
        <v>0</v>
      </c>
      <c r="Q10" s="25">
        <f>SUM(E10:P10)</f>
        <v>0</v>
      </c>
      <c r="S10" s="24">
        <f>SUMIFS(Libro_Diario[[Cantidad ]],Libro_Diario[[Tipo ]],Ingresos[[#Headers],[Ingresos]],Libro_Diario[[Categoria ]],Ingresos[[#This Row],[Ingresos]],Libro_Diario[Fecha],"&gt;="&amp;'Libro Mayor'!S$9,Libro_Diario[Fecha],"&lt;="&amp;EOMONTH('Libro Mayor'!S$9,0))</f>
        <v>0</v>
      </c>
      <c r="T10" s="24">
        <f>SUMIFS(Libro_Diario[[Cantidad ]],Libro_Diario[[Tipo ]],Ingresos[[#Headers],[Ingresos]],Libro_Diario[[Categoria ]],Ingresos[[#This Row],[Ingresos]],Libro_Diario[Fecha],"&gt;="&amp;'Libro Mayor'!T$9,Libro_Diario[Fecha],"&lt;="&amp;EOMONTH('Libro Mayor'!T$9,0))</f>
        <v>0</v>
      </c>
      <c r="U10" s="24">
        <f>SUMIFS(Libro_Diario[[Cantidad ]],Libro_Diario[[Tipo ]],Ingresos[[#Headers],[Ingresos]],Libro_Diario[[Categoria ]],Ingresos[[#This Row],[Ingresos]],Libro_Diario[Fecha],"&gt;="&amp;'Libro Mayor'!U$9,Libro_Diario[Fecha],"&lt;="&amp;EOMONTH('Libro Mayor'!U$9,0))</f>
        <v>0</v>
      </c>
      <c r="V10" s="24">
        <f>SUMIFS(Libro_Diario[[Cantidad ]],Libro_Diario[[Tipo ]],Ingresos[[#Headers],[Ingresos]],Libro_Diario[[Categoria ]],Ingresos[[#This Row],[Ingresos]],Libro_Diario[Fecha],"&gt;="&amp;'Libro Mayor'!V$9,Libro_Diario[Fecha],"&lt;="&amp;EOMONTH('Libro Mayor'!V$9,0))</f>
        <v>0</v>
      </c>
      <c r="W10" s="24">
        <f>SUMIFS(Libro_Diario[[Cantidad ]],Libro_Diario[[Tipo ]],Ingresos[[#Headers],[Ingresos]],Libro_Diario[[Categoria ]],Ingresos[[#This Row],[Ingresos]],Libro_Diario[Fecha],"&gt;="&amp;'Libro Mayor'!W$9,Libro_Diario[Fecha],"&lt;="&amp;EOMONTH('Libro Mayor'!W$9,0))</f>
        <v>0</v>
      </c>
      <c r="X10" s="24">
        <f>SUMIFS(Libro_Diario[[Cantidad ]],Libro_Diario[[Tipo ]],Ingresos[[#Headers],[Ingresos]],Libro_Diario[[Categoria ]],Ingresos[[#This Row],[Ingresos]],Libro_Diario[Fecha],"&gt;="&amp;'Libro Mayor'!X$9,Libro_Diario[Fecha],"&lt;="&amp;EOMONTH('Libro Mayor'!X$9,0))</f>
        <v>0</v>
      </c>
      <c r="Y10" s="24">
        <f>SUMIFS(Libro_Diario[[Cantidad ]],Libro_Diario[[Tipo ]],Ingresos[[#Headers],[Ingresos]],Libro_Diario[[Categoria ]],Ingresos[[#This Row],[Ingresos]],Libro_Diario[Fecha],"&gt;="&amp;'Libro Mayor'!Y$9,Libro_Diario[Fecha],"&lt;="&amp;EOMONTH('Libro Mayor'!Y$9,0))</f>
        <v>0</v>
      </c>
      <c r="Z10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0" s="24">
        <f>SUMIFS(Libro_Diario[[Cantidad ]],Libro_Diario[[Tipo ]],Ingresos[[#Headers],[Ingresos]],Libro_Diario[[Categoria ]],Ingresos[[#This Row],[Ingresos]],Libro_Diario[Fecha],"&gt;="&amp;'Libro Mayor'!AA$9,Libro_Diario[Fecha],"&lt;="&amp;EOMONTH('Libro Mayor'!AA$9,0))</f>
        <v>0</v>
      </c>
      <c r="AB10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0" s="24">
        <f>SUMIFS(Libro_Diario[[Cantidad ]],Libro_Diario[[Tipo ]],Ingresos[[#Headers],[Ingresos]],Libro_Diario[[Categoria ]],Ingresos[[#This Row],[Ingresos]],Libro_Diario[Fecha],"&gt;="&amp;'Libro Mayor'!AC$9,Libro_Diario[Fecha],"&lt;="&amp;EOMONTH('Libro Mayor'!AC$9,0))</f>
        <v>0</v>
      </c>
      <c r="AD10" s="24">
        <f>SUMIFS(Libro_Diario[[Cantidad ]],Libro_Diario[[Tipo ]],Ingresos[[#Headers],[Ingresos]],Libro_Diario[[Categoria ]],Ingresos[[#This Row],[Ingresos]],Libro_Diario[Fecha],"&gt;="&amp;'Libro Mayor'!AD$9,Libro_Diario[Fecha],"&lt;="&amp;EOMONTH('Libro Mayor'!AD$9,0))</f>
        <v>0</v>
      </c>
      <c r="AE10" s="25">
        <f>SUM(S10:AD10)</f>
        <v>0</v>
      </c>
      <c r="AG10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0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0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0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0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0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0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0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0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0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0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0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0" s="25">
        <f>SUM(AG10:AR10)</f>
        <v>0</v>
      </c>
      <c r="AU10" s="24">
        <f>SUMIFS(Libro_Diario[[Cantidad ]],Libro_Diario[[Tipo ]],Ingresos[[#Headers],[Ingresos]],Libro_Diario[[Categoria ]],Ingresos[[#This Row],[Ingresos]],Libro_Diario[Fecha],"&gt;="&amp;'Libro Mayor'!AU$9,Libro_Diario[Fecha],"&lt;="&amp;EOMONTH('Libro Mayor'!AU$9,0))</f>
        <v>0</v>
      </c>
      <c r="AV10" s="24">
        <f>SUMIFS(Libro_Diario[[Cantidad ]],Libro_Diario[[Tipo ]],Ingresos[[#Headers],[Ingresos]],Libro_Diario[[Categoria ]],Ingresos[[#This Row],[Ingresos]],Libro_Diario[Fecha],"&gt;="&amp;'Libro Mayor'!AV$9,Libro_Diario[Fecha],"&lt;="&amp;EOMONTH('Libro Mayor'!AV$9,0))</f>
        <v>0</v>
      </c>
      <c r="AW10" s="24">
        <f>SUMIFS(Libro_Diario[[Cantidad ]],Libro_Diario[[Tipo ]],Ingresos[[#Headers],[Ingresos]],Libro_Diario[[Categoria ]],Ingresos[[#This Row],[Ingresos]],Libro_Diario[Fecha],"&gt;="&amp;'Libro Mayor'!AW$9,Libro_Diario[Fecha],"&lt;="&amp;EOMONTH('Libro Mayor'!AW$9,0))</f>
        <v>0</v>
      </c>
      <c r="AX10" s="24">
        <f>SUMIFS(Libro_Diario[[Cantidad ]],Libro_Diario[[Tipo ]],Ingresos[[#Headers],[Ingresos]],Libro_Diario[[Categoria ]],Ingresos[[#This Row],[Ingresos]],Libro_Diario[Fecha],"&gt;="&amp;'Libro Mayor'!AX$9,Libro_Diario[Fecha],"&lt;="&amp;EOMONTH('Libro Mayor'!AX$9,0))</f>
        <v>0</v>
      </c>
      <c r="AY10" s="24">
        <f>SUMIFS(Libro_Diario[[Cantidad ]],Libro_Diario[[Tipo ]],Ingresos[[#Headers],[Ingresos]],Libro_Diario[[Categoria ]],Ingresos[[#This Row],[Ingresos]],Libro_Diario[Fecha],"&gt;="&amp;'Libro Mayor'!AY$9,Libro_Diario[Fecha],"&lt;="&amp;EOMONTH('Libro Mayor'!AY$9,0))</f>
        <v>0</v>
      </c>
      <c r="AZ10" s="24">
        <f>SUMIFS(Libro_Diario[[Cantidad ]],Libro_Diario[[Tipo ]],Ingresos[[#Headers],[Ingresos]],Libro_Diario[[Categoria ]],Ingresos[[#This Row],[Ingresos]],Libro_Diario[Fecha],"&gt;="&amp;'Libro Mayor'!AZ$9,Libro_Diario[Fecha],"&lt;="&amp;EOMONTH('Libro Mayor'!AZ$9,0))</f>
        <v>0</v>
      </c>
      <c r="BA10" s="24">
        <f>SUMIFS(Libro_Diario[[Cantidad ]],Libro_Diario[[Tipo ]],Ingresos[[#Headers],[Ingresos]],Libro_Diario[[Categoria ]],Ingresos[[#This Row],[Ingresos]],Libro_Diario[Fecha],"&gt;="&amp;'Libro Mayor'!BA$9,Libro_Diario[Fecha],"&lt;="&amp;EOMONTH('Libro Mayor'!BA$9,0))</f>
        <v>0</v>
      </c>
      <c r="BB10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0" s="24">
        <f>SUMIFS(Libro_Diario[[Cantidad ]],Libro_Diario[[Tipo ]],Ingresos[[#Headers],[Ingresos]],Libro_Diario[[Categoria ]],Ingresos[[#This Row],[Ingresos]],Libro_Diario[Fecha],"&gt;="&amp;'Libro Mayor'!BC$9,Libro_Diario[Fecha],"&lt;="&amp;EOMONTH('Libro Mayor'!BC$9,0))</f>
        <v>0</v>
      </c>
      <c r="BD10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0" s="24">
        <f>SUMIFS(Libro_Diario[[Cantidad ]],Libro_Diario[[Tipo ]],Ingresos[[#Headers],[Ingresos]],Libro_Diario[[Categoria ]],Ingresos[[#This Row],[Ingresos]],Libro_Diario[Fecha],"&gt;="&amp;'Libro Mayor'!BE$9,Libro_Diario[Fecha],"&lt;="&amp;EOMONTH('Libro Mayor'!BE$9,0))</f>
        <v>0</v>
      </c>
      <c r="BF10" s="24">
        <f>SUMIFS(Libro_Diario[[Cantidad ]],Libro_Diario[[Tipo ]],Ingresos[[#Headers],[Ingresos]],Libro_Diario[[Categoria ]],Ingresos[[#This Row],[Ingresos]],Libro_Diario[Fecha],"&gt;="&amp;'Libro Mayor'!BF$9,Libro_Diario[Fecha],"&lt;="&amp;EOMONTH('Libro Mayor'!BF$9,0))</f>
        <v>0</v>
      </c>
      <c r="BG10" s="25">
        <f>SUM(AU10:BF10)</f>
        <v>0</v>
      </c>
      <c r="BI10" s="24">
        <f>SUMIFS(Libro_Diario[[Cantidad ]],Libro_Diario[[Tipo ]],Ingresos[[#Headers],[Ingresos]],Libro_Diario[[Categoria ]],Ingresos[[#This Row],[Ingresos]],Libro_Diario[Fecha],"&gt;="&amp;'Libro Mayor'!BI$9,Libro_Diario[Fecha],"&lt;="&amp;EOMONTH('Libro Mayor'!BI$9,0))</f>
        <v>0</v>
      </c>
      <c r="BJ10" s="24">
        <f>SUMIFS(Libro_Diario[[Cantidad ]],Libro_Diario[[Tipo ]],Ingresos[[#Headers],[Ingresos]],Libro_Diario[[Categoria ]],Ingresos[[#This Row],[Ingresos]],Libro_Diario[Fecha],"&gt;="&amp;'Libro Mayor'!BJ$9,Libro_Diario[Fecha],"&lt;="&amp;EOMONTH('Libro Mayor'!BJ$9,0))</f>
        <v>0</v>
      </c>
      <c r="BK10" s="24">
        <f>SUMIFS(Libro_Diario[[Cantidad ]],Libro_Diario[[Tipo ]],Ingresos[[#Headers],[Ingresos]],Libro_Diario[[Categoria ]],Ingresos[[#This Row],[Ingresos]],Libro_Diario[Fecha],"&gt;="&amp;'Libro Mayor'!BK$9,Libro_Diario[Fecha],"&lt;="&amp;EOMONTH('Libro Mayor'!BK$9,0))</f>
        <v>0</v>
      </c>
      <c r="BL10" s="24">
        <f>SUMIFS(Libro_Diario[[Cantidad ]],Libro_Diario[[Tipo ]],Ingresos[[#Headers],[Ingresos]],Libro_Diario[[Categoria ]],Ingresos[[#This Row],[Ingresos]],Libro_Diario[Fecha],"&gt;="&amp;'Libro Mayor'!BL$9,Libro_Diario[Fecha],"&lt;="&amp;EOMONTH('Libro Mayor'!BL$9,0))</f>
        <v>0</v>
      </c>
      <c r="BM10" s="24">
        <f>SUMIFS(Libro_Diario[[Cantidad ]],Libro_Diario[[Tipo ]],Ingresos[[#Headers],[Ingresos]],Libro_Diario[[Categoria ]],Ingresos[[#This Row],[Ingresos]],Libro_Diario[Fecha],"&gt;="&amp;'Libro Mayor'!BM$9,Libro_Diario[Fecha],"&lt;="&amp;EOMONTH('Libro Mayor'!BM$9,0))</f>
        <v>0</v>
      </c>
      <c r="BN10" s="24">
        <f>SUMIFS(Libro_Diario[[Cantidad ]],Libro_Diario[[Tipo ]],Ingresos[[#Headers],[Ingresos]],Libro_Diario[[Categoria ]],Ingresos[[#This Row],[Ingresos]],Libro_Diario[Fecha],"&gt;="&amp;'Libro Mayor'!BN$9,Libro_Diario[Fecha],"&lt;="&amp;EOMONTH('Libro Mayor'!BN$9,0))</f>
        <v>0</v>
      </c>
      <c r="BO10" s="24">
        <f>SUMIFS(Libro_Diario[[Cantidad ]],Libro_Diario[[Tipo ]],Ingresos[[#Headers],[Ingresos]],Libro_Diario[[Categoria ]],Ingresos[[#This Row],[Ingresos]],Libro_Diario[Fecha],"&gt;="&amp;'Libro Mayor'!BO$9,Libro_Diario[Fecha],"&lt;="&amp;EOMONTH('Libro Mayor'!BO$9,0))</f>
        <v>0</v>
      </c>
      <c r="BP10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0" s="24">
        <f>SUMIFS(Libro_Diario[[Cantidad ]],Libro_Diario[[Tipo ]],Ingresos[[#Headers],[Ingresos]],Libro_Diario[[Categoria ]],Ingresos[[#This Row],[Ingresos]],Libro_Diario[Fecha],"&gt;="&amp;'Libro Mayor'!BQ$9,Libro_Diario[Fecha],"&lt;="&amp;EOMONTH('Libro Mayor'!BQ$9,0))</f>
        <v>0</v>
      </c>
      <c r="BR10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0" s="24">
        <f>SUMIFS(Libro_Diario[[Cantidad ]],Libro_Diario[[Tipo ]],Ingresos[[#Headers],[Ingresos]],Libro_Diario[[Categoria ]],Ingresos[[#This Row],[Ingresos]],Libro_Diario[Fecha],"&gt;="&amp;'Libro Mayor'!BS$9,Libro_Diario[Fecha],"&lt;="&amp;EOMONTH('Libro Mayor'!BS$9,0))</f>
        <v>0</v>
      </c>
      <c r="BT10" s="24">
        <f>SUMIFS(Libro_Diario[[Cantidad ]],Libro_Diario[[Tipo ]],Ingresos[[#Headers],[Ingresos]],Libro_Diario[[Categoria ]],Ingresos[[#This Row],[Ingresos]],Libro_Diario[Fecha],"&gt;="&amp;'Libro Mayor'!BT$9,Libro_Diario[Fecha],"&lt;="&amp;EOMONTH('Libro Mayor'!BT$9,0))</f>
        <v>0</v>
      </c>
      <c r="BU10" s="25">
        <f>SUM(BI10:BT10)</f>
        <v>0</v>
      </c>
      <c r="BW10" s="24">
        <f>SUMIFS(Libro_Diario[[Cantidad ]],Libro_Diario[[Tipo ]],Ingresos[[#Headers],[Ingresos]],Libro_Diario[[Categoria ]],Ingresos[[#This Row],[Ingresos]],Libro_Diario[Fecha],"&gt;="&amp;'Libro Mayor'!BW$9,Libro_Diario[Fecha],"&lt;="&amp;EOMONTH('Libro Mayor'!BW$9,0))</f>
        <v>0</v>
      </c>
      <c r="BX10" s="24">
        <f>SUMIFS(Libro_Diario[[Cantidad ]],Libro_Diario[[Tipo ]],Ingresos[[#Headers],[Ingresos]],Libro_Diario[[Categoria ]],Ingresos[[#This Row],[Ingresos]],Libro_Diario[Fecha],"&gt;="&amp;'Libro Mayor'!BX$9,Libro_Diario[Fecha],"&lt;="&amp;EOMONTH('Libro Mayor'!BX$9,0))</f>
        <v>0</v>
      </c>
      <c r="BY10" s="24">
        <f>SUMIFS(Libro_Diario[[Cantidad ]],Libro_Diario[[Tipo ]],Ingresos[[#Headers],[Ingresos]],Libro_Diario[[Categoria ]],Ingresos[[#This Row],[Ingresos]],Libro_Diario[Fecha],"&gt;="&amp;'Libro Mayor'!BY$9,Libro_Diario[Fecha],"&lt;="&amp;EOMONTH('Libro Mayor'!BY$9,0))</f>
        <v>0</v>
      </c>
      <c r="BZ10" s="24">
        <f>SUMIFS(Libro_Diario[[Cantidad ]],Libro_Diario[[Tipo ]],Ingresos[[#Headers],[Ingresos]],Libro_Diario[[Categoria ]],Ingresos[[#This Row],[Ingresos]],Libro_Diario[Fecha],"&gt;="&amp;'Libro Mayor'!BZ$9,Libro_Diario[Fecha],"&lt;="&amp;EOMONTH('Libro Mayor'!BZ$9,0))</f>
        <v>0</v>
      </c>
      <c r="CA10" s="24">
        <f>SUMIFS(Libro_Diario[[Cantidad ]],Libro_Diario[[Tipo ]],Ingresos[[#Headers],[Ingresos]],Libro_Diario[[Categoria ]],Ingresos[[#This Row],[Ingresos]],Libro_Diario[Fecha],"&gt;="&amp;'Libro Mayor'!CA$9,Libro_Diario[Fecha],"&lt;="&amp;EOMONTH('Libro Mayor'!CA$9,0))</f>
        <v>0</v>
      </c>
      <c r="CB10" s="24">
        <f>SUMIFS(Libro_Diario[[Cantidad ]],Libro_Diario[[Tipo ]],Ingresos[[#Headers],[Ingresos]],Libro_Diario[[Categoria ]],Ingresos[[#This Row],[Ingresos]],Libro_Diario[Fecha],"&gt;="&amp;'Libro Mayor'!CB$9,Libro_Diario[Fecha],"&lt;="&amp;EOMONTH('Libro Mayor'!CB$9,0))</f>
        <v>0</v>
      </c>
      <c r="CC10" s="24">
        <f>SUMIFS(Libro_Diario[[Cantidad ]],Libro_Diario[[Tipo ]],Ingresos[[#Headers],[Ingresos]],Libro_Diario[[Categoria ]],Ingresos[[#This Row],[Ingresos]],Libro_Diario[Fecha],"&gt;="&amp;'Libro Mayor'!CC$9,Libro_Diario[Fecha],"&lt;="&amp;EOMONTH('Libro Mayor'!CC$9,0))</f>
        <v>0</v>
      </c>
      <c r="CD10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0" s="24">
        <f>SUMIFS(Libro_Diario[[Cantidad ]],Libro_Diario[[Tipo ]],Ingresos[[#Headers],[Ingresos]],Libro_Diario[[Categoria ]],Ingresos[[#This Row],[Ingresos]],Libro_Diario[Fecha],"&gt;="&amp;'Libro Mayor'!CE$9,Libro_Diario[Fecha],"&lt;="&amp;EOMONTH('Libro Mayor'!CE$9,0))</f>
        <v>0</v>
      </c>
      <c r="CF10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0" s="24">
        <f>SUMIFS(Libro_Diario[[Cantidad ]],Libro_Diario[[Tipo ]],Ingresos[[#Headers],[Ingresos]],Libro_Diario[[Categoria ]],Ingresos[[#This Row],[Ingresos]],Libro_Diario[Fecha],"&gt;="&amp;'Libro Mayor'!CG$9,Libro_Diario[Fecha],"&lt;="&amp;EOMONTH('Libro Mayor'!CG$9,0))</f>
        <v>0</v>
      </c>
      <c r="CH10" s="24">
        <f>SUMIFS(Libro_Diario[[Cantidad ]],Libro_Diario[[Tipo ]],Ingresos[[#Headers],[Ingresos]],Libro_Diario[[Categoria ]],Ingresos[[#This Row],[Ingresos]],Libro_Diario[Fecha],"&gt;="&amp;'Libro Mayor'!CH$9,Libro_Diario[Fecha],"&lt;="&amp;EOMONTH('Libro Mayor'!CH$9,0))</f>
        <v>0</v>
      </c>
      <c r="CI10" s="25">
        <f>SUM(BW10:CH10)</f>
        <v>0</v>
      </c>
      <c r="CK10" s="24">
        <f>SUMIFS(Libro_Diario[[Cantidad ]],Libro_Diario[[Tipo ]],Ingresos[[#Headers],[Ingresos]],Libro_Diario[[Categoria ]],Ingresos[[#This Row],[Ingresos]],Libro_Diario[Fecha],"&gt;="&amp;'Libro Mayor'!CK$9,Libro_Diario[Fecha],"&lt;="&amp;EOMONTH('Libro Mayor'!CK$9,0))</f>
        <v>0</v>
      </c>
      <c r="CL10" s="24">
        <f>SUMIFS(Libro_Diario[[Cantidad ]],Libro_Diario[[Tipo ]],Ingresos[[#Headers],[Ingresos]],Libro_Diario[[Categoria ]],Ingresos[[#This Row],[Ingresos]],Libro_Diario[Fecha],"&gt;="&amp;'Libro Mayor'!CL$9,Libro_Diario[Fecha],"&lt;="&amp;EOMONTH('Libro Mayor'!CL$9,0))</f>
        <v>0</v>
      </c>
      <c r="CM10" s="24">
        <f>SUMIFS(Libro_Diario[[Cantidad ]],Libro_Diario[[Tipo ]],Ingresos[[#Headers],[Ingresos]],Libro_Diario[[Categoria ]],Ingresos[[#This Row],[Ingresos]],Libro_Diario[Fecha],"&gt;="&amp;'Libro Mayor'!CM$9,Libro_Diario[Fecha],"&lt;="&amp;EOMONTH('Libro Mayor'!CM$9,0))</f>
        <v>0</v>
      </c>
      <c r="CN10" s="24">
        <f>SUMIFS(Libro_Diario[[Cantidad ]],Libro_Diario[[Tipo ]],Ingresos[[#Headers],[Ingresos]],Libro_Diario[[Categoria ]],Ingresos[[#This Row],[Ingresos]],Libro_Diario[Fecha],"&gt;="&amp;'Libro Mayor'!CN$9,Libro_Diario[Fecha],"&lt;="&amp;EOMONTH('Libro Mayor'!CN$9,0))</f>
        <v>0</v>
      </c>
      <c r="CO10" s="24">
        <f>SUMIFS(Libro_Diario[[Cantidad ]],Libro_Diario[[Tipo ]],Ingresos[[#Headers],[Ingresos]],Libro_Diario[[Categoria ]],Ingresos[[#This Row],[Ingresos]],Libro_Diario[Fecha],"&gt;="&amp;'Libro Mayor'!CO$9,Libro_Diario[Fecha],"&lt;="&amp;EOMONTH('Libro Mayor'!CO$9,0))</f>
        <v>0</v>
      </c>
      <c r="CP10" s="24">
        <f>SUMIFS(Libro_Diario[[Cantidad ]],Libro_Diario[[Tipo ]],Ingresos[[#Headers],[Ingresos]],Libro_Diario[[Categoria ]],Ingresos[[#This Row],[Ingresos]],Libro_Diario[Fecha],"&gt;="&amp;'Libro Mayor'!CP$9,Libro_Diario[Fecha],"&lt;="&amp;EOMONTH('Libro Mayor'!CP$9,0))</f>
        <v>0</v>
      </c>
      <c r="CQ10" s="24">
        <f>SUMIFS(Libro_Diario[[Cantidad ]],Libro_Diario[[Tipo ]],Ingresos[[#Headers],[Ingresos]],Libro_Diario[[Categoria ]],Ingresos[[#This Row],[Ingresos]],Libro_Diario[Fecha],"&gt;="&amp;'Libro Mayor'!CQ$9,Libro_Diario[Fecha],"&lt;="&amp;EOMONTH('Libro Mayor'!CQ$9,0))</f>
        <v>0</v>
      </c>
      <c r="CR10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0" s="24">
        <f>SUMIFS(Libro_Diario[[Cantidad ]],Libro_Diario[[Tipo ]],Ingresos[[#Headers],[Ingresos]],Libro_Diario[[Categoria ]],Ingresos[[#This Row],[Ingresos]],Libro_Diario[Fecha],"&gt;="&amp;'Libro Mayor'!CS$9,Libro_Diario[Fecha],"&lt;="&amp;EOMONTH('Libro Mayor'!CS$9,0))</f>
        <v>0</v>
      </c>
      <c r="CT10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0" s="24">
        <f>SUMIFS(Libro_Diario[[Cantidad ]],Libro_Diario[[Tipo ]],Ingresos[[#Headers],[Ingresos]],Libro_Diario[[Categoria ]],Ingresos[[#This Row],[Ingresos]],Libro_Diario[Fecha],"&gt;="&amp;'Libro Mayor'!CU$9,Libro_Diario[Fecha],"&lt;="&amp;EOMONTH('Libro Mayor'!CU$9,0))</f>
        <v>0</v>
      </c>
      <c r="CV10" s="24">
        <f>SUMIFS(Libro_Diario[[Cantidad ]],Libro_Diario[[Tipo ]],Ingresos[[#Headers],[Ingresos]],Libro_Diario[[Categoria ]],Ingresos[[#This Row],[Ingresos]],Libro_Diario[Fecha],"&gt;="&amp;'Libro Mayor'!CV$9,Libro_Diario[Fecha],"&lt;="&amp;EOMONTH('Libro Mayor'!CV$9,0))</f>
        <v>0</v>
      </c>
      <c r="CW10" s="25">
        <f>SUM(CK10:CV10)</f>
        <v>0</v>
      </c>
      <c r="CY10" s="24">
        <f>SUMIFS(Libro_Diario[[Cantidad ]],Libro_Diario[[Tipo ]],Ingresos[[#Headers],[Ingresos]],Libro_Diario[[Categoria ]],Ingresos[[#This Row],[Ingresos]],Libro_Diario[Fecha],"&gt;="&amp;'Libro Mayor'!CY$9,Libro_Diario[Fecha],"&lt;="&amp;EOMONTH('Libro Mayor'!CY$9,0))</f>
        <v>0</v>
      </c>
      <c r="CZ10" s="24">
        <f>SUMIFS(Libro_Diario[[Cantidad ]],Libro_Diario[[Tipo ]],Ingresos[[#Headers],[Ingresos]],Libro_Diario[[Categoria ]],Ingresos[[#This Row],[Ingresos]],Libro_Diario[Fecha],"&gt;="&amp;'Libro Mayor'!CZ$9,Libro_Diario[Fecha],"&lt;="&amp;EOMONTH('Libro Mayor'!CZ$9,0))</f>
        <v>0</v>
      </c>
      <c r="DA10" s="24">
        <f>SUMIFS(Libro_Diario[[Cantidad ]],Libro_Diario[[Tipo ]],Ingresos[[#Headers],[Ingresos]],Libro_Diario[[Categoria ]],Ingresos[[#This Row],[Ingresos]],Libro_Diario[Fecha],"&gt;="&amp;'Libro Mayor'!DA$9,Libro_Diario[Fecha],"&lt;="&amp;EOMONTH('Libro Mayor'!DA$9,0))</f>
        <v>0</v>
      </c>
      <c r="DB10" s="24">
        <f>SUMIFS(Libro_Diario[[Cantidad ]],Libro_Diario[[Tipo ]],Ingresos[[#Headers],[Ingresos]],Libro_Diario[[Categoria ]],Ingresos[[#This Row],[Ingresos]],Libro_Diario[Fecha],"&gt;="&amp;'Libro Mayor'!DB$9,Libro_Diario[Fecha],"&lt;="&amp;EOMONTH('Libro Mayor'!DB$9,0))</f>
        <v>0</v>
      </c>
      <c r="DC10" s="24">
        <f>SUMIFS(Libro_Diario[[Cantidad ]],Libro_Diario[[Tipo ]],Ingresos[[#Headers],[Ingresos]],Libro_Diario[[Categoria ]],Ingresos[[#This Row],[Ingresos]],Libro_Diario[Fecha],"&gt;="&amp;'Libro Mayor'!DC$9,Libro_Diario[Fecha],"&lt;="&amp;EOMONTH('Libro Mayor'!DC$9,0))</f>
        <v>0</v>
      </c>
      <c r="DD10" s="24">
        <f>SUMIFS(Libro_Diario[[Cantidad ]],Libro_Diario[[Tipo ]],Ingresos[[#Headers],[Ingresos]],Libro_Diario[[Categoria ]],Ingresos[[#This Row],[Ingresos]],Libro_Diario[Fecha],"&gt;="&amp;'Libro Mayor'!DD$9,Libro_Diario[Fecha],"&lt;="&amp;EOMONTH('Libro Mayor'!DD$9,0))</f>
        <v>0</v>
      </c>
      <c r="DE10" s="24">
        <f>SUMIFS(Libro_Diario[[Cantidad ]],Libro_Diario[[Tipo ]],Ingresos[[#Headers],[Ingresos]],Libro_Diario[[Categoria ]],Ingresos[[#This Row],[Ingresos]],Libro_Diario[Fecha],"&gt;="&amp;'Libro Mayor'!DE$9,Libro_Diario[Fecha],"&lt;="&amp;EOMONTH('Libro Mayor'!DE$9,0))</f>
        <v>0</v>
      </c>
      <c r="DF10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0" s="24">
        <f>SUMIFS(Libro_Diario[[Cantidad ]],Libro_Diario[[Tipo ]],Ingresos[[#Headers],[Ingresos]],Libro_Diario[[Categoria ]],Ingresos[[#This Row],[Ingresos]],Libro_Diario[Fecha],"&gt;="&amp;'Libro Mayor'!DG$9,Libro_Diario[Fecha],"&lt;="&amp;EOMONTH('Libro Mayor'!DG$9,0))</f>
        <v>0</v>
      </c>
      <c r="DH10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0" s="24">
        <f>SUMIFS(Libro_Diario[[Cantidad ]],Libro_Diario[[Tipo ]],Ingresos[[#Headers],[Ingresos]],Libro_Diario[[Categoria ]],Ingresos[[#This Row],[Ingresos]],Libro_Diario[Fecha],"&gt;="&amp;'Libro Mayor'!DI$9,Libro_Diario[Fecha],"&lt;="&amp;EOMONTH('Libro Mayor'!DI$9,0))</f>
        <v>0</v>
      </c>
      <c r="DJ10" s="24">
        <f>SUMIFS(Libro_Diario[[Cantidad ]],Libro_Diario[[Tipo ]],Ingresos[[#Headers],[Ingresos]],Libro_Diario[[Categoria ]],Ingresos[[#This Row],[Ingresos]],Libro_Diario[Fecha],"&gt;="&amp;'Libro Mayor'!DJ$9,Libro_Diario[Fecha],"&lt;="&amp;EOMONTH('Libro Mayor'!DJ$9,0))</f>
        <v>0</v>
      </c>
      <c r="DK10" s="25">
        <f>SUM(CY10:DJ10)</f>
        <v>0</v>
      </c>
      <c r="DM10" s="24">
        <f>SUMIFS(Libro_Diario[[Cantidad ]],Libro_Diario[[Tipo ]],Ingresos[[#Headers],[Ingresos]],Libro_Diario[[Categoria ]],Ingresos[[#This Row],[Ingresos]],Libro_Diario[Fecha],"&gt;="&amp;'Libro Mayor'!DM$9,Libro_Diario[Fecha],"&lt;="&amp;EOMONTH('Libro Mayor'!DM$9,0))</f>
        <v>0</v>
      </c>
      <c r="DN10" s="24">
        <f>SUMIFS(Libro_Diario[[Cantidad ]],Libro_Diario[[Tipo ]],Ingresos[[#Headers],[Ingresos]],Libro_Diario[[Categoria ]],Ingresos[[#This Row],[Ingresos]],Libro_Diario[Fecha],"&gt;="&amp;'Libro Mayor'!DN$9,Libro_Diario[Fecha],"&lt;="&amp;EOMONTH('Libro Mayor'!DN$9,0))</f>
        <v>0</v>
      </c>
      <c r="DO10" s="24">
        <f>SUMIFS(Libro_Diario[[Cantidad ]],Libro_Diario[[Tipo ]],Ingresos[[#Headers],[Ingresos]],Libro_Diario[[Categoria ]],Ingresos[[#This Row],[Ingresos]],Libro_Diario[Fecha],"&gt;="&amp;'Libro Mayor'!DO$9,Libro_Diario[Fecha],"&lt;="&amp;EOMONTH('Libro Mayor'!DO$9,0))</f>
        <v>0</v>
      </c>
      <c r="DP10" s="24">
        <f>SUMIFS(Libro_Diario[[Cantidad ]],Libro_Diario[[Tipo ]],Ingresos[[#Headers],[Ingresos]],Libro_Diario[[Categoria ]],Ingresos[[#This Row],[Ingresos]],Libro_Diario[Fecha],"&gt;="&amp;'Libro Mayor'!DP$9,Libro_Diario[Fecha],"&lt;="&amp;EOMONTH('Libro Mayor'!DP$9,0))</f>
        <v>0</v>
      </c>
      <c r="DQ10" s="24">
        <f>SUMIFS(Libro_Diario[[Cantidad ]],Libro_Diario[[Tipo ]],Ingresos[[#Headers],[Ingresos]],Libro_Diario[[Categoria ]],Ingresos[[#This Row],[Ingresos]],Libro_Diario[Fecha],"&gt;="&amp;'Libro Mayor'!DQ$9,Libro_Diario[Fecha],"&lt;="&amp;EOMONTH('Libro Mayor'!DQ$9,0))</f>
        <v>0</v>
      </c>
      <c r="DR10" s="24">
        <f>SUMIFS(Libro_Diario[[Cantidad ]],Libro_Diario[[Tipo ]],Ingresos[[#Headers],[Ingresos]],Libro_Diario[[Categoria ]],Ingresos[[#This Row],[Ingresos]],Libro_Diario[Fecha],"&gt;="&amp;'Libro Mayor'!DR$9,Libro_Diario[Fecha],"&lt;="&amp;EOMONTH('Libro Mayor'!DR$9,0))</f>
        <v>0</v>
      </c>
      <c r="DS10" s="24">
        <f>SUMIFS(Libro_Diario[[Cantidad ]],Libro_Diario[[Tipo ]],Ingresos[[#Headers],[Ingresos]],Libro_Diario[[Categoria ]],Ingresos[[#This Row],[Ingresos]],Libro_Diario[Fecha],"&gt;="&amp;'Libro Mayor'!DS$9,Libro_Diario[Fecha],"&lt;="&amp;EOMONTH('Libro Mayor'!DS$9,0))</f>
        <v>0</v>
      </c>
      <c r="DT10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0" s="24">
        <f>SUMIFS(Libro_Diario[[Cantidad ]],Libro_Diario[[Tipo ]],Ingresos[[#Headers],[Ingresos]],Libro_Diario[[Categoria ]],Ingresos[[#This Row],[Ingresos]],Libro_Diario[Fecha],"&gt;="&amp;'Libro Mayor'!DU$9,Libro_Diario[Fecha],"&lt;="&amp;EOMONTH('Libro Mayor'!DU$9,0))</f>
        <v>0</v>
      </c>
      <c r="DV10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0" s="24">
        <f>SUMIFS(Libro_Diario[[Cantidad ]],Libro_Diario[[Tipo ]],Ingresos[[#Headers],[Ingresos]],Libro_Diario[[Categoria ]],Ingresos[[#This Row],[Ingresos]],Libro_Diario[Fecha],"&gt;="&amp;'Libro Mayor'!DW$9,Libro_Diario[Fecha],"&lt;="&amp;EOMONTH('Libro Mayor'!DW$9,0))</f>
        <v>0</v>
      </c>
      <c r="DX10" s="24">
        <f>SUMIFS(Libro_Diario[[Cantidad ]],Libro_Diario[[Tipo ]],Ingresos[[#Headers],[Ingresos]],Libro_Diario[[Categoria ]],Ingresos[[#This Row],[Ingresos]],Libro_Diario[Fecha],"&gt;="&amp;'Libro Mayor'!DX$9,Libro_Diario[Fecha],"&lt;="&amp;EOMONTH('Libro Mayor'!DX$9,0))</f>
        <v>0</v>
      </c>
      <c r="DY10" s="25">
        <f>SUM(DM10:DX10)</f>
        <v>0</v>
      </c>
      <c r="EA10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0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0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0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0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0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0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0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0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0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0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0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0" s="25">
        <f>SUM(EA10:EL10)</f>
        <v>0</v>
      </c>
      <c r="EO10" s="24">
        <f>SUMIFS(Libro_Diario[[Cantidad ]],Libro_Diario[[Tipo ]],Ingresos[[#Headers],[Ingresos]],Libro_Diario[[Categoria ]],Ingresos[[#This Row],[Ingresos]],Libro_Diario[Fecha],"&gt;="&amp;'Libro Mayor'!EO$9,Libro_Diario[Fecha],"&lt;="&amp;EOMONTH('Libro Mayor'!EO$9,0))</f>
        <v>0</v>
      </c>
      <c r="EP10" s="24">
        <f>SUMIFS(Libro_Diario[[Cantidad ]],Libro_Diario[[Tipo ]],Ingresos[[#Headers],[Ingresos]],Libro_Diario[[Categoria ]],Ingresos[[#This Row],[Ingresos]],Libro_Diario[Fecha],"&gt;="&amp;'Libro Mayor'!EP$9,Libro_Diario[Fecha],"&lt;="&amp;EOMONTH('Libro Mayor'!EP$9,0))</f>
        <v>0</v>
      </c>
      <c r="EQ10" s="24">
        <f>SUMIFS(Libro_Diario[[Cantidad ]],Libro_Diario[[Tipo ]],Ingresos[[#Headers],[Ingresos]],Libro_Diario[[Categoria ]],Ingresos[[#This Row],[Ingresos]],Libro_Diario[Fecha],"&gt;="&amp;'Libro Mayor'!EQ$9,Libro_Diario[Fecha],"&lt;="&amp;EOMONTH('Libro Mayor'!EQ$9,0))</f>
        <v>0</v>
      </c>
      <c r="ER10" s="24">
        <f>SUMIFS(Libro_Diario[[Cantidad ]],Libro_Diario[[Tipo ]],Ingresos[[#Headers],[Ingresos]],Libro_Diario[[Categoria ]],Ingresos[[#This Row],[Ingresos]],Libro_Diario[Fecha],"&gt;="&amp;'Libro Mayor'!ER$9,Libro_Diario[Fecha],"&lt;="&amp;EOMONTH('Libro Mayor'!ER$9,0))</f>
        <v>0</v>
      </c>
      <c r="ES10" s="24">
        <f>SUMIFS(Libro_Diario[[Cantidad ]],Libro_Diario[[Tipo ]],Ingresos[[#Headers],[Ingresos]],Libro_Diario[[Categoria ]],Ingresos[[#This Row],[Ingresos]],Libro_Diario[Fecha],"&gt;="&amp;'Libro Mayor'!ES$9,Libro_Diario[Fecha],"&lt;="&amp;EOMONTH('Libro Mayor'!ES$9,0))</f>
        <v>0</v>
      </c>
      <c r="ET10" s="24">
        <f>SUMIFS(Libro_Diario[[Cantidad ]],Libro_Diario[[Tipo ]],Ingresos[[#Headers],[Ingresos]],Libro_Diario[[Categoria ]],Ingresos[[#This Row],[Ingresos]],Libro_Diario[Fecha],"&gt;="&amp;'Libro Mayor'!ET$9,Libro_Diario[Fecha],"&lt;="&amp;EOMONTH('Libro Mayor'!ET$9,0))</f>
        <v>0</v>
      </c>
      <c r="EU10" s="24">
        <f>SUMIFS(Libro_Diario[[Cantidad ]],Libro_Diario[[Tipo ]],Ingresos[[#Headers],[Ingresos]],Libro_Diario[[Categoria ]],Ingresos[[#This Row],[Ingresos]],Libro_Diario[Fecha],"&gt;="&amp;'Libro Mayor'!EU$9,Libro_Diario[Fecha],"&lt;="&amp;EOMONTH('Libro Mayor'!EU$9,0))</f>
        <v>0</v>
      </c>
      <c r="EV10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0" s="24">
        <f>SUMIFS(Libro_Diario[[Cantidad ]],Libro_Diario[[Tipo ]],Ingresos[[#Headers],[Ingresos]],Libro_Diario[[Categoria ]],Ingresos[[#This Row],[Ingresos]],Libro_Diario[Fecha],"&gt;="&amp;'Libro Mayor'!EW$9,Libro_Diario[Fecha],"&lt;="&amp;EOMONTH('Libro Mayor'!EW$9,0))</f>
        <v>0</v>
      </c>
      <c r="EX10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0" s="24">
        <f>SUMIFS(Libro_Diario[[Cantidad ]],Libro_Diario[[Tipo ]],Ingresos[[#Headers],[Ingresos]],Libro_Diario[[Categoria ]],Ingresos[[#This Row],[Ingresos]],Libro_Diario[Fecha],"&gt;="&amp;'Libro Mayor'!EY$9,Libro_Diario[Fecha],"&lt;="&amp;EOMONTH('Libro Mayor'!EY$9,0))</f>
        <v>0</v>
      </c>
      <c r="EZ10" s="24">
        <f>SUMIFS(Libro_Diario[[Cantidad ]],Libro_Diario[[Tipo ]],Ingresos[[#Headers],[Ingresos]],Libro_Diario[[Categoria ]],Ingresos[[#This Row],[Ingresos]],Libro_Diario[Fecha],"&gt;="&amp;'Libro Mayor'!EZ$9,Libro_Diario[Fecha],"&lt;="&amp;EOMONTH('Libro Mayor'!EZ$9,0))</f>
        <v>0</v>
      </c>
      <c r="FA10" s="25">
        <f>SUM(EO10:EZ10)</f>
        <v>0</v>
      </c>
    </row>
    <row r="11" spans="3:157" x14ac:dyDescent="0.3">
      <c r="C11" s="16" t="s">
        <v>108</v>
      </c>
      <c r="D11" s="23"/>
      <c r="E11" s="24">
        <f>SUMIFS(Libro_Diario[[Cantidad ]],Libro_Diario[[Tipo ]],Ingresos[[#Headers],[Ingresos]],Libro_Diario[[Categoria ]],Ingresos[[#This Row],[Ingresos]],Libro_Diario[Fecha],"&gt;="&amp;'Libro Mayor'!E$9,Libro_Diario[Fecha],"&lt;="&amp;EOMONTH('Libro Mayor'!E$9,0))</f>
        <v>0</v>
      </c>
      <c r="F11" s="24">
        <f>SUMIFS(Libro_Diario[[Cantidad ]],Libro_Diario[[Tipo ]],Ingresos[[#Headers],[Ingresos]],Libro_Diario[[Categoria ]],Ingresos[[#This Row],[Ingresos]],Libro_Diario[Fecha],"&gt;="&amp;'Libro Mayor'!F$9,Libro_Diario[Fecha],"&lt;="&amp;EOMONTH('Libro Mayor'!F$9,0))</f>
        <v>0</v>
      </c>
      <c r="G11" s="24">
        <f>SUMIFS(Libro_Diario[[Cantidad ]],Libro_Diario[[Tipo ]],Ingresos[[#Headers],[Ingresos]],Libro_Diario[[Categoria ]],Ingresos[[#This Row],[Ingresos]],Libro_Diario[Fecha],"&gt;="&amp;'Libro Mayor'!G$9,Libro_Diario[Fecha],"&lt;="&amp;EOMONTH('Libro Mayor'!G$9,0))</f>
        <v>0</v>
      </c>
      <c r="H11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1" s="24">
        <f>SUMIFS(Libro_Diario[[Cantidad ]],Libro_Diario[[Tipo ]],Ingresos[[#Headers],[Ingresos]],Libro_Diario[[Categoria ]],Ingresos[[#This Row],[Ingresos]],Libro_Diario[Fecha],"&gt;="&amp;'Libro Mayor'!I$9,Libro_Diario[Fecha],"&lt;="&amp;EOMONTH('Libro Mayor'!I$9,0))</f>
        <v>0</v>
      </c>
      <c r="J11" s="24">
        <f>SUMIFS(Libro_Diario[[Cantidad ]],Libro_Diario[[Tipo ]],Ingresos[[#Headers],[Ingresos]],Libro_Diario[[Categoria ]],Ingresos[[#This Row],[Ingresos]],Libro_Diario[Fecha],"&gt;="&amp;'Libro Mayor'!J$9,Libro_Diario[Fecha],"&lt;="&amp;EOMONTH('Libro Mayor'!J$9,0))</f>
        <v>0</v>
      </c>
      <c r="K11" s="24">
        <f>SUMIFS(Libro_Diario[[Cantidad ]],Libro_Diario[[Tipo ]],Ingresos[[#Headers],[Ingresos]],Libro_Diario[[Categoria ]],Ingresos[[#This Row],[Ingresos]],Libro_Diario[Fecha],"&gt;="&amp;'Libro Mayor'!K$9,Libro_Diario[Fecha],"&lt;="&amp;EOMONTH('Libro Mayor'!K$9,0))</f>
        <v>0</v>
      </c>
      <c r="L11" s="24">
        <f>SUMIFS(Libro_Diario[[Cantidad ]],Libro_Diario[[Tipo ]],Ingresos[[#Headers],[Ingresos]],Libro_Diario[[Categoria ]],Ingresos[[#This Row],[Ingresos]],Libro_Diario[Fecha],"&gt;="&amp;'Libro Mayor'!L$9,Libro_Diario[Fecha],"&lt;="&amp;EOMONTH('Libro Mayor'!L$9,0))</f>
        <v>0</v>
      </c>
      <c r="M11" s="24"/>
      <c r="N11" s="24">
        <f>SUMIFS(Libro_Diario[[Cantidad ]],Libro_Diario[[Tipo ]],Ingresos[[#Headers],[Ingresos]],Libro_Diario[[Categoria ]],Ingresos[[#This Row],[Ingresos]],Libro_Diario[Fecha],"&gt;="&amp;'Libro Mayor'!N$9,Libro_Diario[Fecha],"&lt;="&amp;EOMONTH('Libro Mayor'!N$9,0))</f>
        <v>0</v>
      </c>
      <c r="O11" s="24">
        <f>SUMIFS(Libro_Diario[[Cantidad ]],Libro_Diario[[Tipo ]],Ingresos[[#Headers],[Ingresos]],Libro_Diario[[Categoria ]],Ingresos[[#This Row],[Ingresos]],Libro_Diario[Fecha],"&gt;="&amp;'Libro Mayor'!O$9,Libro_Diario[Fecha],"&lt;="&amp;EOMONTH('Libro Mayor'!O$9,0))</f>
        <v>0</v>
      </c>
      <c r="P11" s="24">
        <f>SUMIFS(Libro_Diario[[Cantidad ]],Libro_Diario[[Tipo ]],Ingresos[[#Headers],[Ingresos]],Libro_Diario[[Categoria ]],Ingresos[[#This Row],[Ingresos]],Libro_Diario[Fecha],"&gt;="&amp;'Libro Mayor'!P$9,Libro_Diario[Fecha],"&lt;="&amp;EOMONTH('Libro Mayor'!P$9,0))</f>
        <v>0</v>
      </c>
      <c r="Q11" s="25">
        <f>SUM(E11:P11)</f>
        <v>0</v>
      </c>
      <c r="S11" s="24">
        <f>SUMIFS(Libro_Diario[[Cantidad ]],Libro_Diario[[Tipo ]],Ingresos[[#Headers],[Ingresos]],Libro_Diario[[Categoria ]],Ingresos[[#This Row],[Ingresos]],Libro_Diario[Fecha],"&gt;="&amp;'Libro Mayor'!S$9,Libro_Diario[Fecha],"&lt;="&amp;EOMONTH('Libro Mayor'!S$9,0))</f>
        <v>0</v>
      </c>
      <c r="T11" s="24">
        <f>SUMIFS(Libro_Diario[[Cantidad ]],Libro_Diario[[Tipo ]],Ingresos[[#Headers],[Ingresos]],Libro_Diario[[Categoria ]],Ingresos[[#This Row],[Ingresos]],Libro_Diario[Fecha],"&gt;="&amp;'Libro Mayor'!T$9,Libro_Diario[Fecha],"&lt;="&amp;EOMONTH('Libro Mayor'!T$9,0))</f>
        <v>0</v>
      </c>
      <c r="U11" s="24">
        <f>SUMIFS(Libro_Diario[[Cantidad ]],Libro_Diario[[Tipo ]],Ingresos[[#Headers],[Ingresos]],Libro_Diario[[Categoria ]],Ingresos[[#This Row],[Ingresos]],Libro_Diario[Fecha],"&gt;="&amp;'Libro Mayor'!U$9,Libro_Diario[Fecha],"&lt;="&amp;EOMONTH('Libro Mayor'!U$9,0))</f>
        <v>0</v>
      </c>
      <c r="V11" s="24">
        <f>SUMIFS(Libro_Diario[[Cantidad ]],Libro_Diario[[Tipo ]],Ingresos[[#Headers],[Ingresos]],Libro_Diario[[Categoria ]],Ingresos[[#This Row],[Ingresos]],Libro_Diario[Fecha],"&gt;="&amp;'Libro Mayor'!V$9,Libro_Diario[Fecha],"&lt;="&amp;EOMONTH('Libro Mayor'!V$9,0))</f>
        <v>0</v>
      </c>
      <c r="W11" s="24">
        <f>SUMIFS(Libro_Diario[[Cantidad ]],Libro_Diario[[Tipo ]],Ingresos[[#Headers],[Ingresos]],Libro_Diario[[Categoria ]],Ingresos[[#This Row],[Ingresos]],Libro_Diario[Fecha],"&gt;="&amp;'Libro Mayor'!W$9,Libro_Diario[Fecha],"&lt;="&amp;EOMONTH('Libro Mayor'!W$9,0))</f>
        <v>0</v>
      </c>
      <c r="X11" s="24">
        <f>SUMIFS(Libro_Diario[[Cantidad ]],Libro_Diario[[Tipo ]],Ingresos[[#Headers],[Ingresos]],Libro_Diario[[Categoria ]],Ingresos[[#This Row],[Ingresos]],Libro_Diario[Fecha],"&gt;="&amp;'Libro Mayor'!X$9,Libro_Diario[Fecha],"&lt;="&amp;EOMONTH('Libro Mayor'!X$9,0))</f>
        <v>0</v>
      </c>
      <c r="Y11" s="24">
        <f>SUMIFS(Libro_Diario[[Cantidad ]],Libro_Diario[[Tipo ]],Ingresos[[#Headers],[Ingresos]],Libro_Diario[[Categoria ]],Ingresos[[#This Row],[Ingresos]],Libro_Diario[Fecha],"&gt;="&amp;'Libro Mayor'!Y$9,Libro_Diario[Fecha],"&lt;="&amp;EOMONTH('Libro Mayor'!Y$9,0))</f>
        <v>0</v>
      </c>
      <c r="Z11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1" s="24">
        <f>SUMIFS(Libro_Diario[[Cantidad ]],Libro_Diario[[Tipo ]],Ingresos[[#Headers],[Ingresos]],Libro_Diario[[Categoria ]],Ingresos[[#This Row],[Ingresos]],Libro_Diario[Fecha],"&gt;="&amp;'Libro Mayor'!AA$9,Libro_Diario[Fecha],"&lt;="&amp;EOMONTH('Libro Mayor'!AA$9,0))</f>
        <v>0</v>
      </c>
      <c r="AB11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1" s="24">
        <f>SUMIFS(Libro_Diario[[Cantidad ]],Libro_Diario[[Tipo ]],Ingresos[[#Headers],[Ingresos]],Libro_Diario[[Categoria ]],Ingresos[[#This Row],[Ingresos]],Libro_Diario[Fecha],"&gt;="&amp;'Libro Mayor'!AC$9,Libro_Diario[Fecha],"&lt;="&amp;EOMONTH('Libro Mayor'!AC$9,0))</f>
        <v>0</v>
      </c>
      <c r="AD11" s="24">
        <f>SUMIFS(Libro_Diario[[Cantidad ]],Libro_Diario[[Tipo ]],Ingresos[[#Headers],[Ingresos]],Libro_Diario[[Categoria ]],Ingresos[[#This Row],[Ingresos]],Libro_Diario[Fecha],"&gt;="&amp;'Libro Mayor'!AD$9,Libro_Diario[Fecha],"&lt;="&amp;EOMONTH('Libro Mayor'!AD$9,0))</f>
        <v>0</v>
      </c>
      <c r="AE11" s="25">
        <f>SUM(S11:AD11)</f>
        <v>0</v>
      </c>
      <c r="AG11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1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1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1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1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1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1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1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1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1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1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1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1" s="25">
        <f>SUM(AG11:AR11)</f>
        <v>0</v>
      </c>
      <c r="AU11" s="24">
        <f>SUMIFS(Libro_Diario[[Cantidad ]],Libro_Diario[[Tipo ]],Ingresos[[#Headers],[Ingresos]],Libro_Diario[[Categoria ]],Ingresos[[#This Row],[Ingresos]],Libro_Diario[Fecha],"&gt;="&amp;'Libro Mayor'!AU$9,Libro_Diario[Fecha],"&lt;="&amp;EOMONTH('Libro Mayor'!AU$9,0))</f>
        <v>0</v>
      </c>
      <c r="AV11" s="24">
        <f>SUMIFS(Libro_Diario[[Cantidad ]],Libro_Diario[[Tipo ]],Ingresos[[#Headers],[Ingresos]],Libro_Diario[[Categoria ]],Ingresos[[#This Row],[Ingresos]],Libro_Diario[Fecha],"&gt;="&amp;'Libro Mayor'!AV$9,Libro_Diario[Fecha],"&lt;="&amp;EOMONTH('Libro Mayor'!AV$9,0))</f>
        <v>0</v>
      </c>
      <c r="AW11" s="24">
        <f>SUMIFS(Libro_Diario[[Cantidad ]],Libro_Diario[[Tipo ]],Ingresos[[#Headers],[Ingresos]],Libro_Diario[[Categoria ]],Ingresos[[#This Row],[Ingresos]],Libro_Diario[Fecha],"&gt;="&amp;'Libro Mayor'!AW$9,Libro_Diario[Fecha],"&lt;="&amp;EOMONTH('Libro Mayor'!AW$9,0))</f>
        <v>0</v>
      </c>
      <c r="AX11" s="24">
        <f>SUMIFS(Libro_Diario[[Cantidad ]],Libro_Diario[[Tipo ]],Ingresos[[#Headers],[Ingresos]],Libro_Diario[[Categoria ]],Ingresos[[#This Row],[Ingresos]],Libro_Diario[Fecha],"&gt;="&amp;'Libro Mayor'!AX$9,Libro_Diario[Fecha],"&lt;="&amp;EOMONTH('Libro Mayor'!AX$9,0))</f>
        <v>0</v>
      </c>
      <c r="AY11" s="24">
        <f>SUMIFS(Libro_Diario[[Cantidad ]],Libro_Diario[[Tipo ]],Ingresos[[#Headers],[Ingresos]],Libro_Diario[[Categoria ]],Ingresos[[#This Row],[Ingresos]],Libro_Diario[Fecha],"&gt;="&amp;'Libro Mayor'!AY$9,Libro_Diario[Fecha],"&lt;="&amp;EOMONTH('Libro Mayor'!AY$9,0))</f>
        <v>0</v>
      </c>
      <c r="AZ11" s="24">
        <f>SUMIFS(Libro_Diario[[Cantidad ]],Libro_Diario[[Tipo ]],Ingresos[[#Headers],[Ingresos]],Libro_Diario[[Categoria ]],Ingresos[[#This Row],[Ingresos]],Libro_Diario[Fecha],"&gt;="&amp;'Libro Mayor'!AZ$9,Libro_Diario[Fecha],"&lt;="&amp;EOMONTH('Libro Mayor'!AZ$9,0))</f>
        <v>0</v>
      </c>
      <c r="BA11" s="24">
        <f>SUMIFS(Libro_Diario[[Cantidad ]],Libro_Diario[[Tipo ]],Ingresos[[#Headers],[Ingresos]],Libro_Diario[[Categoria ]],Ingresos[[#This Row],[Ingresos]],Libro_Diario[Fecha],"&gt;="&amp;'Libro Mayor'!BA$9,Libro_Diario[Fecha],"&lt;="&amp;EOMONTH('Libro Mayor'!BA$9,0))</f>
        <v>0</v>
      </c>
      <c r="BB11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1" s="24">
        <f>SUMIFS(Libro_Diario[[Cantidad ]],Libro_Diario[[Tipo ]],Ingresos[[#Headers],[Ingresos]],Libro_Diario[[Categoria ]],Ingresos[[#This Row],[Ingresos]],Libro_Diario[Fecha],"&gt;="&amp;'Libro Mayor'!BC$9,Libro_Diario[Fecha],"&lt;="&amp;EOMONTH('Libro Mayor'!BC$9,0))</f>
        <v>0</v>
      </c>
      <c r="BD11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1" s="24">
        <f>SUMIFS(Libro_Diario[[Cantidad ]],Libro_Diario[[Tipo ]],Ingresos[[#Headers],[Ingresos]],Libro_Diario[[Categoria ]],Ingresos[[#This Row],[Ingresos]],Libro_Diario[Fecha],"&gt;="&amp;'Libro Mayor'!BE$9,Libro_Diario[Fecha],"&lt;="&amp;EOMONTH('Libro Mayor'!BE$9,0))</f>
        <v>0</v>
      </c>
      <c r="BF11" s="24">
        <f>SUMIFS(Libro_Diario[[Cantidad ]],Libro_Diario[[Tipo ]],Ingresos[[#Headers],[Ingresos]],Libro_Diario[[Categoria ]],Ingresos[[#This Row],[Ingresos]],Libro_Diario[Fecha],"&gt;="&amp;'Libro Mayor'!BF$9,Libro_Diario[Fecha],"&lt;="&amp;EOMONTH('Libro Mayor'!BF$9,0))</f>
        <v>0</v>
      </c>
      <c r="BG11" s="25">
        <f t="shared" ref="BG11:BG12" si="11">SUM(AU11:BF11)</f>
        <v>0</v>
      </c>
      <c r="BI11" s="24">
        <f>SUMIFS(Libro_Diario[[Cantidad ]],Libro_Diario[[Tipo ]],Ingresos[[#Headers],[Ingresos]],Libro_Diario[[Categoria ]],Ingresos[[#This Row],[Ingresos]],Libro_Diario[Fecha],"&gt;="&amp;'Libro Mayor'!BI$9,Libro_Diario[Fecha],"&lt;="&amp;EOMONTH('Libro Mayor'!BI$9,0))</f>
        <v>0</v>
      </c>
      <c r="BJ11" s="24">
        <f>SUMIFS(Libro_Diario[[Cantidad ]],Libro_Diario[[Tipo ]],Ingresos[[#Headers],[Ingresos]],Libro_Diario[[Categoria ]],Ingresos[[#This Row],[Ingresos]],Libro_Diario[Fecha],"&gt;="&amp;'Libro Mayor'!BJ$9,Libro_Diario[Fecha],"&lt;="&amp;EOMONTH('Libro Mayor'!BJ$9,0))</f>
        <v>0</v>
      </c>
      <c r="BK11" s="24">
        <f>SUMIFS(Libro_Diario[[Cantidad ]],Libro_Diario[[Tipo ]],Ingresos[[#Headers],[Ingresos]],Libro_Diario[[Categoria ]],Ingresos[[#This Row],[Ingresos]],Libro_Diario[Fecha],"&gt;="&amp;'Libro Mayor'!BK$9,Libro_Diario[Fecha],"&lt;="&amp;EOMONTH('Libro Mayor'!BK$9,0))</f>
        <v>0</v>
      </c>
      <c r="BL11" s="24">
        <f>SUMIFS(Libro_Diario[[Cantidad ]],Libro_Diario[[Tipo ]],Ingresos[[#Headers],[Ingresos]],Libro_Diario[[Categoria ]],Ingresos[[#This Row],[Ingresos]],Libro_Diario[Fecha],"&gt;="&amp;'Libro Mayor'!BL$9,Libro_Diario[Fecha],"&lt;="&amp;EOMONTH('Libro Mayor'!BL$9,0))</f>
        <v>0</v>
      </c>
      <c r="BM11" s="24">
        <f>SUMIFS(Libro_Diario[[Cantidad ]],Libro_Diario[[Tipo ]],Ingresos[[#Headers],[Ingresos]],Libro_Diario[[Categoria ]],Ingresos[[#This Row],[Ingresos]],Libro_Diario[Fecha],"&gt;="&amp;'Libro Mayor'!BM$9,Libro_Diario[Fecha],"&lt;="&amp;EOMONTH('Libro Mayor'!BM$9,0))</f>
        <v>0</v>
      </c>
      <c r="BN11" s="24">
        <f>SUMIFS(Libro_Diario[[Cantidad ]],Libro_Diario[[Tipo ]],Ingresos[[#Headers],[Ingresos]],Libro_Diario[[Categoria ]],Ingresos[[#This Row],[Ingresos]],Libro_Diario[Fecha],"&gt;="&amp;'Libro Mayor'!BN$9,Libro_Diario[Fecha],"&lt;="&amp;EOMONTH('Libro Mayor'!BN$9,0))</f>
        <v>0</v>
      </c>
      <c r="BO11" s="24">
        <f>SUMIFS(Libro_Diario[[Cantidad ]],Libro_Diario[[Tipo ]],Ingresos[[#Headers],[Ingresos]],Libro_Diario[[Categoria ]],Ingresos[[#This Row],[Ingresos]],Libro_Diario[Fecha],"&gt;="&amp;'Libro Mayor'!BO$9,Libro_Diario[Fecha],"&lt;="&amp;EOMONTH('Libro Mayor'!BO$9,0))</f>
        <v>0</v>
      </c>
      <c r="BP11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1" s="24">
        <f>SUMIFS(Libro_Diario[[Cantidad ]],Libro_Diario[[Tipo ]],Ingresos[[#Headers],[Ingresos]],Libro_Diario[[Categoria ]],Ingresos[[#This Row],[Ingresos]],Libro_Diario[Fecha],"&gt;="&amp;'Libro Mayor'!BQ$9,Libro_Diario[Fecha],"&lt;="&amp;EOMONTH('Libro Mayor'!BQ$9,0))</f>
        <v>0</v>
      </c>
      <c r="BR11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1" s="24">
        <f>SUMIFS(Libro_Diario[[Cantidad ]],Libro_Diario[[Tipo ]],Ingresos[[#Headers],[Ingresos]],Libro_Diario[[Categoria ]],Ingresos[[#This Row],[Ingresos]],Libro_Diario[Fecha],"&gt;="&amp;'Libro Mayor'!BS$9,Libro_Diario[Fecha],"&lt;="&amp;EOMONTH('Libro Mayor'!BS$9,0))</f>
        <v>0</v>
      </c>
      <c r="BT11" s="24">
        <f>SUMIFS(Libro_Diario[[Cantidad ]],Libro_Diario[[Tipo ]],Ingresos[[#Headers],[Ingresos]],Libro_Diario[[Categoria ]],Ingresos[[#This Row],[Ingresos]],Libro_Diario[Fecha],"&gt;="&amp;'Libro Mayor'!BT$9,Libro_Diario[Fecha],"&lt;="&amp;EOMONTH('Libro Mayor'!BT$9,0))</f>
        <v>0</v>
      </c>
      <c r="BU11" s="25">
        <f>SUM(BI11:BT11)</f>
        <v>0</v>
      </c>
      <c r="BW11" s="24">
        <f>SUMIFS(Libro_Diario[[Cantidad ]],Libro_Diario[[Tipo ]],Ingresos[[#Headers],[Ingresos]],Libro_Diario[[Categoria ]],Ingresos[[#This Row],[Ingresos]],Libro_Diario[Fecha],"&gt;="&amp;'Libro Mayor'!BW$9,Libro_Diario[Fecha],"&lt;="&amp;EOMONTH('Libro Mayor'!BW$9,0))</f>
        <v>0</v>
      </c>
      <c r="BX11" s="24">
        <f>SUMIFS(Libro_Diario[[Cantidad ]],Libro_Diario[[Tipo ]],Ingresos[[#Headers],[Ingresos]],Libro_Diario[[Categoria ]],Ingresos[[#This Row],[Ingresos]],Libro_Diario[Fecha],"&gt;="&amp;'Libro Mayor'!BX$9,Libro_Diario[Fecha],"&lt;="&amp;EOMONTH('Libro Mayor'!BX$9,0))</f>
        <v>0</v>
      </c>
      <c r="BY11" s="24">
        <f>SUMIFS(Libro_Diario[[Cantidad ]],Libro_Diario[[Tipo ]],Ingresos[[#Headers],[Ingresos]],Libro_Diario[[Categoria ]],Ingresos[[#This Row],[Ingresos]],Libro_Diario[Fecha],"&gt;="&amp;'Libro Mayor'!BY$9,Libro_Diario[Fecha],"&lt;="&amp;EOMONTH('Libro Mayor'!BY$9,0))</f>
        <v>0</v>
      </c>
      <c r="BZ11" s="24">
        <f>SUMIFS(Libro_Diario[[Cantidad ]],Libro_Diario[[Tipo ]],Ingresos[[#Headers],[Ingresos]],Libro_Diario[[Categoria ]],Ingresos[[#This Row],[Ingresos]],Libro_Diario[Fecha],"&gt;="&amp;'Libro Mayor'!BZ$9,Libro_Diario[Fecha],"&lt;="&amp;EOMONTH('Libro Mayor'!BZ$9,0))</f>
        <v>0</v>
      </c>
      <c r="CA11" s="24">
        <f>SUMIFS(Libro_Diario[[Cantidad ]],Libro_Diario[[Tipo ]],Ingresos[[#Headers],[Ingresos]],Libro_Diario[[Categoria ]],Ingresos[[#This Row],[Ingresos]],Libro_Diario[Fecha],"&gt;="&amp;'Libro Mayor'!CA$9,Libro_Diario[Fecha],"&lt;="&amp;EOMONTH('Libro Mayor'!CA$9,0))</f>
        <v>0</v>
      </c>
      <c r="CB11" s="24">
        <f>SUMIFS(Libro_Diario[[Cantidad ]],Libro_Diario[[Tipo ]],Ingresos[[#Headers],[Ingresos]],Libro_Diario[[Categoria ]],Ingresos[[#This Row],[Ingresos]],Libro_Diario[Fecha],"&gt;="&amp;'Libro Mayor'!CB$9,Libro_Diario[Fecha],"&lt;="&amp;EOMONTH('Libro Mayor'!CB$9,0))</f>
        <v>0</v>
      </c>
      <c r="CC11" s="24">
        <f>SUMIFS(Libro_Diario[[Cantidad ]],Libro_Diario[[Tipo ]],Ingresos[[#Headers],[Ingresos]],Libro_Diario[[Categoria ]],Ingresos[[#This Row],[Ingresos]],Libro_Diario[Fecha],"&gt;="&amp;'Libro Mayor'!CC$9,Libro_Diario[Fecha],"&lt;="&amp;EOMONTH('Libro Mayor'!CC$9,0))</f>
        <v>0</v>
      </c>
      <c r="CD11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1" s="24">
        <f>SUMIFS(Libro_Diario[[Cantidad ]],Libro_Diario[[Tipo ]],Ingresos[[#Headers],[Ingresos]],Libro_Diario[[Categoria ]],Ingresos[[#This Row],[Ingresos]],Libro_Diario[Fecha],"&gt;="&amp;'Libro Mayor'!CE$9,Libro_Diario[Fecha],"&lt;="&amp;EOMONTH('Libro Mayor'!CE$9,0))</f>
        <v>0</v>
      </c>
      <c r="CF11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1" s="24">
        <f>SUMIFS(Libro_Diario[[Cantidad ]],Libro_Diario[[Tipo ]],Ingresos[[#Headers],[Ingresos]],Libro_Diario[[Categoria ]],Ingresos[[#This Row],[Ingresos]],Libro_Diario[Fecha],"&gt;="&amp;'Libro Mayor'!CG$9,Libro_Diario[Fecha],"&lt;="&amp;EOMONTH('Libro Mayor'!CG$9,0))</f>
        <v>0</v>
      </c>
      <c r="CH11" s="24">
        <f>SUMIFS(Libro_Diario[[Cantidad ]],Libro_Diario[[Tipo ]],Ingresos[[#Headers],[Ingresos]],Libro_Diario[[Categoria ]],Ingresos[[#This Row],[Ingresos]],Libro_Diario[Fecha],"&gt;="&amp;'Libro Mayor'!CH$9,Libro_Diario[Fecha],"&lt;="&amp;EOMONTH('Libro Mayor'!CH$9,0))</f>
        <v>0</v>
      </c>
      <c r="CI11" s="25">
        <f t="shared" ref="CI11:CI12" si="12">SUM(BW11:CH11)</f>
        <v>0</v>
      </c>
      <c r="CK11" s="24">
        <f>SUMIFS(Libro_Diario[[Cantidad ]],Libro_Diario[[Tipo ]],Ingresos[[#Headers],[Ingresos]],Libro_Diario[[Categoria ]],Ingresos[[#This Row],[Ingresos]],Libro_Diario[Fecha],"&gt;="&amp;'Libro Mayor'!CK$9,Libro_Diario[Fecha],"&lt;="&amp;EOMONTH('Libro Mayor'!CK$9,0))</f>
        <v>0</v>
      </c>
      <c r="CL11" s="24">
        <f>SUMIFS(Libro_Diario[[Cantidad ]],Libro_Diario[[Tipo ]],Ingresos[[#Headers],[Ingresos]],Libro_Diario[[Categoria ]],Ingresos[[#This Row],[Ingresos]],Libro_Diario[Fecha],"&gt;="&amp;'Libro Mayor'!CL$9,Libro_Diario[Fecha],"&lt;="&amp;EOMONTH('Libro Mayor'!CL$9,0))</f>
        <v>0</v>
      </c>
      <c r="CM11" s="24">
        <f>SUMIFS(Libro_Diario[[Cantidad ]],Libro_Diario[[Tipo ]],Ingresos[[#Headers],[Ingresos]],Libro_Diario[[Categoria ]],Ingresos[[#This Row],[Ingresos]],Libro_Diario[Fecha],"&gt;="&amp;'Libro Mayor'!CM$9,Libro_Diario[Fecha],"&lt;="&amp;EOMONTH('Libro Mayor'!CM$9,0))</f>
        <v>0</v>
      </c>
      <c r="CN11" s="24">
        <f>SUMIFS(Libro_Diario[[Cantidad ]],Libro_Diario[[Tipo ]],Ingresos[[#Headers],[Ingresos]],Libro_Diario[[Categoria ]],Ingresos[[#This Row],[Ingresos]],Libro_Diario[Fecha],"&gt;="&amp;'Libro Mayor'!CN$9,Libro_Diario[Fecha],"&lt;="&amp;EOMONTH('Libro Mayor'!CN$9,0))</f>
        <v>0</v>
      </c>
      <c r="CO11" s="24">
        <f>SUMIFS(Libro_Diario[[Cantidad ]],Libro_Diario[[Tipo ]],Ingresos[[#Headers],[Ingresos]],Libro_Diario[[Categoria ]],Ingresos[[#This Row],[Ingresos]],Libro_Diario[Fecha],"&gt;="&amp;'Libro Mayor'!CO$9,Libro_Diario[Fecha],"&lt;="&amp;EOMONTH('Libro Mayor'!CO$9,0))</f>
        <v>0</v>
      </c>
      <c r="CP11" s="24">
        <f>SUMIFS(Libro_Diario[[Cantidad ]],Libro_Diario[[Tipo ]],Ingresos[[#Headers],[Ingresos]],Libro_Diario[[Categoria ]],Ingresos[[#This Row],[Ingresos]],Libro_Diario[Fecha],"&gt;="&amp;'Libro Mayor'!CP$9,Libro_Diario[Fecha],"&lt;="&amp;EOMONTH('Libro Mayor'!CP$9,0))</f>
        <v>0</v>
      </c>
      <c r="CQ11" s="24">
        <f>SUMIFS(Libro_Diario[[Cantidad ]],Libro_Diario[[Tipo ]],Ingresos[[#Headers],[Ingresos]],Libro_Diario[[Categoria ]],Ingresos[[#This Row],[Ingresos]],Libro_Diario[Fecha],"&gt;="&amp;'Libro Mayor'!CQ$9,Libro_Diario[Fecha],"&lt;="&amp;EOMONTH('Libro Mayor'!CQ$9,0))</f>
        <v>0</v>
      </c>
      <c r="CR11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1" s="24">
        <f>SUMIFS(Libro_Diario[[Cantidad ]],Libro_Diario[[Tipo ]],Ingresos[[#Headers],[Ingresos]],Libro_Diario[[Categoria ]],Ingresos[[#This Row],[Ingresos]],Libro_Diario[Fecha],"&gt;="&amp;'Libro Mayor'!CS$9,Libro_Diario[Fecha],"&lt;="&amp;EOMONTH('Libro Mayor'!CS$9,0))</f>
        <v>0</v>
      </c>
      <c r="CT11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1" s="24">
        <f>SUMIFS(Libro_Diario[[Cantidad ]],Libro_Diario[[Tipo ]],Ingresos[[#Headers],[Ingresos]],Libro_Diario[[Categoria ]],Ingresos[[#This Row],[Ingresos]],Libro_Diario[Fecha],"&gt;="&amp;'Libro Mayor'!CU$9,Libro_Diario[Fecha],"&lt;="&amp;EOMONTH('Libro Mayor'!CU$9,0))</f>
        <v>0</v>
      </c>
      <c r="CV11" s="24">
        <f>SUMIFS(Libro_Diario[[Cantidad ]],Libro_Diario[[Tipo ]],Ingresos[[#Headers],[Ingresos]],Libro_Diario[[Categoria ]],Ingresos[[#This Row],[Ingresos]],Libro_Diario[Fecha],"&gt;="&amp;'Libro Mayor'!CV$9,Libro_Diario[Fecha],"&lt;="&amp;EOMONTH('Libro Mayor'!CV$9,0))</f>
        <v>0</v>
      </c>
      <c r="CW11" s="25">
        <f t="shared" ref="CW11:CW12" si="13">SUM(CK11:CV11)</f>
        <v>0</v>
      </c>
      <c r="CY11" s="24">
        <f>SUMIFS(Libro_Diario[[Cantidad ]],Libro_Diario[[Tipo ]],Ingresos[[#Headers],[Ingresos]],Libro_Diario[[Categoria ]],Ingresos[[#This Row],[Ingresos]],Libro_Diario[Fecha],"&gt;="&amp;'Libro Mayor'!CY$9,Libro_Diario[Fecha],"&lt;="&amp;EOMONTH('Libro Mayor'!CY$9,0))</f>
        <v>0</v>
      </c>
      <c r="CZ11" s="24">
        <f>SUMIFS(Libro_Diario[[Cantidad ]],Libro_Diario[[Tipo ]],Ingresos[[#Headers],[Ingresos]],Libro_Diario[[Categoria ]],Ingresos[[#This Row],[Ingresos]],Libro_Diario[Fecha],"&gt;="&amp;'Libro Mayor'!CZ$9,Libro_Diario[Fecha],"&lt;="&amp;EOMONTH('Libro Mayor'!CZ$9,0))</f>
        <v>0</v>
      </c>
      <c r="DA11" s="24">
        <f>SUMIFS(Libro_Diario[[Cantidad ]],Libro_Diario[[Tipo ]],Ingresos[[#Headers],[Ingresos]],Libro_Diario[[Categoria ]],Ingresos[[#This Row],[Ingresos]],Libro_Diario[Fecha],"&gt;="&amp;'Libro Mayor'!DA$9,Libro_Diario[Fecha],"&lt;="&amp;EOMONTH('Libro Mayor'!DA$9,0))</f>
        <v>0</v>
      </c>
      <c r="DB11" s="24">
        <f>SUMIFS(Libro_Diario[[Cantidad ]],Libro_Diario[[Tipo ]],Ingresos[[#Headers],[Ingresos]],Libro_Diario[[Categoria ]],Ingresos[[#This Row],[Ingresos]],Libro_Diario[Fecha],"&gt;="&amp;'Libro Mayor'!DB$9,Libro_Diario[Fecha],"&lt;="&amp;EOMONTH('Libro Mayor'!DB$9,0))</f>
        <v>0</v>
      </c>
      <c r="DC11" s="24">
        <f>SUMIFS(Libro_Diario[[Cantidad ]],Libro_Diario[[Tipo ]],Ingresos[[#Headers],[Ingresos]],Libro_Diario[[Categoria ]],Ingresos[[#This Row],[Ingresos]],Libro_Diario[Fecha],"&gt;="&amp;'Libro Mayor'!DC$9,Libro_Diario[Fecha],"&lt;="&amp;EOMONTH('Libro Mayor'!DC$9,0))</f>
        <v>0</v>
      </c>
      <c r="DD11" s="24">
        <f>SUMIFS(Libro_Diario[[Cantidad ]],Libro_Diario[[Tipo ]],Ingresos[[#Headers],[Ingresos]],Libro_Diario[[Categoria ]],Ingresos[[#This Row],[Ingresos]],Libro_Diario[Fecha],"&gt;="&amp;'Libro Mayor'!DD$9,Libro_Diario[Fecha],"&lt;="&amp;EOMONTH('Libro Mayor'!DD$9,0))</f>
        <v>0</v>
      </c>
      <c r="DE11" s="24">
        <f>SUMIFS(Libro_Diario[[Cantidad ]],Libro_Diario[[Tipo ]],Ingresos[[#Headers],[Ingresos]],Libro_Diario[[Categoria ]],Ingresos[[#This Row],[Ingresos]],Libro_Diario[Fecha],"&gt;="&amp;'Libro Mayor'!DE$9,Libro_Diario[Fecha],"&lt;="&amp;EOMONTH('Libro Mayor'!DE$9,0))</f>
        <v>0</v>
      </c>
      <c r="DF11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1" s="24">
        <f>SUMIFS(Libro_Diario[[Cantidad ]],Libro_Diario[[Tipo ]],Ingresos[[#Headers],[Ingresos]],Libro_Diario[[Categoria ]],Ingresos[[#This Row],[Ingresos]],Libro_Diario[Fecha],"&gt;="&amp;'Libro Mayor'!DG$9,Libro_Diario[Fecha],"&lt;="&amp;EOMONTH('Libro Mayor'!DG$9,0))</f>
        <v>0</v>
      </c>
      <c r="DH11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1" s="24">
        <f>SUMIFS(Libro_Diario[[Cantidad ]],Libro_Diario[[Tipo ]],Ingresos[[#Headers],[Ingresos]],Libro_Diario[[Categoria ]],Ingresos[[#This Row],[Ingresos]],Libro_Diario[Fecha],"&gt;="&amp;'Libro Mayor'!DI$9,Libro_Diario[Fecha],"&lt;="&amp;EOMONTH('Libro Mayor'!DI$9,0))</f>
        <v>0</v>
      </c>
      <c r="DJ11" s="24">
        <f>SUMIFS(Libro_Diario[[Cantidad ]],Libro_Diario[[Tipo ]],Ingresos[[#Headers],[Ingresos]],Libro_Diario[[Categoria ]],Ingresos[[#This Row],[Ingresos]],Libro_Diario[Fecha],"&gt;="&amp;'Libro Mayor'!DJ$9,Libro_Diario[Fecha],"&lt;="&amp;EOMONTH('Libro Mayor'!DJ$9,0))</f>
        <v>0</v>
      </c>
      <c r="DK11" s="25">
        <f t="shared" ref="DK11:DK12" si="14">SUM(CY11:DJ11)</f>
        <v>0</v>
      </c>
      <c r="DM11" s="24">
        <f>SUMIFS(Libro_Diario[[Cantidad ]],Libro_Diario[[Tipo ]],Ingresos[[#Headers],[Ingresos]],Libro_Diario[[Categoria ]],Ingresos[[#This Row],[Ingresos]],Libro_Diario[Fecha],"&gt;="&amp;'Libro Mayor'!DM$9,Libro_Diario[Fecha],"&lt;="&amp;EOMONTH('Libro Mayor'!DM$9,0))</f>
        <v>0</v>
      </c>
      <c r="DN11" s="24">
        <f>SUMIFS(Libro_Diario[[Cantidad ]],Libro_Diario[[Tipo ]],Ingresos[[#Headers],[Ingresos]],Libro_Diario[[Categoria ]],Ingresos[[#This Row],[Ingresos]],Libro_Diario[Fecha],"&gt;="&amp;'Libro Mayor'!DN$9,Libro_Diario[Fecha],"&lt;="&amp;EOMONTH('Libro Mayor'!DN$9,0))</f>
        <v>0</v>
      </c>
      <c r="DO11" s="24">
        <f>SUMIFS(Libro_Diario[[Cantidad ]],Libro_Diario[[Tipo ]],Ingresos[[#Headers],[Ingresos]],Libro_Diario[[Categoria ]],Ingresos[[#This Row],[Ingresos]],Libro_Diario[Fecha],"&gt;="&amp;'Libro Mayor'!DO$9,Libro_Diario[Fecha],"&lt;="&amp;EOMONTH('Libro Mayor'!DO$9,0))</f>
        <v>0</v>
      </c>
      <c r="DP11" s="24">
        <f>SUMIFS(Libro_Diario[[Cantidad ]],Libro_Diario[[Tipo ]],Ingresos[[#Headers],[Ingresos]],Libro_Diario[[Categoria ]],Ingresos[[#This Row],[Ingresos]],Libro_Diario[Fecha],"&gt;="&amp;'Libro Mayor'!DP$9,Libro_Diario[Fecha],"&lt;="&amp;EOMONTH('Libro Mayor'!DP$9,0))</f>
        <v>0</v>
      </c>
      <c r="DQ11" s="24">
        <f>SUMIFS(Libro_Diario[[Cantidad ]],Libro_Diario[[Tipo ]],Ingresos[[#Headers],[Ingresos]],Libro_Diario[[Categoria ]],Ingresos[[#This Row],[Ingresos]],Libro_Diario[Fecha],"&gt;="&amp;'Libro Mayor'!DQ$9,Libro_Diario[Fecha],"&lt;="&amp;EOMONTH('Libro Mayor'!DQ$9,0))</f>
        <v>0</v>
      </c>
      <c r="DR11" s="24">
        <f>SUMIFS(Libro_Diario[[Cantidad ]],Libro_Diario[[Tipo ]],Ingresos[[#Headers],[Ingresos]],Libro_Diario[[Categoria ]],Ingresos[[#This Row],[Ingresos]],Libro_Diario[Fecha],"&gt;="&amp;'Libro Mayor'!DR$9,Libro_Diario[Fecha],"&lt;="&amp;EOMONTH('Libro Mayor'!DR$9,0))</f>
        <v>0</v>
      </c>
      <c r="DS11" s="24">
        <f>SUMIFS(Libro_Diario[[Cantidad ]],Libro_Diario[[Tipo ]],Ingresos[[#Headers],[Ingresos]],Libro_Diario[[Categoria ]],Ingresos[[#This Row],[Ingresos]],Libro_Diario[Fecha],"&gt;="&amp;'Libro Mayor'!DS$9,Libro_Diario[Fecha],"&lt;="&amp;EOMONTH('Libro Mayor'!DS$9,0))</f>
        <v>0</v>
      </c>
      <c r="DT11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1" s="24">
        <f>SUMIFS(Libro_Diario[[Cantidad ]],Libro_Diario[[Tipo ]],Ingresos[[#Headers],[Ingresos]],Libro_Diario[[Categoria ]],Ingresos[[#This Row],[Ingresos]],Libro_Diario[Fecha],"&gt;="&amp;'Libro Mayor'!DU$9,Libro_Diario[Fecha],"&lt;="&amp;EOMONTH('Libro Mayor'!DU$9,0))</f>
        <v>0</v>
      </c>
      <c r="DV11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1" s="24">
        <f>SUMIFS(Libro_Diario[[Cantidad ]],Libro_Diario[[Tipo ]],Ingresos[[#Headers],[Ingresos]],Libro_Diario[[Categoria ]],Ingresos[[#This Row],[Ingresos]],Libro_Diario[Fecha],"&gt;="&amp;'Libro Mayor'!DW$9,Libro_Diario[Fecha],"&lt;="&amp;EOMONTH('Libro Mayor'!DW$9,0))</f>
        <v>0</v>
      </c>
      <c r="DX11" s="24">
        <f>SUMIFS(Libro_Diario[[Cantidad ]],Libro_Diario[[Tipo ]],Ingresos[[#Headers],[Ingresos]],Libro_Diario[[Categoria ]],Ingresos[[#This Row],[Ingresos]],Libro_Diario[Fecha],"&gt;="&amp;'Libro Mayor'!DX$9,Libro_Diario[Fecha],"&lt;="&amp;EOMONTH('Libro Mayor'!DX$9,0))</f>
        <v>0</v>
      </c>
      <c r="DY11" s="25">
        <f t="shared" ref="DY11:DY12" si="15">SUM(DM11:DX11)</f>
        <v>0</v>
      </c>
      <c r="EA11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1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1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1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1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1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1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1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1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1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1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1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1" s="25">
        <f t="shared" ref="EM11:EM19" si="16">SUM(EA11:EL11)</f>
        <v>0</v>
      </c>
      <c r="EO11" s="24">
        <f>SUMIFS(Libro_Diario[[Cantidad ]],Libro_Diario[[Tipo ]],Ingresos[[#Headers],[Ingresos]],Libro_Diario[[Categoria ]],Ingresos[[#This Row],[Ingresos]],Libro_Diario[Fecha],"&gt;="&amp;'Libro Mayor'!EO$9,Libro_Diario[Fecha],"&lt;="&amp;EOMONTH('Libro Mayor'!EO$9,0))</f>
        <v>0</v>
      </c>
      <c r="EP11" s="24">
        <f>SUMIFS(Libro_Diario[[Cantidad ]],Libro_Diario[[Tipo ]],Ingresos[[#Headers],[Ingresos]],Libro_Diario[[Categoria ]],Ingresos[[#This Row],[Ingresos]],Libro_Diario[Fecha],"&gt;="&amp;'Libro Mayor'!EP$9,Libro_Diario[Fecha],"&lt;="&amp;EOMONTH('Libro Mayor'!EP$9,0))</f>
        <v>0</v>
      </c>
      <c r="EQ11" s="24">
        <f>SUMIFS(Libro_Diario[[Cantidad ]],Libro_Diario[[Tipo ]],Ingresos[[#Headers],[Ingresos]],Libro_Diario[[Categoria ]],Ingresos[[#This Row],[Ingresos]],Libro_Diario[Fecha],"&gt;="&amp;'Libro Mayor'!EQ$9,Libro_Diario[Fecha],"&lt;="&amp;EOMONTH('Libro Mayor'!EQ$9,0))</f>
        <v>0</v>
      </c>
      <c r="ER11" s="24">
        <f>SUMIFS(Libro_Diario[[Cantidad ]],Libro_Diario[[Tipo ]],Ingresos[[#Headers],[Ingresos]],Libro_Diario[[Categoria ]],Ingresos[[#This Row],[Ingresos]],Libro_Diario[Fecha],"&gt;="&amp;'Libro Mayor'!ER$9,Libro_Diario[Fecha],"&lt;="&amp;EOMONTH('Libro Mayor'!ER$9,0))</f>
        <v>0</v>
      </c>
      <c r="ES11" s="24">
        <f>SUMIFS(Libro_Diario[[Cantidad ]],Libro_Diario[[Tipo ]],Ingresos[[#Headers],[Ingresos]],Libro_Diario[[Categoria ]],Ingresos[[#This Row],[Ingresos]],Libro_Diario[Fecha],"&gt;="&amp;'Libro Mayor'!ES$9,Libro_Diario[Fecha],"&lt;="&amp;EOMONTH('Libro Mayor'!ES$9,0))</f>
        <v>0</v>
      </c>
      <c r="ET11" s="24">
        <f>SUMIFS(Libro_Diario[[Cantidad ]],Libro_Diario[[Tipo ]],Ingresos[[#Headers],[Ingresos]],Libro_Diario[[Categoria ]],Ingresos[[#This Row],[Ingresos]],Libro_Diario[Fecha],"&gt;="&amp;'Libro Mayor'!ET$9,Libro_Diario[Fecha],"&lt;="&amp;EOMONTH('Libro Mayor'!ET$9,0))</f>
        <v>0</v>
      </c>
      <c r="EU11" s="24">
        <f>SUMIFS(Libro_Diario[[Cantidad ]],Libro_Diario[[Tipo ]],Ingresos[[#Headers],[Ingresos]],Libro_Diario[[Categoria ]],Ingresos[[#This Row],[Ingresos]],Libro_Diario[Fecha],"&gt;="&amp;'Libro Mayor'!EU$9,Libro_Diario[Fecha],"&lt;="&amp;EOMONTH('Libro Mayor'!EU$9,0))</f>
        <v>0</v>
      </c>
      <c r="EV11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1" s="24">
        <f>SUMIFS(Libro_Diario[[Cantidad ]],Libro_Diario[[Tipo ]],Ingresos[[#Headers],[Ingresos]],Libro_Diario[[Categoria ]],Ingresos[[#This Row],[Ingresos]],Libro_Diario[Fecha],"&gt;="&amp;'Libro Mayor'!EW$9,Libro_Diario[Fecha],"&lt;="&amp;EOMONTH('Libro Mayor'!EW$9,0))</f>
        <v>0</v>
      </c>
      <c r="EX11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1" s="24">
        <f>SUMIFS(Libro_Diario[[Cantidad ]],Libro_Diario[[Tipo ]],Ingresos[[#Headers],[Ingresos]],Libro_Diario[[Categoria ]],Ingresos[[#This Row],[Ingresos]],Libro_Diario[Fecha],"&gt;="&amp;'Libro Mayor'!EY$9,Libro_Diario[Fecha],"&lt;="&amp;EOMONTH('Libro Mayor'!EY$9,0))</f>
        <v>0</v>
      </c>
      <c r="EZ11" s="24">
        <f>SUMIFS(Libro_Diario[[Cantidad ]],Libro_Diario[[Tipo ]],Ingresos[[#Headers],[Ingresos]],Libro_Diario[[Categoria ]],Ingresos[[#This Row],[Ingresos]],Libro_Diario[Fecha],"&gt;="&amp;'Libro Mayor'!EZ$9,Libro_Diario[Fecha],"&lt;="&amp;EOMONTH('Libro Mayor'!EZ$9,0))</f>
        <v>0</v>
      </c>
      <c r="FA11" s="25">
        <f t="shared" ref="FA11:FA12" si="17">SUM(EO11:EZ11)</f>
        <v>0</v>
      </c>
    </row>
    <row r="12" spans="3:157" x14ac:dyDescent="0.3">
      <c r="C12" s="17" t="s">
        <v>14</v>
      </c>
      <c r="D12" s="23"/>
      <c r="E12" s="24">
        <f>SUMIFS(Libro_Diario[[Cantidad ]],Libro_Diario[[Tipo ]],Ingresos[[#Headers],[Ingresos]],Libro_Diario[[Categoria ]],Ingresos[[#This Row],[Ingresos]],Libro_Diario[Fecha],"&gt;="&amp;'Libro Mayor'!E$9,Libro_Diario[Fecha],"&lt;="&amp;EOMONTH('Libro Mayor'!E$9,0))</f>
        <v>0</v>
      </c>
      <c r="F12" s="24">
        <f>SUMIFS(Libro_Diario[[Cantidad ]],Libro_Diario[[Tipo ]],Ingresos[[#Headers],[Ingresos]],Libro_Diario[[Categoria ]],Ingresos[[#This Row],[Ingresos]],Libro_Diario[Fecha],"&gt;="&amp;'Libro Mayor'!F$9,Libro_Diario[Fecha],"&lt;="&amp;EOMONTH('Libro Mayor'!F$9,0))</f>
        <v>0</v>
      </c>
      <c r="G12" s="24">
        <f>SUMIFS(Libro_Diario[[Cantidad ]],Libro_Diario[[Tipo ]],Ingresos[[#Headers],[Ingresos]],Libro_Diario[[Categoria ]],Ingresos[[#This Row],[Ingresos]],Libro_Diario[Fecha],"&gt;="&amp;'Libro Mayor'!G$9,Libro_Diario[Fecha],"&lt;="&amp;EOMONTH('Libro Mayor'!G$9,0))</f>
        <v>0</v>
      </c>
      <c r="H12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2" s="24">
        <f>SUMIFS(Libro_Diario[[Cantidad ]],Libro_Diario[[Tipo ]],Ingresos[[#Headers],[Ingresos]],Libro_Diario[[Categoria ]],Ingresos[[#This Row],[Ingresos]],Libro_Diario[Fecha],"&gt;="&amp;'Libro Mayor'!I$9,Libro_Diario[Fecha],"&lt;="&amp;EOMONTH('Libro Mayor'!I$9,0))</f>
        <v>0</v>
      </c>
      <c r="J12" s="24">
        <f>SUMIFS(Libro_Diario[[Cantidad ]],Libro_Diario[[Tipo ]],Ingresos[[#Headers],[Ingresos]],Libro_Diario[[Categoria ]],Ingresos[[#This Row],[Ingresos]],Libro_Diario[Fecha],"&gt;="&amp;'Libro Mayor'!J$9,Libro_Diario[Fecha],"&lt;="&amp;EOMONTH('Libro Mayor'!J$9,0))</f>
        <v>0</v>
      </c>
      <c r="K12" s="24">
        <f>SUMIFS(Libro_Diario[[Cantidad ]],Libro_Diario[[Tipo ]],Ingresos[[#Headers],[Ingresos]],Libro_Diario[[Categoria ]],Ingresos[[#This Row],[Ingresos]],Libro_Diario[Fecha],"&gt;="&amp;'Libro Mayor'!K$9,Libro_Diario[Fecha],"&lt;="&amp;EOMONTH('Libro Mayor'!K$9,0))</f>
        <v>0</v>
      </c>
      <c r="L12" s="24">
        <f>SUMIFS(Libro_Diario[[Cantidad ]],Libro_Diario[[Tipo ]],Ingresos[[#Headers],[Ingresos]],Libro_Diario[[Categoria ]],Ingresos[[#This Row],[Ingresos]],Libro_Diario[Fecha],"&gt;="&amp;'Libro Mayor'!L$9,Libro_Diario[Fecha],"&lt;="&amp;EOMONTH('Libro Mayor'!L$9,0))</f>
        <v>0</v>
      </c>
      <c r="M12" s="24">
        <f>SUMIFS(Libro_Diario[[Cantidad ]],Libro_Diario[[Tipo ]],Ingresos[[#Headers],[Ingresos]],Libro_Diario[[Categoria ]],Ingresos[[#This Row],[Ingresos]],Libro_Diario[Fecha],"&gt;="&amp;'Libro Mayor'!M$9,Libro_Diario[Fecha],"&lt;="&amp;EOMONTH('Libro Mayor'!M$9,0))</f>
        <v>0</v>
      </c>
      <c r="N12" s="24">
        <f>SUMIFS(Libro_Diario[[Cantidad ]],Libro_Diario[[Tipo ]],Ingresos[[#Headers],[Ingresos]],Libro_Diario[[Categoria ]],Ingresos[[#This Row],[Ingresos]],Libro_Diario[Fecha],"&gt;="&amp;'Libro Mayor'!N$9,Libro_Diario[Fecha],"&lt;="&amp;EOMONTH('Libro Mayor'!N$9,0))</f>
        <v>0</v>
      </c>
      <c r="O12" s="24">
        <f>SUMIFS(Libro_Diario[[Cantidad ]],Libro_Diario[[Tipo ]],Ingresos[[#Headers],[Ingresos]],Libro_Diario[[Categoria ]],Ingresos[[#This Row],[Ingresos]],Libro_Diario[Fecha],"&gt;="&amp;'Libro Mayor'!O$9,Libro_Diario[Fecha],"&lt;="&amp;EOMONTH('Libro Mayor'!O$9,0))</f>
        <v>0</v>
      </c>
      <c r="P12" s="24">
        <f>SUMIFS(Libro_Diario[[Cantidad ]],Libro_Diario[[Tipo ]],Ingresos[[#Headers],[Ingresos]],Libro_Diario[[Categoria ]],Ingresos[[#This Row],[Ingresos]],Libro_Diario[Fecha],"&gt;="&amp;'Libro Mayor'!P$9,Libro_Diario[Fecha],"&lt;="&amp;EOMONTH('Libro Mayor'!P$9,0))</f>
        <v>0</v>
      </c>
      <c r="Q12" s="25">
        <f t="shared" ref="Q12:Q19" si="18">SUM(E12:P12)</f>
        <v>0</v>
      </c>
      <c r="S12" s="24">
        <f>SUMIFS(Libro_Diario[[Cantidad ]],Libro_Diario[[Tipo ]],Ingresos[[#Headers],[Ingresos]],Libro_Diario[[Categoria ]],Ingresos[[#This Row],[Ingresos]],Libro_Diario[Fecha],"&gt;="&amp;'Libro Mayor'!S$9,Libro_Diario[Fecha],"&lt;="&amp;EOMONTH('Libro Mayor'!S$9,0))</f>
        <v>0</v>
      </c>
      <c r="T12" s="24">
        <f>SUMIFS(Libro_Diario[[Cantidad ]],Libro_Diario[[Tipo ]],Ingresos[[#Headers],[Ingresos]],Libro_Diario[[Categoria ]],Ingresos[[#This Row],[Ingresos]],Libro_Diario[Fecha],"&gt;="&amp;'Libro Mayor'!T$9,Libro_Diario[Fecha],"&lt;="&amp;EOMONTH('Libro Mayor'!T$9,0))</f>
        <v>0</v>
      </c>
      <c r="U12" s="24">
        <f>SUMIFS(Libro_Diario[[Cantidad ]],Libro_Diario[[Tipo ]],Ingresos[[#Headers],[Ingresos]],Libro_Diario[[Categoria ]],Ingresos[[#This Row],[Ingresos]],Libro_Diario[Fecha],"&gt;="&amp;'Libro Mayor'!U$9,Libro_Diario[Fecha],"&lt;="&amp;EOMONTH('Libro Mayor'!U$9,0))</f>
        <v>0</v>
      </c>
      <c r="V12" s="24">
        <f>SUMIFS(Libro_Diario[[Cantidad ]],Libro_Diario[[Tipo ]],Ingresos[[#Headers],[Ingresos]],Libro_Diario[[Categoria ]],Ingresos[[#This Row],[Ingresos]],Libro_Diario[Fecha],"&gt;="&amp;'Libro Mayor'!V$9,Libro_Diario[Fecha],"&lt;="&amp;EOMONTH('Libro Mayor'!V$9,0))</f>
        <v>0</v>
      </c>
      <c r="W12" s="24">
        <f>SUMIFS(Libro_Diario[[Cantidad ]],Libro_Diario[[Tipo ]],Ingresos[[#Headers],[Ingresos]],Libro_Diario[[Categoria ]],Ingresos[[#This Row],[Ingresos]],Libro_Diario[Fecha],"&gt;="&amp;'Libro Mayor'!W$9,Libro_Diario[Fecha],"&lt;="&amp;EOMONTH('Libro Mayor'!W$9,0))</f>
        <v>0</v>
      </c>
      <c r="X12" s="24">
        <f>SUMIFS(Libro_Diario[[Cantidad ]],Libro_Diario[[Tipo ]],Ingresos[[#Headers],[Ingresos]],Libro_Diario[[Categoria ]],Ingresos[[#This Row],[Ingresos]],Libro_Diario[Fecha],"&gt;="&amp;'Libro Mayor'!X$9,Libro_Diario[Fecha],"&lt;="&amp;EOMONTH('Libro Mayor'!X$9,0))</f>
        <v>0</v>
      </c>
      <c r="Y12" s="24">
        <f>SUMIFS(Libro_Diario[[Cantidad ]],Libro_Diario[[Tipo ]],Ingresos[[#Headers],[Ingresos]],Libro_Diario[[Categoria ]],Ingresos[[#This Row],[Ingresos]],Libro_Diario[Fecha],"&gt;="&amp;'Libro Mayor'!Y$9,Libro_Diario[Fecha],"&lt;="&amp;EOMONTH('Libro Mayor'!Y$9,0))</f>
        <v>0</v>
      </c>
      <c r="Z12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2" s="24">
        <f>SUMIFS(Libro_Diario[[Cantidad ]],Libro_Diario[[Tipo ]],Ingresos[[#Headers],[Ingresos]],Libro_Diario[[Categoria ]],Ingresos[[#This Row],[Ingresos]],Libro_Diario[Fecha],"&gt;="&amp;'Libro Mayor'!AA$9,Libro_Diario[Fecha],"&lt;="&amp;EOMONTH('Libro Mayor'!AA$9,0))</f>
        <v>0</v>
      </c>
      <c r="AB12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2" s="24">
        <f>SUMIFS(Libro_Diario[[Cantidad ]],Libro_Diario[[Tipo ]],Ingresos[[#Headers],[Ingresos]],Libro_Diario[[Categoria ]],Ingresos[[#This Row],[Ingresos]],Libro_Diario[Fecha],"&gt;="&amp;'Libro Mayor'!AC$9,Libro_Diario[Fecha],"&lt;="&amp;EOMONTH('Libro Mayor'!AC$9,0))</f>
        <v>0</v>
      </c>
      <c r="AD12" s="24">
        <f>SUMIFS(Libro_Diario[[Cantidad ]],Libro_Diario[[Tipo ]],Ingresos[[#Headers],[Ingresos]],Libro_Diario[[Categoria ]],Ingresos[[#This Row],[Ingresos]],Libro_Diario[Fecha],"&gt;="&amp;'Libro Mayor'!AD$9,Libro_Diario[Fecha],"&lt;="&amp;EOMONTH('Libro Mayor'!AD$9,0))</f>
        <v>0</v>
      </c>
      <c r="AE12" s="25">
        <f t="shared" ref="AE12:AE19" si="19">SUM(S12:AD12)</f>
        <v>0</v>
      </c>
      <c r="AG12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2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2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2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2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2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2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2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2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2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2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2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2" s="25">
        <f t="shared" ref="AS12:AS19" si="20">SUM(AG12:AR12)</f>
        <v>0</v>
      </c>
      <c r="AU12" s="24">
        <f>SUMIFS(Libro_Diario[[Cantidad ]],Libro_Diario[[Tipo ]],Ingresos[[#Headers],[Ingresos]],Libro_Diario[[Categoria ]],Ingresos[[#This Row],[Ingresos]],Libro_Diario[Fecha],"&gt;="&amp;'Libro Mayor'!AU$9,Libro_Diario[Fecha],"&lt;="&amp;EOMONTH('Libro Mayor'!AU$9,0))</f>
        <v>0</v>
      </c>
      <c r="AV12" s="24">
        <f>SUMIFS(Libro_Diario[[Cantidad ]],Libro_Diario[[Tipo ]],Ingresos[[#Headers],[Ingresos]],Libro_Diario[[Categoria ]],Ingresos[[#This Row],[Ingresos]],Libro_Diario[Fecha],"&gt;="&amp;'Libro Mayor'!AV$9,Libro_Diario[Fecha],"&lt;="&amp;EOMONTH('Libro Mayor'!AV$9,0))</f>
        <v>0</v>
      </c>
      <c r="AW12" s="24">
        <f>SUMIFS(Libro_Diario[[Cantidad ]],Libro_Diario[[Tipo ]],Ingresos[[#Headers],[Ingresos]],Libro_Diario[[Categoria ]],Ingresos[[#This Row],[Ingresos]],Libro_Diario[Fecha],"&gt;="&amp;'Libro Mayor'!AW$9,Libro_Diario[Fecha],"&lt;="&amp;EOMONTH('Libro Mayor'!AW$9,0))</f>
        <v>0</v>
      </c>
      <c r="AX12" s="24">
        <f>SUMIFS(Libro_Diario[[Cantidad ]],Libro_Diario[[Tipo ]],Ingresos[[#Headers],[Ingresos]],Libro_Diario[[Categoria ]],Ingresos[[#This Row],[Ingresos]],Libro_Diario[Fecha],"&gt;="&amp;'Libro Mayor'!AX$9,Libro_Diario[Fecha],"&lt;="&amp;EOMONTH('Libro Mayor'!AX$9,0))</f>
        <v>0</v>
      </c>
      <c r="AY12" s="24">
        <f>SUMIFS(Libro_Diario[[Cantidad ]],Libro_Diario[[Tipo ]],Ingresos[[#Headers],[Ingresos]],Libro_Diario[[Categoria ]],Ingresos[[#This Row],[Ingresos]],Libro_Diario[Fecha],"&gt;="&amp;'Libro Mayor'!AY$9,Libro_Diario[Fecha],"&lt;="&amp;EOMONTH('Libro Mayor'!AY$9,0))</f>
        <v>0</v>
      </c>
      <c r="AZ12" s="24">
        <f>SUMIFS(Libro_Diario[[Cantidad ]],Libro_Diario[[Tipo ]],Ingresos[[#Headers],[Ingresos]],Libro_Diario[[Categoria ]],Ingresos[[#This Row],[Ingresos]],Libro_Diario[Fecha],"&gt;="&amp;'Libro Mayor'!AZ$9,Libro_Diario[Fecha],"&lt;="&amp;EOMONTH('Libro Mayor'!AZ$9,0))</f>
        <v>0</v>
      </c>
      <c r="BA12" s="24">
        <f>SUMIFS(Libro_Diario[[Cantidad ]],Libro_Diario[[Tipo ]],Ingresos[[#Headers],[Ingresos]],Libro_Diario[[Categoria ]],Ingresos[[#This Row],[Ingresos]],Libro_Diario[Fecha],"&gt;="&amp;'Libro Mayor'!BA$9,Libro_Diario[Fecha],"&lt;="&amp;EOMONTH('Libro Mayor'!BA$9,0))</f>
        <v>0</v>
      </c>
      <c r="BB12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2" s="24">
        <f>SUMIFS(Libro_Diario[[Cantidad ]],Libro_Diario[[Tipo ]],Ingresos[[#Headers],[Ingresos]],Libro_Diario[[Categoria ]],Ingresos[[#This Row],[Ingresos]],Libro_Diario[Fecha],"&gt;="&amp;'Libro Mayor'!BC$9,Libro_Diario[Fecha],"&lt;="&amp;EOMONTH('Libro Mayor'!BC$9,0))</f>
        <v>0</v>
      </c>
      <c r="BD12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2" s="24">
        <f>SUMIFS(Libro_Diario[[Cantidad ]],Libro_Diario[[Tipo ]],Ingresos[[#Headers],[Ingresos]],Libro_Diario[[Categoria ]],Ingresos[[#This Row],[Ingresos]],Libro_Diario[Fecha],"&gt;="&amp;'Libro Mayor'!BE$9,Libro_Diario[Fecha],"&lt;="&amp;EOMONTH('Libro Mayor'!BE$9,0))</f>
        <v>0</v>
      </c>
      <c r="BF12" s="24">
        <f>SUMIFS(Libro_Diario[[Cantidad ]],Libro_Diario[[Tipo ]],Ingresos[[#Headers],[Ingresos]],Libro_Diario[[Categoria ]],Ingresos[[#This Row],[Ingresos]],Libro_Diario[Fecha],"&gt;="&amp;'Libro Mayor'!BF$9,Libro_Diario[Fecha],"&lt;="&amp;EOMONTH('Libro Mayor'!BF$9,0))</f>
        <v>0</v>
      </c>
      <c r="BG12" s="25">
        <f t="shared" si="11"/>
        <v>0</v>
      </c>
      <c r="BI12" s="24">
        <f>SUMIFS(Libro_Diario[[Cantidad ]],Libro_Diario[[Tipo ]],Ingresos[[#Headers],[Ingresos]],Libro_Diario[[Categoria ]],Ingresos[[#This Row],[Ingresos]],Libro_Diario[Fecha],"&gt;="&amp;'Libro Mayor'!BI$9,Libro_Diario[Fecha],"&lt;="&amp;EOMONTH('Libro Mayor'!BI$9,0))</f>
        <v>0</v>
      </c>
      <c r="BJ12" s="24">
        <f>SUMIFS(Libro_Diario[[Cantidad ]],Libro_Diario[[Tipo ]],Ingresos[[#Headers],[Ingresos]],Libro_Diario[[Categoria ]],Ingresos[[#This Row],[Ingresos]],Libro_Diario[Fecha],"&gt;="&amp;'Libro Mayor'!BJ$9,Libro_Diario[Fecha],"&lt;="&amp;EOMONTH('Libro Mayor'!BJ$9,0))</f>
        <v>0</v>
      </c>
      <c r="BK12" s="24">
        <f>SUMIFS(Libro_Diario[[Cantidad ]],Libro_Diario[[Tipo ]],Ingresos[[#Headers],[Ingresos]],Libro_Diario[[Categoria ]],Ingresos[[#This Row],[Ingresos]],Libro_Diario[Fecha],"&gt;="&amp;'Libro Mayor'!BK$9,Libro_Diario[Fecha],"&lt;="&amp;EOMONTH('Libro Mayor'!BK$9,0))</f>
        <v>0</v>
      </c>
      <c r="BL12" s="24">
        <f>SUMIFS(Libro_Diario[[Cantidad ]],Libro_Diario[[Tipo ]],Ingresos[[#Headers],[Ingresos]],Libro_Diario[[Categoria ]],Ingresos[[#This Row],[Ingresos]],Libro_Diario[Fecha],"&gt;="&amp;'Libro Mayor'!BL$9,Libro_Diario[Fecha],"&lt;="&amp;EOMONTH('Libro Mayor'!BL$9,0))</f>
        <v>0</v>
      </c>
      <c r="BM12" s="24">
        <f>SUMIFS(Libro_Diario[[Cantidad ]],Libro_Diario[[Tipo ]],Ingresos[[#Headers],[Ingresos]],Libro_Diario[[Categoria ]],Ingresos[[#This Row],[Ingresos]],Libro_Diario[Fecha],"&gt;="&amp;'Libro Mayor'!BM$9,Libro_Diario[Fecha],"&lt;="&amp;EOMONTH('Libro Mayor'!BM$9,0))</f>
        <v>0</v>
      </c>
      <c r="BN12" s="24">
        <f>SUMIFS(Libro_Diario[[Cantidad ]],Libro_Diario[[Tipo ]],Ingresos[[#Headers],[Ingresos]],Libro_Diario[[Categoria ]],Ingresos[[#This Row],[Ingresos]],Libro_Diario[Fecha],"&gt;="&amp;'Libro Mayor'!BN$9,Libro_Diario[Fecha],"&lt;="&amp;EOMONTH('Libro Mayor'!BN$9,0))</f>
        <v>0</v>
      </c>
      <c r="BO12" s="24">
        <f>SUMIFS(Libro_Diario[[Cantidad ]],Libro_Diario[[Tipo ]],Ingresos[[#Headers],[Ingresos]],Libro_Diario[[Categoria ]],Ingresos[[#This Row],[Ingresos]],Libro_Diario[Fecha],"&gt;="&amp;'Libro Mayor'!BO$9,Libro_Diario[Fecha],"&lt;="&amp;EOMONTH('Libro Mayor'!BO$9,0))</f>
        <v>0</v>
      </c>
      <c r="BP12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2" s="24">
        <f>SUMIFS(Libro_Diario[[Cantidad ]],Libro_Diario[[Tipo ]],Ingresos[[#Headers],[Ingresos]],Libro_Diario[[Categoria ]],Ingresos[[#This Row],[Ingresos]],Libro_Diario[Fecha],"&gt;="&amp;'Libro Mayor'!BQ$9,Libro_Diario[Fecha],"&lt;="&amp;EOMONTH('Libro Mayor'!BQ$9,0))</f>
        <v>0</v>
      </c>
      <c r="BR12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2" s="24">
        <f>SUMIFS(Libro_Diario[[Cantidad ]],Libro_Diario[[Tipo ]],Ingresos[[#Headers],[Ingresos]],Libro_Diario[[Categoria ]],Ingresos[[#This Row],[Ingresos]],Libro_Diario[Fecha],"&gt;="&amp;'Libro Mayor'!BS$9,Libro_Diario[Fecha],"&lt;="&amp;EOMONTH('Libro Mayor'!BS$9,0))</f>
        <v>0</v>
      </c>
      <c r="BT12" s="24">
        <f>SUMIFS(Libro_Diario[[Cantidad ]],Libro_Diario[[Tipo ]],Ingresos[[#Headers],[Ingresos]],Libro_Diario[[Categoria ]],Ingresos[[#This Row],[Ingresos]],Libro_Diario[Fecha],"&gt;="&amp;'Libro Mayor'!BT$9,Libro_Diario[Fecha],"&lt;="&amp;EOMONTH('Libro Mayor'!BT$9,0))</f>
        <v>0</v>
      </c>
      <c r="BU12" s="25">
        <f>SUM(BI12:BT12)</f>
        <v>0</v>
      </c>
      <c r="BW12" s="24">
        <f>SUMIFS(Libro_Diario[[Cantidad ]],Libro_Diario[[Tipo ]],Ingresos[[#Headers],[Ingresos]],Libro_Diario[[Categoria ]],Ingresos[[#This Row],[Ingresos]],Libro_Diario[Fecha],"&gt;="&amp;'Libro Mayor'!BW$9,Libro_Diario[Fecha],"&lt;="&amp;EOMONTH('Libro Mayor'!BW$9,0))</f>
        <v>0</v>
      </c>
      <c r="BX12" s="24">
        <f>SUMIFS(Libro_Diario[[Cantidad ]],Libro_Diario[[Tipo ]],Ingresos[[#Headers],[Ingresos]],Libro_Diario[[Categoria ]],Ingresos[[#This Row],[Ingresos]],Libro_Diario[Fecha],"&gt;="&amp;'Libro Mayor'!BX$9,Libro_Diario[Fecha],"&lt;="&amp;EOMONTH('Libro Mayor'!BX$9,0))</f>
        <v>0</v>
      </c>
      <c r="BY12" s="24">
        <f>SUMIFS(Libro_Diario[[Cantidad ]],Libro_Diario[[Tipo ]],Ingresos[[#Headers],[Ingresos]],Libro_Diario[[Categoria ]],Ingresos[[#This Row],[Ingresos]],Libro_Diario[Fecha],"&gt;="&amp;'Libro Mayor'!BY$9,Libro_Diario[Fecha],"&lt;="&amp;EOMONTH('Libro Mayor'!BY$9,0))</f>
        <v>0</v>
      </c>
      <c r="BZ12" s="24">
        <f>SUMIFS(Libro_Diario[[Cantidad ]],Libro_Diario[[Tipo ]],Ingresos[[#Headers],[Ingresos]],Libro_Diario[[Categoria ]],Ingresos[[#This Row],[Ingresos]],Libro_Diario[Fecha],"&gt;="&amp;'Libro Mayor'!BZ$9,Libro_Diario[Fecha],"&lt;="&amp;EOMONTH('Libro Mayor'!BZ$9,0))</f>
        <v>0</v>
      </c>
      <c r="CA12" s="24">
        <f>SUMIFS(Libro_Diario[[Cantidad ]],Libro_Diario[[Tipo ]],Ingresos[[#Headers],[Ingresos]],Libro_Diario[[Categoria ]],Ingresos[[#This Row],[Ingresos]],Libro_Diario[Fecha],"&gt;="&amp;'Libro Mayor'!CA$9,Libro_Diario[Fecha],"&lt;="&amp;EOMONTH('Libro Mayor'!CA$9,0))</f>
        <v>0</v>
      </c>
      <c r="CB12" s="24">
        <f>SUMIFS(Libro_Diario[[Cantidad ]],Libro_Diario[[Tipo ]],Ingresos[[#Headers],[Ingresos]],Libro_Diario[[Categoria ]],Ingresos[[#This Row],[Ingresos]],Libro_Diario[Fecha],"&gt;="&amp;'Libro Mayor'!CB$9,Libro_Diario[Fecha],"&lt;="&amp;EOMONTH('Libro Mayor'!CB$9,0))</f>
        <v>0</v>
      </c>
      <c r="CC12" s="24">
        <f>SUMIFS(Libro_Diario[[Cantidad ]],Libro_Diario[[Tipo ]],Ingresos[[#Headers],[Ingresos]],Libro_Diario[[Categoria ]],Ingresos[[#This Row],[Ingresos]],Libro_Diario[Fecha],"&gt;="&amp;'Libro Mayor'!CC$9,Libro_Diario[Fecha],"&lt;="&amp;EOMONTH('Libro Mayor'!CC$9,0))</f>
        <v>0</v>
      </c>
      <c r="CD12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2" s="24">
        <f>SUMIFS(Libro_Diario[[Cantidad ]],Libro_Diario[[Tipo ]],Ingresos[[#Headers],[Ingresos]],Libro_Diario[[Categoria ]],Ingresos[[#This Row],[Ingresos]],Libro_Diario[Fecha],"&gt;="&amp;'Libro Mayor'!CE$9,Libro_Diario[Fecha],"&lt;="&amp;EOMONTH('Libro Mayor'!CE$9,0))</f>
        <v>0</v>
      </c>
      <c r="CF12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2" s="24">
        <f>SUMIFS(Libro_Diario[[Cantidad ]],Libro_Diario[[Tipo ]],Ingresos[[#Headers],[Ingresos]],Libro_Diario[[Categoria ]],Ingresos[[#This Row],[Ingresos]],Libro_Diario[Fecha],"&gt;="&amp;'Libro Mayor'!CG$9,Libro_Diario[Fecha],"&lt;="&amp;EOMONTH('Libro Mayor'!CG$9,0))</f>
        <v>0</v>
      </c>
      <c r="CH12" s="24">
        <f>SUMIFS(Libro_Diario[[Cantidad ]],Libro_Diario[[Tipo ]],Ingresos[[#Headers],[Ingresos]],Libro_Diario[[Categoria ]],Ingresos[[#This Row],[Ingresos]],Libro_Diario[Fecha],"&gt;="&amp;'Libro Mayor'!CH$9,Libro_Diario[Fecha],"&lt;="&amp;EOMONTH('Libro Mayor'!CH$9,0))</f>
        <v>0</v>
      </c>
      <c r="CI12" s="25">
        <f t="shared" si="12"/>
        <v>0</v>
      </c>
      <c r="CK12" s="24">
        <f>SUMIFS(Libro_Diario[[Cantidad ]],Libro_Diario[[Tipo ]],Ingresos[[#Headers],[Ingresos]],Libro_Diario[[Categoria ]],Ingresos[[#This Row],[Ingresos]],Libro_Diario[Fecha],"&gt;="&amp;'Libro Mayor'!CK$9,Libro_Diario[Fecha],"&lt;="&amp;EOMONTH('Libro Mayor'!CK$9,0))</f>
        <v>0</v>
      </c>
      <c r="CL12" s="24">
        <f>SUMIFS(Libro_Diario[[Cantidad ]],Libro_Diario[[Tipo ]],Ingresos[[#Headers],[Ingresos]],Libro_Diario[[Categoria ]],Ingresos[[#This Row],[Ingresos]],Libro_Diario[Fecha],"&gt;="&amp;'Libro Mayor'!CL$9,Libro_Diario[Fecha],"&lt;="&amp;EOMONTH('Libro Mayor'!CL$9,0))</f>
        <v>0</v>
      </c>
      <c r="CM12" s="24">
        <f>SUMIFS(Libro_Diario[[Cantidad ]],Libro_Diario[[Tipo ]],Ingresos[[#Headers],[Ingresos]],Libro_Diario[[Categoria ]],Ingresos[[#This Row],[Ingresos]],Libro_Diario[Fecha],"&gt;="&amp;'Libro Mayor'!CM$9,Libro_Diario[Fecha],"&lt;="&amp;EOMONTH('Libro Mayor'!CM$9,0))</f>
        <v>0</v>
      </c>
      <c r="CN12" s="24">
        <f>SUMIFS(Libro_Diario[[Cantidad ]],Libro_Diario[[Tipo ]],Ingresos[[#Headers],[Ingresos]],Libro_Diario[[Categoria ]],Ingresos[[#This Row],[Ingresos]],Libro_Diario[Fecha],"&gt;="&amp;'Libro Mayor'!CN$9,Libro_Diario[Fecha],"&lt;="&amp;EOMONTH('Libro Mayor'!CN$9,0))</f>
        <v>0</v>
      </c>
      <c r="CO12" s="24">
        <f>SUMIFS(Libro_Diario[[Cantidad ]],Libro_Diario[[Tipo ]],Ingresos[[#Headers],[Ingresos]],Libro_Diario[[Categoria ]],Ingresos[[#This Row],[Ingresos]],Libro_Diario[Fecha],"&gt;="&amp;'Libro Mayor'!CO$9,Libro_Diario[Fecha],"&lt;="&amp;EOMONTH('Libro Mayor'!CO$9,0))</f>
        <v>0</v>
      </c>
      <c r="CP12" s="24">
        <f>SUMIFS(Libro_Diario[[Cantidad ]],Libro_Diario[[Tipo ]],Ingresos[[#Headers],[Ingresos]],Libro_Diario[[Categoria ]],Ingresos[[#This Row],[Ingresos]],Libro_Diario[Fecha],"&gt;="&amp;'Libro Mayor'!CP$9,Libro_Diario[Fecha],"&lt;="&amp;EOMONTH('Libro Mayor'!CP$9,0))</f>
        <v>0</v>
      </c>
      <c r="CQ12" s="24">
        <f>SUMIFS(Libro_Diario[[Cantidad ]],Libro_Diario[[Tipo ]],Ingresos[[#Headers],[Ingresos]],Libro_Diario[[Categoria ]],Ingresos[[#This Row],[Ingresos]],Libro_Diario[Fecha],"&gt;="&amp;'Libro Mayor'!CQ$9,Libro_Diario[Fecha],"&lt;="&amp;EOMONTH('Libro Mayor'!CQ$9,0))</f>
        <v>0</v>
      </c>
      <c r="CR12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2" s="24">
        <f>SUMIFS(Libro_Diario[[Cantidad ]],Libro_Diario[[Tipo ]],Ingresos[[#Headers],[Ingresos]],Libro_Diario[[Categoria ]],Ingresos[[#This Row],[Ingresos]],Libro_Diario[Fecha],"&gt;="&amp;'Libro Mayor'!CS$9,Libro_Diario[Fecha],"&lt;="&amp;EOMONTH('Libro Mayor'!CS$9,0))</f>
        <v>0</v>
      </c>
      <c r="CT12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2" s="24">
        <f>SUMIFS(Libro_Diario[[Cantidad ]],Libro_Diario[[Tipo ]],Ingresos[[#Headers],[Ingresos]],Libro_Diario[[Categoria ]],Ingresos[[#This Row],[Ingresos]],Libro_Diario[Fecha],"&gt;="&amp;'Libro Mayor'!CU$9,Libro_Diario[Fecha],"&lt;="&amp;EOMONTH('Libro Mayor'!CU$9,0))</f>
        <v>0</v>
      </c>
      <c r="CV12" s="24">
        <f>SUMIFS(Libro_Diario[[Cantidad ]],Libro_Diario[[Tipo ]],Ingresos[[#Headers],[Ingresos]],Libro_Diario[[Categoria ]],Ingresos[[#This Row],[Ingresos]],Libro_Diario[Fecha],"&gt;="&amp;'Libro Mayor'!CV$9,Libro_Diario[Fecha],"&lt;="&amp;EOMONTH('Libro Mayor'!CV$9,0))</f>
        <v>0</v>
      </c>
      <c r="CW12" s="25">
        <f t="shared" si="13"/>
        <v>0</v>
      </c>
      <c r="CY12" s="24">
        <f>SUMIFS(Libro_Diario[[Cantidad ]],Libro_Diario[[Tipo ]],Ingresos[[#Headers],[Ingresos]],Libro_Diario[[Categoria ]],Ingresos[[#This Row],[Ingresos]],Libro_Diario[Fecha],"&gt;="&amp;'Libro Mayor'!CY$9,Libro_Diario[Fecha],"&lt;="&amp;EOMONTH('Libro Mayor'!CY$9,0))</f>
        <v>0</v>
      </c>
      <c r="CZ12" s="24">
        <f>SUMIFS(Libro_Diario[[Cantidad ]],Libro_Diario[[Tipo ]],Ingresos[[#Headers],[Ingresos]],Libro_Diario[[Categoria ]],Ingresos[[#This Row],[Ingresos]],Libro_Diario[Fecha],"&gt;="&amp;'Libro Mayor'!CZ$9,Libro_Diario[Fecha],"&lt;="&amp;EOMONTH('Libro Mayor'!CZ$9,0))</f>
        <v>0</v>
      </c>
      <c r="DA12" s="24">
        <f>SUMIFS(Libro_Diario[[Cantidad ]],Libro_Diario[[Tipo ]],Ingresos[[#Headers],[Ingresos]],Libro_Diario[[Categoria ]],Ingresos[[#This Row],[Ingresos]],Libro_Diario[Fecha],"&gt;="&amp;'Libro Mayor'!DA$9,Libro_Diario[Fecha],"&lt;="&amp;EOMONTH('Libro Mayor'!DA$9,0))</f>
        <v>0</v>
      </c>
      <c r="DB12" s="24">
        <f>SUMIFS(Libro_Diario[[Cantidad ]],Libro_Diario[[Tipo ]],Ingresos[[#Headers],[Ingresos]],Libro_Diario[[Categoria ]],Ingresos[[#This Row],[Ingresos]],Libro_Diario[Fecha],"&gt;="&amp;'Libro Mayor'!DB$9,Libro_Diario[Fecha],"&lt;="&amp;EOMONTH('Libro Mayor'!DB$9,0))</f>
        <v>0</v>
      </c>
      <c r="DC12" s="24">
        <f>SUMIFS(Libro_Diario[[Cantidad ]],Libro_Diario[[Tipo ]],Ingresos[[#Headers],[Ingresos]],Libro_Diario[[Categoria ]],Ingresos[[#This Row],[Ingresos]],Libro_Diario[Fecha],"&gt;="&amp;'Libro Mayor'!DC$9,Libro_Diario[Fecha],"&lt;="&amp;EOMONTH('Libro Mayor'!DC$9,0))</f>
        <v>0</v>
      </c>
      <c r="DD12" s="24">
        <f>SUMIFS(Libro_Diario[[Cantidad ]],Libro_Diario[[Tipo ]],Ingresos[[#Headers],[Ingresos]],Libro_Diario[[Categoria ]],Ingresos[[#This Row],[Ingresos]],Libro_Diario[Fecha],"&gt;="&amp;'Libro Mayor'!DD$9,Libro_Diario[Fecha],"&lt;="&amp;EOMONTH('Libro Mayor'!DD$9,0))</f>
        <v>0</v>
      </c>
      <c r="DE12" s="24">
        <f>SUMIFS(Libro_Diario[[Cantidad ]],Libro_Diario[[Tipo ]],Ingresos[[#Headers],[Ingresos]],Libro_Diario[[Categoria ]],Ingresos[[#This Row],[Ingresos]],Libro_Diario[Fecha],"&gt;="&amp;'Libro Mayor'!DE$9,Libro_Diario[Fecha],"&lt;="&amp;EOMONTH('Libro Mayor'!DE$9,0))</f>
        <v>0</v>
      </c>
      <c r="DF12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2" s="24">
        <f>SUMIFS(Libro_Diario[[Cantidad ]],Libro_Diario[[Tipo ]],Ingresos[[#Headers],[Ingresos]],Libro_Diario[[Categoria ]],Ingresos[[#This Row],[Ingresos]],Libro_Diario[Fecha],"&gt;="&amp;'Libro Mayor'!DG$9,Libro_Diario[Fecha],"&lt;="&amp;EOMONTH('Libro Mayor'!DG$9,0))</f>
        <v>0</v>
      </c>
      <c r="DH12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2" s="24">
        <f>SUMIFS(Libro_Diario[[Cantidad ]],Libro_Diario[[Tipo ]],Ingresos[[#Headers],[Ingresos]],Libro_Diario[[Categoria ]],Ingresos[[#This Row],[Ingresos]],Libro_Diario[Fecha],"&gt;="&amp;'Libro Mayor'!DI$9,Libro_Diario[Fecha],"&lt;="&amp;EOMONTH('Libro Mayor'!DI$9,0))</f>
        <v>0</v>
      </c>
      <c r="DJ12" s="24">
        <f>SUMIFS(Libro_Diario[[Cantidad ]],Libro_Diario[[Tipo ]],Ingresos[[#Headers],[Ingresos]],Libro_Diario[[Categoria ]],Ingresos[[#This Row],[Ingresos]],Libro_Diario[Fecha],"&gt;="&amp;'Libro Mayor'!DJ$9,Libro_Diario[Fecha],"&lt;="&amp;EOMONTH('Libro Mayor'!DJ$9,0))</f>
        <v>0</v>
      </c>
      <c r="DK12" s="25">
        <f t="shared" si="14"/>
        <v>0</v>
      </c>
      <c r="DM12" s="24">
        <f>SUMIFS(Libro_Diario[[Cantidad ]],Libro_Diario[[Tipo ]],Ingresos[[#Headers],[Ingresos]],Libro_Diario[[Categoria ]],Ingresos[[#This Row],[Ingresos]],Libro_Diario[Fecha],"&gt;="&amp;'Libro Mayor'!DM$9,Libro_Diario[Fecha],"&lt;="&amp;EOMONTH('Libro Mayor'!DM$9,0))</f>
        <v>0</v>
      </c>
      <c r="DN12" s="24">
        <f>SUMIFS(Libro_Diario[[Cantidad ]],Libro_Diario[[Tipo ]],Ingresos[[#Headers],[Ingresos]],Libro_Diario[[Categoria ]],Ingresos[[#This Row],[Ingresos]],Libro_Diario[Fecha],"&gt;="&amp;'Libro Mayor'!DN$9,Libro_Diario[Fecha],"&lt;="&amp;EOMONTH('Libro Mayor'!DN$9,0))</f>
        <v>0</v>
      </c>
      <c r="DO12" s="24">
        <f>SUMIFS(Libro_Diario[[Cantidad ]],Libro_Diario[[Tipo ]],Ingresos[[#Headers],[Ingresos]],Libro_Diario[[Categoria ]],Ingresos[[#This Row],[Ingresos]],Libro_Diario[Fecha],"&gt;="&amp;'Libro Mayor'!DO$9,Libro_Diario[Fecha],"&lt;="&amp;EOMONTH('Libro Mayor'!DO$9,0))</f>
        <v>0</v>
      </c>
      <c r="DP12" s="24">
        <f>SUMIFS(Libro_Diario[[Cantidad ]],Libro_Diario[[Tipo ]],Ingresos[[#Headers],[Ingresos]],Libro_Diario[[Categoria ]],Ingresos[[#This Row],[Ingresos]],Libro_Diario[Fecha],"&gt;="&amp;'Libro Mayor'!DP$9,Libro_Diario[Fecha],"&lt;="&amp;EOMONTH('Libro Mayor'!DP$9,0))</f>
        <v>0</v>
      </c>
      <c r="DQ12" s="24">
        <f>SUMIFS(Libro_Diario[[Cantidad ]],Libro_Diario[[Tipo ]],Ingresos[[#Headers],[Ingresos]],Libro_Diario[[Categoria ]],Ingresos[[#This Row],[Ingresos]],Libro_Diario[Fecha],"&gt;="&amp;'Libro Mayor'!DQ$9,Libro_Diario[Fecha],"&lt;="&amp;EOMONTH('Libro Mayor'!DQ$9,0))</f>
        <v>0</v>
      </c>
      <c r="DR12" s="24">
        <f>SUMIFS(Libro_Diario[[Cantidad ]],Libro_Diario[[Tipo ]],Ingresos[[#Headers],[Ingresos]],Libro_Diario[[Categoria ]],Ingresos[[#This Row],[Ingresos]],Libro_Diario[Fecha],"&gt;="&amp;'Libro Mayor'!DR$9,Libro_Diario[Fecha],"&lt;="&amp;EOMONTH('Libro Mayor'!DR$9,0))</f>
        <v>0</v>
      </c>
      <c r="DS12" s="24">
        <f>SUMIFS(Libro_Diario[[Cantidad ]],Libro_Diario[[Tipo ]],Ingresos[[#Headers],[Ingresos]],Libro_Diario[[Categoria ]],Ingresos[[#This Row],[Ingresos]],Libro_Diario[Fecha],"&gt;="&amp;'Libro Mayor'!DS$9,Libro_Diario[Fecha],"&lt;="&amp;EOMONTH('Libro Mayor'!DS$9,0))</f>
        <v>0</v>
      </c>
      <c r="DT12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2" s="24">
        <f>SUMIFS(Libro_Diario[[Cantidad ]],Libro_Diario[[Tipo ]],Ingresos[[#Headers],[Ingresos]],Libro_Diario[[Categoria ]],Ingresos[[#This Row],[Ingresos]],Libro_Diario[Fecha],"&gt;="&amp;'Libro Mayor'!DU$9,Libro_Diario[Fecha],"&lt;="&amp;EOMONTH('Libro Mayor'!DU$9,0))</f>
        <v>0</v>
      </c>
      <c r="DV12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2" s="24">
        <f>SUMIFS(Libro_Diario[[Cantidad ]],Libro_Diario[[Tipo ]],Ingresos[[#Headers],[Ingresos]],Libro_Diario[[Categoria ]],Ingresos[[#This Row],[Ingresos]],Libro_Diario[Fecha],"&gt;="&amp;'Libro Mayor'!DW$9,Libro_Diario[Fecha],"&lt;="&amp;EOMONTH('Libro Mayor'!DW$9,0))</f>
        <v>0</v>
      </c>
      <c r="DX12" s="24">
        <f>SUMIFS(Libro_Diario[[Cantidad ]],Libro_Diario[[Tipo ]],Ingresos[[#Headers],[Ingresos]],Libro_Diario[[Categoria ]],Ingresos[[#This Row],[Ingresos]],Libro_Diario[Fecha],"&gt;="&amp;'Libro Mayor'!DX$9,Libro_Diario[Fecha],"&lt;="&amp;EOMONTH('Libro Mayor'!DX$9,0))</f>
        <v>0</v>
      </c>
      <c r="DY12" s="25">
        <f t="shared" si="15"/>
        <v>0</v>
      </c>
      <c r="EA12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2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2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2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2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2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2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2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2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2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2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2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2" s="25">
        <f t="shared" si="16"/>
        <v>0</v>
      </c>
      <c r="EO12" s="24">
        <f>SUMIFS(Libro_Diario[[Cantidad ]],Libro_Diario[[Tipo ]],Ingresos[[#Headers],[Ingresos]],Libro_Diario[[Categoria ]],Ingresos[[#This Row],[Ingresos]],Libro_Diario[Fecha],"&gt;="&amp;'Libro Mayor'!EO$9,Libro_Diario[Fecha],"&lt;="&amp;EOMONTH('Libro Mayor'!EO$9,0))</f>
        <v>0</v>
      </c>
      <c r="EP12" s="24">
        <f>SUMIFS(Libro_Diario[[Cantidad ]],Libro_Diario[[Tipo ]],Ingresos[[#Headers],[Ingresos]],Libro_Diario[[Categoria ]],Ingresos[[#This Row],[Ingresos]],Libro_Diario[Fecha],"&gt;="&amp;'Libro Mayor'!EP$9,Libro_Diario[Fecha],"&lt;="&amp;EOMONTH('Libro Mayor'!EP$9,0))</f>
        <v>0</v>
      </c>
      <c r="EQ12" s="24">
        <f>SUMIFS(Libro_Diario[[Cantidad ]],Libro_Diario[[Tipo ]],Ingresos[[#Headers],[Ingresos]],Libro_Diario[[Categoria ]],Ingresos[[#This Row],[Ingresos]],Libro_Diario[Fecha],"&gt;="&amp;'Libro Mayor'!EQ$9,Libro_Diario[Fecha],"&lt;="&amp;EOMONTH('Libro Mayor'!EQ$9,0))</f>
        <v>0</v>
      </c>
      <c r="ER12" s="24">
        <f>SUMIFS(Libro_Diario[[Cantidad ]],Libro_Diario[[Tipo ]],Ingresos[[#Headers],[Ingresos]],Libro_Diario[[Categoria ]],Ingresos[[#This Row],[Ingresos]],Libro_Diario[Fecha],"&gt;="&amp;'Libro Mayor'!ER$9,Libro_Diario[Fecha],"&lt;="&amp;EOMONTH('Libro Mayor'!ER$9,0))</f>
        <v>0</v>
      </c>
      <c r="ES12" s="24">
        <f>SUMIFS(Libro_Diario[[Cantidad ]],Libro_Diario[[Tipo ]],Ingresos[[#Headers],[Ingresos]],Libro_Diario[[Categoria ]],Ingresos[[#This Row],[Ingresos]],Libro_Diario[Fecha],"&gt;="&amp;'Libro Mayor'!ES$9,Libro_Diario[Fecha],"&lt;="&amp;EOMONTH('Libro Mayor'!ES$9,0))</f>
        <v>0</v>
      </c>
      <c r="ET12" s="24">
        <f>SUMIFS(Libro_Diario[[Cantidad ]],Libro_Diario[[Tipo ]],Ingresos[[#Headers],[Ingresos]],Libro_Diario[[Categoria ]],Ingresos[[#This Row],[Ingresos]],Libro_Diario[Fecha],"&gt;="&amp;'Libro Mayor'!ET$9,Libro_Diario[Fecha],"&lt;="&amp;EOMONTH('Libro Mayor'!ET$9,0))</f>
        <v>0</v>
      </c>
      <c r="EU12" s="24">
        <f>SUMIFS(Libro_Diario[[Cantidad ]],Libro_Diario[[Tipo ]],Ingresos[[#Headers],[Ingresos]],Libro_Diario[[Categoria ]],Ingresos[[#This Row],[Ingresos]],Libro_Diario[Fecha],"&gt;="&amp;'Libro Mayor'!EU$9,Libro_Diario[Fecha],"&lt;="&amp;EOMONTH('Libro Mayor'!EU$9,0))</f>
        <v>0</v>
      </c>
      <c r="EV12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2" s="24">
        <f>SUMIFS(Libro_Diario[[Cantidad ]],Libro_Diario[[Tipo ]],Ingresos[[#Headers],[Ingresos]],Libro_Diario[[Categoria ]],Ingresos[[#This Row],[Ingresos]],Libro_Diario[Fecha],"&gt;="&amp;'Libro Mayor'!EW$9,Libro_Diario[Fecha],"&lt;="&amp;EOMONTH('Libro Mayor'!EW$9,0))</f>
        <v>0</v>
      </c>
      <c r="EX12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2" s="24">
        <f>SUMIFS(Libro_Diario[[Cantidad ]],Libro_Diario[[Tipo ]],Ingresos[[#Headers],[Ingresos]],Libro_Diario[[Categoria ]],Ingresos[[#This Row],[Ingresos]],Libro_Diario[Fecha],"&gt;="&amp;'Libro Mayor'!EY$9,Libro_Diario[Fecha],"&lt;="&amp;EOMONTH('Libro Mayor'!EY$9,0))</f>
        <v>0</v>
      </c>
      <c r="EZ12" s="24">
        <f>SUMIFS(Libro_Diario[[Cantidad ]],Libro_Diario[[Tipo ]],Ingresos[[#Headers],[Ingresos]],Libro_Diario[[Categoria ]],Ingresos[[#This Row],[Ingresos]],Libro_Diario[Fecha],"&gt;="&amp;'Libro Mayor'!EZ$9,Libro_Diario[Fecha],"&lt;="&amp;EOMONTH('Libro Mayor'!EZ$9,0))</f>
        <v>0</v>
      </c>
      <c r="FA12" s="25">
        <f t="shared" si="17"/>
        <v>0</v>
      </c>
    </row>
    <row r="13" spans="3:157" hidden="1" x14ac:dyDescent="0.3">
      <c r="C13" s="22" t="s">
        <v>6</v>
      </c>
      <c r="D13" s="23"/>
      <c r="E13" s="24"/>
      <c r="F13" s="24"/>
      <c r="G13" s="24"/>
      <c r="H13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3" s="24"/>
      <c r="J13" s="24"/>
      <c r="K13" s="24"/>
      <c r="L13" s="24"/>
      <c r="M13" s="24"/>
      <c r="N13" s="24"/>
      <c r="O13" s="24"/>
      <c r="P13" s="24"/>
      <c r="Q13" s="25">
        <f t="shared" si="18"/>
        <v>0</v>
      </c>
      <c r="S13" s="24"/>
      <c r="T13" s="24"/>
      <c r="U13" s="24"/>
      <c r="V13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3" s="24"/>
      <c r="X13" s="24"/>
      <c r="Y13" s="24"/>
      <c r="Z13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3" s="24"/>
      <c r="AB13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3" s="24"/>
      <c r="AD13" s="24"/>
      <c r="AE13" s="25">
        <f t="shared" si="19"/>
        <v>0</v>
      </c>
      <c r="AG13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3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3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3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3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3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3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3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3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3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3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3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3" s="25">
        <f t="shared" si="20"/>
        <v>0</v>
      </c>
      <c r="AU13" s="24"/>
      <c r="AV13" s="24"/>
      <c r="AW13" s="24"/>
      <c r="AX13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3" s="24"/>
      <c r="AZ13" s="24"/>
      <c r="BA13" s="24"/>
      <c r="BB13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3" s="24"/>
      <c r="BD13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3" s="24"/>
      <c r="BF13" s="24"/>
      <c r="BG13" s="25">
        <f t="shared" ref="BG13:BG19" si="21">SUM(AU13:BF13)</f>
        <v>0</v>
      </c>
      <c r="BI13" s="24"/>
      <c r="BJ13" s="24"/>
      <c r="BK13" s="24"/>
      <c r="BL13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3" s="24"/>
      <c r="BN13" s="24"/>
      <c r="BO13" s="24"/>
      <c r="BP13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3" s="24"/>
      <c r="BR13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3" s="24"/>
      <c r="BT13" s="24"/>
      <c r="BU13" s="25">
        <f t="shared" ref="BU13:BU19" si="22">SUM(BI13:BT13)</f>
        <v>0</v>
      </c>
      <c r="BW13" s="24"/>
      <c r="BX13" s="24"/>
      <c r="BY13" s="24"/>
      <c r="BZ13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3" s="24"/>
      <c r="CB13" s="24"/>
      <c r="CC13" s="24"/>
      <c r="CD13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3" s="24"/>
      <c r="CF13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3" s="24"/>
      <c r="CH13" s="24"/>
      <c r="CI13" s="25">
        <f t="shared" ref="CI13:CI19" si="23">SUM(BW13:CH13)</f>
        <v>0</v>
      </c>
      <c r="CK13" s="24"/>
      <c r="CL13" s="24"/>
      <c r="CM13" s="24"/>
      <c r="CN13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3" s="24"/>
      <c r="CP13" s="24"/>
      <c r="CQ13" s="24"/>
      <c r="CR13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3" s="24"/>
      <c r="CT13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3" s="24"/>
      <c r="CV13" s="24"/>
      <c r="CW13" s="25">
        <f t="shared" ref="CW13:CW19" si="24">SUM(CK13:CV13)</f>
        <v>0</v>
      </c>
      <c r="CY13" s="24"/>
      <c r="CZ13" s="24"/>
      <c r="DA13" s="24"/>
      <c r="DB13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3" s="24"/>
      <c r="DD13" s="24"/>
      <c r="DE13" s="24"/>
      <c r="DF13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3" s="24"/>
      <c r="DH13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3" s="24"/>
      <c r="DJ13" s="24"/>
      <c r="DK13" s="25">
        <f t="shared" ref="DK13:DK19" si="25">SUM(CY13:DJ13)</f>
        <v>0</v>
      </c>
      <c r="DM13" s="24"/>
      <c r="DN13" s="24"/>
      <c r="DO13" s="24"/>
      <c r="DP13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3" s="24"/>
      <c r="DR13" s="24"/>
      <c r="DS13" s="24"/>
      <c r="DT13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3" s="24"/>
      <c r="DV13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3" s="24"/>
      <c r="DX13" s="24"/>
      <c r="DY13" s="25">
        <f t="shared" ref="DY13:DY19" si="26">SUM(DM13:DX13)</f>
        <v>0</v>
      </c>
      <c r="EA13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3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3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3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3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3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3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3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3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3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3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3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3" s="25">
        <f t="shared" si="16"/>
        <v>0</v>
      </c>
      <c r="EO13" s="24"/>
      <c r="EP13" s="24"/>
      <c r="EQ13" s="24"/>
      <c r="ER13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3" s="24"/>
      <c r="ET13" s="24"/>
      <c r="EU13" s="24"/>
      <c r="EV13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3" s="24"/>
      <c r="EX13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3" s="24"/>
      <c r="EZ13" s="24"/>
      <c r="FA13" s="25">
        <f t="shared" ref="FA13:FA19" si="27">SUM(EO13:EZ13)</f>
        <v>0</v>
      </c>
    </row>
    <row r="14" spans="3:157" hidden="1" x14ac:dyDescent="0.3">
      <c r="C14" s="22" t="s">
        <v>6</v>
      </c>
      <c r="D14" s="23"/>
      <c r="E14" s="24"/>
      <c r="F14" s="24"/>
      <c r="G14" s="24"/>
      <c r="H14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4" s="24"/>
      <c r="J14" s="24"/>
      <c r="K14" s="24"/>
      <c r="L14" s="24"/>
      <c r="M14" s="24"/>
      <c r="N14" s="24"/>
      <c r="O14" s="24"/>
      <c r="P14" s="24"/>
      <c r="Q14" s="25">
        <f t="shared" si="18"/>
        <v>0</v>
      </c>
      <c r="S14" s="24"/>
      <c r="T14" s="24"/>
      <c r="U14" s="24"/>
      <c r="V14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4" s="24"/>
      <c r="X14" s="24"/>
      <c r="Y14" s="24"/>
      <c r="Z14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4" s="24"/>
      <c r="AB14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4" s="24"/>
      <c r="AD14" s="24"/>
      <c r="AE14" s="25">
        <f t="shared" si="19"/>
        <v>0</v>
      </c>
      <c r="AG14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4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4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4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4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4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4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4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4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4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4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4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4" s="25">
        <f t="shared" si="20"/>
        <v>0</v>
      </c>
      <c r="AU14" s="24"/>
      <c r="AV14" s="24"/>
      <c r="AW14" s="24"/>
      <c r="AX14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4" s="24"/>
      <c r="AZ14" s="24"/>
      <c r="BA14" s="24"/>
      <c r="BB14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4" s="24"/>
      <c r="BD14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4" s="24"/>
      <c r="BF14" s="24"/>
      <c r="BG14" s="25">
        <f t="shared" si="21"/>
        <v>0</v>
      </c>
      <c r="BI14" s="24"/>
      <c r="BJ14" s="24"/>
      <c r="BK14" s="24"/>
      <c r="BL14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4" s="24"/>
      <c r="BN14" s="24"/>
      <c r="BO14" s="24"/>
      <c r="BP14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4" s="24"/>
      <c r="BR14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4" s="24"/>
      <c r="BT14" s="24"/>
      <c r="BU14" s="25">
        <f t="shared" si="22"/>
        <v>0</v>
      </c>
      <c r="BW14" s="24"/>
      <c r="BX14" s="24"/>
      <c r="BY14" s="24"/>
      <c r="BZ14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4" s="24"/>
      <c r="CB14" s="24"/>
      <c r="CC14" s="24"/>
      <c r="CD14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4" s="24"/>
      <c r="CF14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4" s="24"/>
      <c r="CH14" s="24"/>
      <c r="CI14" s="25">
        <f t="shared" si="23"/>
        <v>0</v>
      </c>
      <c r="CK14" s="24"/>
      <c r="CL14" s="24"/>
      <c r="CM14" s="24"/>
      <c r="CN14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4" s="24"/>
      <c r="CP14" s="24"/>
      <c r="CQ14" s="24"/>
      <c r="CR14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4" s="24"/>
      <c r="CT14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4" s="24"/>
      <c r="CV14" s="24"/>
      <c r="CW14" s="25">
        <f t="shared" si="24"/>
        <v>0</v>
      </c>
      <c r="CY14" s="24"/>
      <c r="CZ14" s="24"/>
      <c r="DA14" s="24"/>
      <c r="DB14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4" s="24"/>
      <c r="DD14" s="24"/>
      <c r="DE14" s="24"/>
      <c r="DF14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4" s="24"/>
      <c r="DH14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4" s="24"/>
      <c r="DJ14" s="24"/>
      <c r="DK14" s="25">
        <f t="shared" si="25"/>
        <v>0</v>
      </c>
      <c r="DM14" s="24"/>
      <c r="DN14" s="24"/>
      <c r="DO14" s="24"/>
      <c r="DP14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4" s="24"/>
      <c r="DR14" s="24"/>
      <c r="DS14" s="24"/>
      <c r="DT14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4" s="24"/>
      <c r="DV14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4" s="24"/>
      <c r="DX14" s="24"/>
      <c r="DY14" s="25">
        <f t="shared" si="26"/>
        <v>0</v>
      </c>
      <c r="EA14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4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4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4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4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4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4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4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4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4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4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4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4" s="25">
        <f t="shared" si="16"/>
        <v>0</v>
      </c>
      <c r="EO14" s="24"/>
      <c r="EP14" s="24"/>
      <c r="EQ14" s="24"/>
      <c r="ER14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4" s="24"/>
      <c r="ET14" s="24"/>
      <c r="EU14" s="24"/>
      <c r="EV14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4" s="24"/>
      <c r="EX14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4" s="24"/>
      <c r="EZ14" s="24"/>
      <c r="FA14" s="25">
        <f t="shared" si="27"/>
        <v>0</v>
      </c>
    </row>
    <row r="15" spans="3:157" hidden="1" x14ac:dyDescent="0.3">
      <c r="C15" s="22" t="s">
        <v>6</v>
      </c>
      <c r="D15" s="23"/>
      <c r="E15" s="24"/>
      <c r="F15" s="24"/>
      <c r="G15" s="24"/>
      <c r="H15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5" s="24"/>
      <c r="J15" s="24"/>
      <c r="K15" s="24"/>
      <c r="L15" s="24"/>
      <c r="M15" s="24"/>
      <c r="N15" s="24"/>
      <c r="O15" s="24"/>
      <c r="P15" s="24"/>
      <c r="Q15" s="25">
        <f t="shared" si="18"/>
        <v>0</v>
      </c>
      <c r="S15" s="24"/>
      <c r="T15" s="24"/>
      <c r="U15" s="24"/>
      <c r="V15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5" s="24"/>
      <c r="X15" s="24"/>
      <c r="Y15" s="24"/>
      <c r="Z15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5" s="24"/>
      <c r="AB15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5" s="24"/>
      <c r="AD15" s="24"/>
      <c r="AE15" s="25">
        <f t="shared" si="19"/>
        <v>0</v>
      </c>
      <c r="AG15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5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5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5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5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5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5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5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5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5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5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5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5" s="25">
        <f t="shared" si="20"/>
        <v>0</v>
      </c>
      <c r="AU15" s="24"/>
      <c r="AV15" s="24"/>
      <c r="AW15" s="24"/>
      <c r="AX15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5" s="24"/>
      <c r="AZ15" s="24"/>
      <c r="BA15" s="24"/>
      <c r="BB15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5" s="24"/>
      <c r="BD15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5" s="24"/>
      <c r="BF15" s="24"/>
      <c r="BG15" s="25">
        <f t="shared" si="21"/>
        <v>0</v>
      </c>
      <c r="BI15" s="24"/>
      <c r="BJ15" s="24"/>
      <c r="BK15" s="24"/>
      <c r="BL15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5" s="24"/>
      <c r="BN15" s="24"/>
      <c r="BO15" s="24"/>
      <c r="BP15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5" s="24"/>
      <c r="BR15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5" s="24"/>
      <c r="BT15" s="24"/>
      <c r="BU15" s="25">
        <f t="shared" si="22"/>
        <v>0</v>
      </c>
      <c r="BW15" s="24"/>
      <c r="BX15" s="24"/>
      <c r="BY15" s="24"/>
      <c r="BZ15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5" s="24"/>
      <c r="CB15" s="24"/>
      <c r="CC15" s="24"/>
      <c r="CD15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5" s="24"/>
      <c r="CF15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5" s="24"/>
      <c r="CH15" s="24"/>
      <c r="CI15" s="25">
        <f t="shared" si="23"/>
        <v>0</v>
      </c>
      <c r="CK15" s="24"/>
      <c r="CL15" s="24"/>
      <c r="CM15" s="24"/>
      <c r="CN15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5" s="24"/>
      <c r="CP15" s="24"/>
      <c r="CQ15" s="24"/>
      <c r="CR15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5" s="24"/>
      <c r="CT15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5" s="24"/>
      <c r="CV15" s="24"/>
      <c r="CW15" s="25">
        <f t="shared" si="24"/>
        <v>0</v>
      </c>
      <c r="CY15" s="24"/>
      <c r="CZ15" s="24"/>
      <c r="DA15" s="24"/>
      <c r="DB15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5" s="24"/>
      <c r="DD15" s="24"/>
      <c r="DE15" s="24"/>
      <c r="DF15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5" s="24"/>
      <c r="DH15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5" s="24"/>
      <c r="DJ15" s="24"/>
      <c r="DK15" s="25">
        <f t="shared" si="25"/>
        <v>0</v>
      </c>
      <c r="DM15" s="24"/>
      <c r="DN15" s="24"/>
      <c r="DO15" s="24"/>
      <c r="DP15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5" s="24"/>
      <c r="DR15" s="24"/>
      <c r="DS15" s="24"/>
      <c r="DT15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5" s="24"/>
      <c r="DV15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5" s="24"/>
      <c r="DX15" s="24"/>
      <c r="DY15" s="25">
        <f t="shared" si="26"/>
        <v>0</v>
      </c>
      <c r="EA15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5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5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5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5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5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5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5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5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5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5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5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5" s="25">
        <f t="shared" si="16"/>
        <v>0</v>
      </c>
      <c r="EO15" s="24"/>
      <c r="EP15" s="24"/>
      <c r="EQ15" s="24"/>
      <c r="ER15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5" s="24"/>
      <c r="ET15" s="24"/>
      <c r="EU15" s="24"/>
      <c r="EV15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5" s="24"/>
      <c r="EX15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5" s="24"/>
      <c r="EZ15" s="24"/>
      <c r="FA15" s="25">
        <f t="shared" si="27"/>
        <v>0</v>
      </c>
    </row>
    <row r="16" spans="3:157" hidden="1" x14ac:dyDescent="0.3">
      <c r="C16" s="22" t="s">
        <v>6</v>
      </c>
      <c r="D16" s="23"/>
      <c r="E16" s="24"/>
      <c r="F16" s="24"/>
      <c r="G16" s="24"/>
      <c r="H16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6" s="24"/>
      <c r="J16" s="24"/>
      <c r="K16" s="24"/>
      <c r="L16" s="24"/>
      <c r="M16" s="24"/>
      <c r="N16" s="24"/>
      <c r="O16" s="24"/>
      <c r="P16" s="24"/>
      <c r="Q16" s="25">
        <f t="shared" si="18"/>
        <v>0</v>
      </c>
      <c r="S16" s="24"/>
      <c r="T16" s="24"/>
      <c r="U16" s="24"/>
      <c r="V16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6" s="24"/>
      <c r="X16" s="24"/>
      <c r="Y16" s="24"/>
      <c r="Z16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6" s="24"/>
      <c r="AB16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6" s="24"/>
      <c r="AD16" s="24"/>
      <c r="AE16" s="25">
        <f t="shared" si="19"/>
        <v>0</v>
      </c>
      <c r="AG16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6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6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6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6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6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6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6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6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6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6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6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6" s="25">
        <f t="shared" si="20"/>
        <v>0</v>
      </c>
      <c r="AU16" s="24"/>
      <c r="AV16" s="24"/>
      <c r="AW16" s="24"/>
      <c r="AX16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6" s="24"/>
      <c r="AZ16" s="24"/>
      <c r="BA16" s="24"/>
      <c r="BB16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6" s="24"/>
      <c r="BD16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6" s="24"/>
      <c r="BF16" s="24"/>
      <c r="BG16" s="25">
        <f t="shared" si="21"/>
        <v>0</v>
      </c>
      <c r="BI16" s="24"/>
      <c r="BJ16" s="24"/>
      <c r="BK16" s="24"/>
      <c r="BL16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6" s="24"/>
      <c r="BN16" s="24"/>
      <c r="BO16" s="24"/>
      <c r="BP16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6" s="24"/>
      <c r="BR16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6" s="24"/>
      <c r="BT16" s="24"/>
      <c r="BU16" s="25">
        <f t="shared" si="22"/>
        <v>0</v>
      </c>
      <c r="BW16" s="24"/>
      <c r="BX16" s="24"/>
      <c r="BY16" s="24"/>
      <c r="BZ16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6" s="24"/>
      <c r="CB16" s="24"/>
      <c r="CC16" s="24"/>
      <c r="CD16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6" s="24"/>
      <c r="CF16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6" s="24"/>
      <c r="CH16" s="24"/>
      <c r="CI16" s="25">
        <f t="shared" si="23"/>
        <v>0</v>
      </c>
      <c r="CK16" s="24"/>
      <c r="CL16" s="24"/>
      <c r="CM16" s="24"/>
      <c r="CN16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6" s="24"/>
      <c r="CP16" s="24"/>
      <c r="CQ16" s="24"/>
      <c r="CR16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6" s="24"/>
      <c r="CT16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6" s="24"/>
      <c r="CV16" s="24"/>
      <c r="CW16" s="25">
        <f t="shared" si="24"/>
        <v>0</v>
      </c>
      <c r="CY16" s="24"/>
      <c r="CZ16" s="24"/>
      <c r="DA16" s="24"/>
      <c r="DB16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6" s="24"/>
      <c r="DD16" s="24"/>
      <c r="DE16" s="24"/>
      <c r="DF16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6" s="24"/>
      <c r="DH16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6" s="24"/>
      <c r="DJ16" s="24"/>
      <c r="DK16" s="25">
        <f t="shared" si="25"/>
        <v>0</v>
      </c>
      <c r="DM16" s="24"/>
      <c r="DN16" s="24"/>
      <c r="DO16" s="24"/>
      <c r="DP16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6" s="24"/>
      <c r="DR16" s="24"/>
      <c r="DS16" s="24"/>
      <c r="DT16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6" s="24"/>
      <c r="DV16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6" s="24"/>
      <c r="DX16" s="24"/>
      <c r="DY16" s="25">
        <f t="shared" si="26"/>
        <v>0</v>
      </c>
      <c r="EA16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6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6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6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6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6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6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6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6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6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6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6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6" s="25">
        <f t="shared" si="16"/>
        <v>0</v>
      </c>
      <c r="EO16" s="24"/>
      <c r="EP16" s="24"/>
      <c r="EQ16" s="24"/>
      <c r="ER16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6" s="24"/>
      <c r="ET16" s="24"/>
      <c r="EU16" s="24"/>
      <c r="EV16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6" s="24"/>
      <c r="EX16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6" s="24"/>
      <c r="EZ16" s="24"/>
      <c r="FA16" s="25">
        <f t="shared" si="27"/>
        <v>0</v>
      </c>
    </row>
    <row r="17" spans="3:157" hidden="1" x14ac:dyDescent="0.3">
      <c r="C17" s="22" t="s">
        <v>6</v>
      </c>
      <c r="D17" s="23"/>
      <c r="E17" s="24"/>
      <c r="F17" s="24"/>
      <c r="G17" s="24"/>
      <c r="H17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7" s="24"/>
      <c r="J17" s="24"/>
      <c r="K17" s="24"/>
      <c r="L17" s="24"/>
      <c r="M17" s="24"/>
      <c r="N17" s="24"/>
      <c r="O17" s="24"/>
      <c r="P17" s="24"/>
      <c r="Q17" s="25">
        <f t="shared" si="18"/>
        <v>0</v>
      </c>
      <c r="S17" s="24"/>
      <c r="T17" s="24"/>
      <c r="U17" s="24"/>
      <c r="V17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7" s="24"/>
      <c r="X17" s="24"/>
      <c r="Y17" s="24"/>
      <c r="Z17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7" s="24"/>
      <c r="AB17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7" s="24"/>
      <c r="AD17" s="24"/>
      <c r="AE17" s="25">
        <f t="shared" si="19"/>
        <v>0</v>
      </c>
      <c r="AG17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7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7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7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7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7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7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7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7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7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7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7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7" s="25">
        <f t="shared" si="20"/>
        <v>0</v>
      </c>
      <c r="AU17" s="24"/>
      <c r="AV17" s="24"/>
      <c r="AW17" s="24"/>
      <c r="AX17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7" s="24"/>
      <c r="AZ17" s="24"/>
      <c r="BA17" s="24"/>
      <c r="BB17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7" s="24"/>
      <c r="BD17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7" s="24"/>
      <c r="BF17" s="24"/>
      <c r="BG17" s="25">
        <f t="shared" si="21"/>
        <v>0</v>
      </c>
      <c r="BI17" s="24"/>
      <c r="BJ17" s="24"/>
      <c r="BK17" s="24"/>
      <c r="BL17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7" s="24"/>
      <c r="BN17" s="24"/>
      <c r="BO17" s="24"/>
      <c r="BP17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7" s="24"/>
      <c r="BR17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7" s="24"/>
      <c r="BT17" s="24"/>
      <c r="BU17" s="25">
        <f t="shared" si="22"/>
        <v>0</v>
      </c>
      <c r="BW17" s="24"/>
      <c r="BX17" s="24"/>
      <c r="BY17" s="24"/>
      <c r="BZ17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7" s="24"/>
      <c r="CB17" s="24"/>
      <c r="CC17" s="24"/>
      <c r="CD17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7" s="24"/>
      <c r="CF17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7" s="24"/>
      <c r="CH17" s="24"/>
      <c r="CI17" s="25">
        <f t="shared" si="23"/>
        <v>0</v>
      </c>
      <c r="CK17" s="24"/>
      <c r="CL17" s="24"/>
      <c r="CM17" s="24"/>
      <c r="CN17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7" s="24"/>
      <c r="CP17" s="24"/>
      <c r="CQ17" s="24"/>
      <c r="CR17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7" s="24"/>
      <c r="CT17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7" s="24"/>
      <c r="CV17" s="24"/>
      <c r="CW17" s="25">
        <f t="shared" si="24"/>
        <v>0</v>
      </c>
      <c r="CY17" s="24"/>
      <c r="CZ17" s="24"/>
      <c r="DA17" s="24"/>
      <c r="DB17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7" s="24"/>
      <c r="DD17" s="24"/>
      <c r="DE17" s="24"/>
      <c r="DF17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7" s="24"/>
      <c r="DH17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7" s="24"/>
      <c r="DJ17" s="24"/>
      <c r="DK17" s="25">
        <f t="shared" si="25"/>
        <v>0</v>
      </c>
      <c r="DM17" s="24"/>
      <c r="DN17" s="24"/>
      <c r="DO17" s="24"/>
      <c r="DP17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7" s="24"/>
      <c r="DR17" s="24"/>
      <c r="DS17" s="24"/>
      <c r="DT17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7" s="24"/>
      <c r="DV17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7" s="24"/>
      <c r="DX17" s="24"/>
      <c r="DY17" s="25">
        <f t="shared" si="26"/>
        <v>0</v>
      </c>
      <c r="EA17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7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7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7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7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7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7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7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7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7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7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7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7" s="25">
        <f t="shared" si="16"/>
        <v>0</v>
      </c>
      <c r="EO17" s="24"/>
      <c r="EP17" s="24"/>
      <c r="EQ17" s="24"/>
      <c r="ER17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7" s="24"/>
      <c r="ET17" s="24"/>
      <c r="EU17" s="24"/>
      <c r="EV17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7" s="24"/>
      <c r="EX17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7" s="24"/>
      <c r="EZ17" s="24"/>
      <c r="FA17" s="25">
        <f t="shared" si="27"/>
        <v>0</v>
      </c>
    </row>
    <row r="18" spans="3:157" hidden="1" x14ac:dyDescent="0.3">
      <c r="C18" s="22" t="s">
        <v>6</v>
      </c>
      <c r="D18" s="23"/>
      <c r="E18" s="24"/>
      <c r="F18" s="24"/>
      <c r="G18" s="24"/>
      <c r="H18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8" s="24"/>
      <c r="J18" s="24"/>
      <c r="K18" s="24"/>
      <c r="L18" s="24"/>
      <c r="M18" s="24"/>
      <c r="N18" s="24"/>
      <c r="O18" s="24"/>
      <c r="P18" s="24"/>
      <c r="Q18" s="25">
        <f t="shared" si="18"/>
        <v>0</v>
      </c>
      <c r="S18" s="24"/>
      <c r="T18" s="24"/>
      <c r="U18" s="24"/>
      <c r="V18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8" s="24"/>
      <c r="X18" s="24"/>
      <c r="Y18" s="24"/>
      <c r="Z18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8" s="24"/>
      <c r="AB18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8" s="24"/>
      <c r="AD18" s="24"/>
      <c r="AE18" s="25">
        <f t="shared" si="19"/>
        <v>0</v>
      </c>
      <c r="AG18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8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8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8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8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8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8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8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8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8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8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8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8" s="25">
        <f t="shared" si="20"/>
        <v>0</v>
      </c>
      <c r="AU18" s="24"/>
      <c r="AV18" s="24"/>
      <c r="AW18" s="24"/>
      <c r="AX18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8" s="24"/>
      <c r="AZ18" s="24"/>
      <c r="BA18" s="24"/>
      <c r="BB18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8" s="24"/>
      <c r="BD18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8" s="24"/>
      <c r="BF18" s="24"/>
      <c r="BG18" s="25">
        <f t="shared" si="21"/>
        <v>0</v>
      </c>
      <c r="BI18" s="24"/>
      <c r="BJ18" s="24"/>
      <c r="BK18" s="24"/>
      <c r="BL18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8" s="24"/>
      <c r="BN18" s="24"/>
      <c r="BO18" s="24"/>
      <c r="BP18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8" s="24"/>
      <c r="BR18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8" s="24"/>
      <c r="BT18" s="24"/>
      <c r="BU18" s="25">
        <f t="shared" si="22"/>
        <v>0</v>
      </c>
      <c r="BW18" s="24"/>
      <c r="BX18" s="24"/>
      <c r="BY18" s="24"/>
      <c r="BZ18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8" s="24"/>
      <c r="CB18" s="24"/>
      <c r="CC18" s="24"/>
      <c r="CD18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8" s="24"/>
      <c r="CF18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8" s="24"/>
      <c r="CH18" s="24"/>
      <c r="CI18" s="25">
        <f t="shared" si="23"/>
        <v>0</v>
      </c>
      <c r="CK18" s="24"/>
      <c r="CL18" s="24"/>
      <c r="CM18" s="24"/>
      <c r="CN18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8" s="24"/>
      <c r="CP18" s="24"/>
      <c r="CQ18" s="24"/>
      <c r="CR18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8" s="24"/>
      <c r="CT18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8" s="24"/>
      <c r="CV18" s="24"/>
      <c r="CW18" s="25">
        <f t="shared" si="24"/>
        <v>0</v>
      </c>
      <c r="CY18" s="24"/>
      <c r="CZ18" s="24"/>
      <c r="DA18" s="24"/>
      <c r="DB18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8" s="24"/>
      <c r="DD18" s="24"/>
      <c r="DE18" s="24"/>
      <c r="DF18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8" s="24"/>
      <c r="DH18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8" s="24"/>
      <c r="DJ18" s="24"/>
      <c r="DK18" s="25">
        <f t="shared" si="25"/>
        <v>0</v>
      </c>
      <c r="DM18" s="24"/>
      <c r="DN18" s="24"/>
      <c r="DO18" s="24"/>
      <c r="DP18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8" s="24"/>
      <c r="DR18" s="24"/>
      <c r="DS18" s="24"/>
      <c r="DT18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8" s="24"/>
      <c r="DV18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8" s="24"/>
      <c r="DX18" s="24"/>
      <c r="DY18" s="25">
        <f t="shared" si="26"/>
        <v>0</v>
      </c>
      <c r="EA18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8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8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8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8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8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8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8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8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8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8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8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8" s="25">
        <f t="shared" si="16"/>
        <v>0</v>
      </c>
      <c r="EO18" s="24"/>
      <c r="EP18" s="24"/>
      <c r="EQ18" s="24"/>
      <c r="ER18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8" s="24"/>
      <c r="ET18" s="24"/>
      <c r="EU18" s="24"/>
      <c r="EV18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8" s="24"/>
      <c r="EX18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8" s="24"/>
      <c r="EZ18" s="24"/>
      <c r="FA18" s="25">
        <f t="shared" si="27"/>
        <v>0</v>
      </c>
    </row>
    <row r="19" spans="3:157" hidden="1" x14ac:dyDescent="0.3">
      <c r="C19" s="22" t="s">
        <v>6</v>
      </c>
      <c r="D19" s="23"/>
      <c r="E19" s="24"/>
      <c r="F19" s="24"/>
      <c r="G19" s="24"/>
      <c r="H19" s="24">
        <f>SUMIFS(Libro_Diario[[Cantidad ]],Libro_Diario[[Tipo ]],Ingresos[[#Headers],[Ingresos]],Libro_Diario[[Categoria ]],Ingresos[[#This Row],[Ingresos]],Libro_Diario[Fecha],"&gt;="&amp;'Libro Mayor'!H$9,Libro_Diario[Fecha],"&lt;="&amp;EOMONTH('Libro Mayor'!H$9,0))</f>
        <v>0</v>
      </c>
      <c r="I19" s="24"/>
      <c r="J19" s="24"/>
      <c r="K19" s="24"/>
      <c r="L19" s="24"/>
      <c r="M19" s="24"/>
      <c r="N19" s="24"/>
      <c r="O19" s="24"/>
      <c r="P19" s="24"/>
      <c r="Q19" s="25">
        <f t="shared" si="18"/>
        <v>0</v>
      </c>
      <c r="S19" s="24"/>
      <c r="T19" s="24"/>
      <c r="U19" s="24"/>
      <c r="V19" s="24">
        <f>SUMIFS(Libro_Diario[Detalles],Libro_Diario[[Categoria ]],Ingresos[[#Headers],[Ingresos]],Libro_Diario[[Cantidad ]],Ingresos[[#This Row],[Ingresos]],Libro_Diario[[Tipo ]],"&gt;="&amp;'Libro Mayor'!V$9,Libro_Diario[[Tipo ]],"&lt;="&amp;EOMONTH('Libro Mayor'!V$9,0))</f>
        <v>0</v>
      </c>
      <c r="W19" s="24"/>
      <c r="X19" s="24"/>
      <c r="Y19" s="24"/>
      <c r="Z19" s="24">
        <f>SUMIFS(Libro_Diario[[Cantidad ]],Libro_Diario[[Tipo ]],Ingresos[[#Headers],[Ingresos]],Libro_Diario[[Categoria ]],Ingresos[[#This Row],[Ingresos]],Libro_Diario[Fecha],"&gt;="&amp;'Libro Mayor'!Z$9,Libro_Diario[Fecha],"&lt;="&amp;EOMONTH('Libro Mayor'!Z$9,0))</f>
        <v>0</v>
      </c>
      <c r="AA19" s="24"/>
      <c r="AB19" s="24">
        <f>SUMIFS(Libro_Diario[[Cantidad ]],Libro_Diario[[Tipo ]],Ingresos[[#Headers],[Ingresos]],Libro_Diario[[Categoria ]],Ingresos[[#This Row],[Ingresos]],Libro_Diario[Fecha],"&gt;="&amp;'Libro Mayor'!AB$9,Libro_Diario[Fecha],"&lt;="&amp;EOMONTH('Libro Mayor'!AB$9,0))</f>
        <v>0</v>
      </c>
      <c r="AC19" s="24"/>
      <c r="AD19" s="24"/>
      <c r="AE19" s="25">
        <f t="shared" si="19"/>
        <v>0</v>
      </c>
      <c r="AG19" s="24">
        <f>SUMIFS(Libro_Diario[[Cantidad ]],Libro_Diario[[Tipo ]],Ingresos[[#Headers],[Ingresos]],Libro_Diario[[Categoria ]],Ingresos[[#This Row],[Ingresos]],Libro_Diario[Fecha],"&gt;="&amp;'Libro Mayor'!AG$9,Libro_Diario[Fecha],"&lt;="&amp;EOMONTH('Libro Mayor'!AG$9,0))</f>
        <v>0</v>
      </c>
      <c r="AH19" s="24">
        <f>SUMIFS(Libro_Diario[[Cantidad ]],Libro_Diario[[Tipo ]],Ingresos[[#Headers],[Ingresos]],Libro_Diario[[Categoria ]],Ingresos[[#This Row],[Ingresos]],Libro_Diario[Fecha],"&gt;="&amp;'Libro Mayor'!AH$9,Libro_Diario[Fecha],"&lt;="&amp;EOMONTH('Libro Mayor'!AH$9,0))</f>
        <v>0</v>
      </c>
      <c r="AI19" s="24">
        <f>SUMIFS(Libro_Diario[[Cantidad ]],Libro_Diario[[Tipo ]],Ingresos[[#Headers],[Ingresos]],Libro_Diario[[Categoria ]],Ingresos[[#This Row],[Ingresos]],Libro_Diario[Fecha],"&gt;="&amp;'Libro Mayor'!AI$9,Libro_Diario[Fecha],"&lt;="&amp;EOMONTH('Libro Mayor'!AI$9,0))</f>
        <v>0</v>
      </c>
      <c r="AJ19" s="24">
        <f>SUMIFS(Libro_Diario[[Cantidad ]],Libro_Diario[[Tipo ]],Ingresos[[#Headers],[Ingresos]],Libro_Diario[[Categoria ]],Ingresos[[#This Row],[Ingresos]],Libro_Diario[Fecha],"&gt;="&amp;'Libro Mayor'!AJ$9,Libro_Diario[Fecha],"&lt;="&amp;EOMONTH('Libro Mayor'!AJ$9,0))</f>
        <v>0</v>
      </c>
      <c r="AK19" s="24">
        <f>SUMIFS(Libro_Diario[[Cantidad ]],Libro_Diario[[Tipo ]],Ingresos[[#Headers],[Ingresos]],Libro_Diario[[Categoria ]],Ingresos[[#This Row],[Ingresos]],Libro_Diario[Fecha],"&gt;="&amp;'Libro Mayor'!AK$9,Libro_Diario[Fecha],"&lt;="&amp;EOMONTH('Libro Mayor'!AK$9,0))</f>
        <v>0</v>
      </c>
      <c r="AL19" s="24">
        <f>SUMIFS(Libro_Diario[[Cantidad ]],Libro_Diario[[Tipo ]],Ingresos[[#Headers],[Ingresos]],Libro_Diario[[Categoria ]],Ingresos[[#This Row],[Ingresos]],Libro_Diario[Fecha],"&gt;="&amp;'Libro Mayor'!AL$9,Libro_Diario[Fecha],"&lt;="&amp;EOMONTH('Libro Mayor'!AL$9,0))</f>
        <v>0</v>
      </c>
      <c r="AM19" s="24">
        <f>SUMIFS(Libro_Diario[[Cantidad ]],Libro_Diario[[Tipo ]],Ingresos[[#Headers],[Ingresos]],Libro_Diario[[Categoria ]],Ingresos[[#This Row],[Ingresos]],Libro_Diario[Fecha],"&gt;="&amp;'Libro Mayor'!AM$9,Libro_Diario[Fecha],"&lt;="&amp;EOMONTH('Libro Mayor'!AM$9,0))</f>
        <v>0</v>
      </c>
      <c r="AN19" s="24">
        <f>SUMIFS(Libro_Diario[[Cantidad ]],Libro_Diario[[Tipo ]],Ingresos[[#Headers],[Ingresos]],Libro_Diario[[Categoria ]],Ingresos[[#This Row],[Ingresos]],Libro_Diario[Fecha],"&gt;="&amp;'Libro Mayor'!AN$9,Libro_Diario[Fecha],"&lt;="&amp;EOMONTH('Libro Mayor'!AN$9,0))</f>
        <v>0</v>
      </c>
      <c r="AO19" s="24">
        <f>SUMIFS(Libro_Diario[[Cantidad ]],Libro_Diario[[Tipo ]],Ingresos[[#Headers],[Ingresos]],Libro_Diario[[Categoria ]],Ingresos[[#This Row],[Ingresos]],Libro_Diario[Fecha],"&gt;="&amp;'Libro Mayor'!AO$9,Libro_Diario[Fecha],"&lt;="&amp;EOMONTH('Libro Mayor'!AO$9,0))</f>
        <v>0</v>
      </c>
      <c r="AP19" s="24">
        <f>SUMIFS(Libro_Diario[[Cantidad ]],Libro_Diario[[Tipo ]],Ingresos[[#Headers],[Ingresos]],Libro_Diario[[Categoria ]],Ingresos[[#This Row],[Ingresos]],Libro_Diario[Fecha],"&gt;="&amp;'Libro Mayor'!AP$9,Libro_Diario[Fecha],"&lt;="&amp;EOMONTH('Libro Mayor'!AP$9,0))</f>
        <v>0</v>
      </c>
      <c r="AQ19" s="24">
        <f>SUMIFS(Libro_Diario[[Cantidad ]],Libro_Diario[[Tipo ]],Ingresos[[#Headers],[Ingresos]],Libro_Diario[[Categoria ]],Ingresos[[#This Row],[Ingresos]],Libro_Diario[Fecha],"&gt;="&amp;'Libro Mayor'!AQ$9,Libro_Diario[Fecha],"&lt;="&amp;EOMONTH('Libro Mayor'!AQ$9,0))</f>
        <v>0</v>
      </c>
      <c r="AR19" s="24">
        <f>SUMIFS(Libro_Diario[[Cantidad ]],Libro_Diario[[Tipo ]],Ingresos[[#Headers],[Ingresos]],Libro_Diario[[Categoria ]],Ingresos[[#This Row],[Ingresos]],Libro_Diario[Fecha],"&gt;="&amp;'Libro Mayor'!AR$9,Libro_Diario[Fecha],"&lt;="&amp;EOMONTH('Libro Mayor'!AR$9,0))</f>
        <v>0</v>
      </c>
      <c r="AS19" s="25">
        <f t="shared" si="20"/>
        <v>0</v>
      </c>
      <c r="AU19" s="24"/>
      <c r="AV19" s="24"/>
      <c r="AW19" s="24"/>
      <c r="AX19" s="24">
        <f>SUMIFS(Libro_Diario[Detalles],Libro_Diario[[Categoria ]],Ingresos[[#Headers],[Ingresos]],Libro_Diario[[Cantidad ]],Ingresos[[#This Row],[Ingresos]],Libro_Diario[[Tipo ]],"&gt;="&amp;'Libro Mayor'!AX$9,Libro_Diario[[Tipo ]],"&lt;="&amp;EOMONTH('Libro Mayor'!AX$9,0))</f>
        <v>0</v>
      </c>
      <c r="AY19" s="24"/>
      <c r="AZ19" s="24"/>
      <c r="BA19" s="24"/>
      <c r="BB19" s="24">
        <f>SUMIFS(Libro_Diario[[Cantidad ]],Libro_Diario[[Tipo ]],Ingresos[[#Headers],[Ingresos]],Libro_Diario[[Categoria ]],Ingresos[[#This Row],[Ingresos]],Libro_Diario[Fecha],"&gt;="&amp;'Libro Mayor'!BB$9,Libro_Diario[Fecha],"&lt;="&amp;EOMONTH('Libro Mayor'!BB$9,0))</f>
        <v>0</v>
      </c>
      <c r="BC19" s="24"/>
      <c r="BD19" s="24">
        <f>SUMIFS(Libro_Diario[[Cantidad ]],Libro_Diario[[Tipo ]],Ingresos[[#Headers],[Ingresos]],Libro_Diario[[Categoria ]],Ingresos[[#This Row],[Ingresos]],Libro_Diario[Fecha],"&gt;="&amp;'Libro Mayor'!BD$9,Libro_Diario[Fecha],"&lt;="&amp;EOMONTH('Libro Mayor'!BD$9,0))</f>
        <v>0</v>
      </c>
      <c r="BE19" s="24"/>
      <c r="BF19" s="24"/>
      <c r="BG19" s="25">
        <f t="shared" si="21"/>
        <v>0</v>
      </c>
      <c r="BI19" s="24"/>
      <c r="BJ19" s="24"/>
      <c r="BK19" s="24"/>
      <c r="BL19" s="24">
        <f>SUMIFS(Libro_Diario[Detalles],Libro_Diario[[Categoria ]],Ingresos[[#Headers],[Ingresos]],Libro_Diario[[Cantidad ]],Ingresos[[#This Row],[Ingresos]],Libro_Diario[[Tipo ]],"&gt;="&amp;'Libro Mayor'!BL$9,Libro_Diario[[Tipo ]],"&lt;="&amp;EOMONTH('Libro Mayor'!BL$9,0))</f>
        <v>0</v>
      </c>
      <c r="BM19" s="24"/>
      <c r="BN19" s="24"/>
      <c r="BO19" s="24"/>
      <c r="BP19" s="24">
        <f>SUMIFS(Libro_Diario[[Cantidad ]],Libro_Diario[[Tipo ]],Ingresos[[#Headers],[Ingresos]],Libro_Diario[[Categoria ]],Ingresos[[#This Row],[Ingresos]],Libro_Diario[Fecha],"&gt;="&amp;'Libro Mayor'!BP$9,Libro_Diario[Fecha],"&lt;="&amp;EOMONTH('Libro Mayor'!BP$9,0))</f>
        <v>0</v>
      </c>
      <c r="BQ19" s="24"/>
      <c r="BR19" s="24">
        <f>SUMIFS(Libro_Diario[[Cantidad ]],Libro_Diario[[Tipo ]],Ingresos[[#Headers],[Ingresos]],Libro_Diario[[Categoria ]],Ingresos[[#This Row],[Ingresos]],Libro_Diario[Fecha],"&gt;="&amp;'Libro Mayor'!BR$9,Libro_Diario[Fecha],"&lt;="&amp;EOMONTH('Libro Mayor'!BR$9,0))</f>
        <v>0</v>
      </c>
      <c r="BS19" s="24"/>
      <c r="BT19" s="24"/>
      <c r="BU19" s="25">
        <f t="shared" si="22"/>
        <v>0</v>
      </c>
      <c r="BW19" s="24"/>
      <c r="BX19" s="24"/>
      <c r="BY19" s="24"/>
      <c r="BZ19" s="24">
        <f>SUMIFS(Libro_Diario[Detalles],Libro_Diario[[Categoria ]],Ingresos[[#Headers],[Ingresos]],Libro_Diario[[Cantidad ]],Ingresos[[#This Row],[Ingresos]],Libro_Diario[[Tipo ]],"&gt;="&amp;'Libro Mayor'!BZ$9,Libro_Diario[[Tipo ]],"&lt;="&amp;EOMONTH('Libro Mayor'!BZ$9,0))</f>
        <v>0</v>
      </c>
      <c r="CA19" s="24"/>
      <c r="CB19" s="24"/>
      <c r="CC19" s="24"/>
      <c r="CD19" s="24">
        <f>SUMIFS(Libro_Diario[[Cantidad ]],Libro_Diario[[Tipo ]],Ingresos[[#Headers],[Ingresos]],Libro_Diario[[Categoria ]],Ingresos[[#This Row],[Ingresos]],Libro_Diario[Fecha],"&gt;="&amp;'Libro Mayor'!CD$9,Libro_Diario[Fecha],"&lt;="&amp;EOMONTH('Libro Mayor'!CD$9,0))</f>
        <v>0</v>
      </c>
      <c r="CE19" s="24"/>
      <c r="CF19" s="24">
        <f>SUMIFS(Libro_Diario[[Cantidad ]],Libro_Diario[[Tipo ]],Ingresos[[#Headers],[Ingresos]],Libro_Diario[[Categoria ]],Ingresos[[#This Row],[Ingresos]],Libro_Diario[Fecha],"&gt;="&amp;'Libro Mayor'!CF$9,Libro_Diario[Fecha],"&lt;="&amp;EOMONTH('Libro Mayor'!CF$9,0))</f>
        <v>0</v>
      </c>
      <c r="CG19" s="24"/>
      <c r="CH19" s="24"/>
      <c r="CI19" s="25">
        <f t="shared" si="23"/>
        <v>0</v>
      </c>
      <c r="CK19" s="24"/>
      <c r="CL19" s="24"/>
      <c r="CM19" s="24"/>
      <c r="CN19" s="24">
        <f>SUMIFS(Libro_Diario[Detalles],Libro_Diario[[Categoria ]],Ingresos[[#Headers],[Ingresos]],Libro_Diario[[Cantidad ]],Ingresos[[#This Row],[Ingresos]],Libro_Diario[[Tipo ]],"&gt;="&amp;'Libro Mayor'!CN$9,Libro_Diario[[Tipo ]],"&lt;="&amp;EOMONTH('Libro Mayor'!CN$9,0))</f>
        <v>0</v>
      </c>
      <c r="CO19" s="24"/>
      <c r="CP19" s="24"/>
      <c r="CQ19" s="24"/>
      <c r="CR19" s="24">
        <f>SUMIFS(Libro_Diario[[Cantidad ]],Libro_Diario[[Tipo ]],Ingresos[[#Headers],[Ingresos]],Libro_Diario[[Categoria ]],Ingresos[[#This Row],[Ingresos]],Libro_Diario[Fecha],"&gt;="&amp;'Libro Mayor'!CR$9,Libro_Diario[Fecha],"&lt;="&amp;EOMONTH('Libro Mayor'!CR$9,0))</f>
        <v>0</v>
      </c>
      <c r="CS19" s="24"/>
      <c r="CT19" s="24">
        <f>SUMIFS(Libro_Diario[[Cantidad ]],Libro_Diario[[Tipo ]],Ingresos[[#Headers],[Ingresos]],Libro_Diario[[Categoria ]],Ingresos[[#This Row],[Ingresos]],Libro_Diario[Fecha],"&gt;="&amp;'Libro Mayor'!CT$9,Libro_Diario[Fecha],"&lt;="&amp;EOMONTH('Libro Mayor'!CT$9,0))</f>
        <v>0</v>
      </c>
      <c r="CU19" s="24"/>
      <c r="CV19" s="24"/>
      <c r="CW19" s="25">
        <f t="shared" si="24"/>
        <v>0</v>
      </c>
      <c r="CY19" s="24"/>
      <c r="CZ19" s="24"/>
      <c r="DA19" s="24"/>
      <c r="DB19" s="24">
        <f>SUMIFS(Libro_Diario[Detalles],Libro_Diario[[Categoria ]],Ingresos[[#Headers],[Ingresos]],Libro_Diario[[Cantidad ]],Ingresos[[#This Row],[Ingresos]],Libro_Diario[[Tipo ]],"&gt;="&amp;'Libro Mayor'!DB$9,Libro_Diario[[Tipo ]],"&lt;="&amp;EOMONTH('Libro Mayor'!DB$9,0))</f>
        <v>0</v>
      </c>
      <c r="DC19" s="24"/>
      <c r="DD19" s="24"/>
      <c r="DE19" s="24"/>
      <c r="DF19" s="24">
        <f>SUMIFS(Libro_Diario[[Cantidad ]],Libro_Diario[[Tipo ]],Ingresos[[#Headers],[Ingresos]],Libro_Diario[[Categoria ]],Ingresos[[#This Row],[Ingresos]],Libro_Diario[Fecha],"&gt;="&amp;'Libro Mayor'!DF$9,Libro_Diario[Fecha],"&lt;="&amp;EOMONTH('Libro Mayor'!DF$9,0))</f>
        <v>0</v>
      </c>
      <c r="DG19" s="24"/>
      <c r="DH19" s="24">
        <f>SUMIFS(Libro_Diario[[Cantidad ]],Libro_Diario[[Tipo ]],Ingresos[[#Headers],[Ingresos]],Libro_Diario[[Categoria ]],Ingresos[[#This Row],[Ingresos]],Libro_Diario[Fecha],"&gt;="&amp;'Libro Mayor'!DH$9,Libro_Diario[Fecha],"&lt;="&amp;EOMONTH('Libro Mayor'!DH$9,0))</f>
        <v>0</v>
      </c>
      <c r="DI19" s="24"/>
      <c r="DJ19" s="24"/>
      <c r="DK19" s="25">
        <f t="shared" si="25"/>
        <v>0</v>
      </c>
      <c r="DM19" s="24"/>
      <c r="DN19" s="24"/>
      <c r="DO19" s="24"/>
      <c r="DP19" s="24">
        <f>SUMIFS(Libro_Diario[Detalles],Libro_Diario[[Categoria ]],Ingresos[[#Headers],[Ingresos]],Libro_Diario[[Cantidad ]],Ingresos[[#This Row],[Ingresos]],Libro_Diario[[Tipo ]],"&gt;="&amp;'Libro Mayor'!DP$9,Libro_Diario[[Tipo ]],"&lt;="&amp;EOMONTH('Libro Mayor'!DP$9,0))</f>
        <v>0</v>
      </c>
      <c r="DQ19" s="24"/>
      <c r="DR19" s="24"/>
      <c r="DS19" s="24"/>
      <c r="DT19" s="24">
        <f>SUMIFS(Libro_Diario[[Cantidad ]],Libro_Diario[[Tipo ]],Ingresos[[#Headers],[Ingresos]],Libro_Diario[[Categoria ]],Ingresos[[#This Row],[Ingresos]],Libro_Diario[Fecha],"&gt;="&amp;'Libro Mayor'!DT$9,Libro_Diario[Fecha],"&lt;="&amp;EOMONTH('Libro Mayor'!DT$9,0))</f>
        <v>0</v>
      </c>
      <c r="DU19" s="24"/>
      <c r="DV19" s="24">
        <f>SUMIFS(Libro_Diario[[Cantidad ]],Libro_Diario[[Tipo ]],Ingresos[[#Headers],[Ingresos]],Libro_Diario[[Categoria ]],Ingresos[[#This Row],[Ingresos]],Libro_Diario[Fecha],"&gt;="&amp;'Libro Mayor'!DV$9,Libro_Diario[Fecha],"&lt;="&amp;EOMONTH('Libro Mayor'!DV$9,0))</f>
        <v>0</v>
      </c>
      <c r="DW19" s="24"/>
      <c r="DX19" s="24"/>
      <c r="DY19" s="25">
        <f t="shared" si="26"/>
        <v>0</v>
      </c>
      <c r="EA19" s="24">
        <f>SUMIFS(Libro_Diario[[Cantidad ]],Libro_Diario[[Tipo ]],Ingresos[[#Headers],[Ingresos]],Libro_Diario[[Categoria ]],Ingresos[[#This Row],[Ingresos]],Libro_Diario[Fecha],"&gt;="&amp;'Libro Mayor'!EA$9,Libro_Diario[Fecha],"&lt;="&amp;EOMONTH('Libro Mayor'!EA$9,0))</f>
        <v>0</v>
      </c>
      <c r="EB19" s="24">
        <f>SUMIFS(Libro_Diario[[Cantidad ]],Libro_Diario[[Tipo ]],Ingresos[[#Headers],[Ingresos]],Libro_Diario[[Categoria ]],Ingresos[[#This Row],[Ingresos]],Libro_Diario[Fecha],"&gt;="&amp;'Libro Mayor'!EB$9,Libro_Diario[Fecha],"&lt;="&amp;EOMONTH('Libro Mayor'!EB$9,0))</f>
        <v>0</v>
      </c>
      <c r="EC19" s="24">
        <f>SUMIFS(Libro_Diario[[Cantidad ]],Libro_Diario[[Tipo ]],Ingresos[[#Headers],[Ingresos]],Libro_Diario[[Categoria ]],Ingresos[[#This Row],[Ingresos]],Libro_Diario[Fecha],"&gt;="&amp;'Libro Mayor'!EC$9,Libro_Diario[Fecha],"&lt;="&amp;EOMONTH('Libro Mayor'!EC$9,0))</f>
        <v>0</v>
      </c>
      <c r="ED19" s="24">
        <f>SUMIFS(Libro_Diario[[Cantidad ]],Libro_Diario[[Tipo ]],Ingresos[[#Headers],[Ingresos]],Libro_Diario[[Categoria ]],Ingresos[[#This Row],[Ingresos]],Libro_Diario[Fecha],"&gt;="&amp;'Libro Mayor'!ED$9,Libro_Diario[Fecha],"&lt;="&amp;EOMONTH('Libro Mayor'!ED$9,0))</f>
        <v>0</v>
      </c>
      <c r="EE19" s="24">
        <f>SUMIFS(Libro_Diario[[Cantidad ]],Libro_Diario[[Tipo ]],Ingresos[[#Headers],[Ingresos]],Libro_Diario[[Categoria ]],Ingresos[[#This Row],[Ingresos]],Libro_Diario[Fecha],"&gt;="&amp;'Libro Mayor'!EE$9,Libro_Diario[Fecha],"&lt;="&amp;EOMONTH('Libro Mayor'!EE$9,0))</f>
        <v>0</v>
      </c>
      <c r="EF19" s="24">
        <f>SUMIFS(Libro_Diario[[Cantidad ]],Libro_Diario[[Tipo ]],Ingresos[[#Headers],[Ingresos]],Libro_Diario[[Categoria ]],Ingresos[[#This Row],[Ingresos]],Libro_Diario[Fecha],"&gt;="&amp;'Libro Mayor'!EF$9,Libro_Diario[Fecha],"&lt;="&amp;EOMONTH('Libro Mayor'!EF$9,0))</f>
        <v>0</v>
      </c>
      <c r="EG19" s="24">
        <f>SUMIFS(Libro_Diario[[Cantidad ]],Libro_Diario[[Tipo ]],Ingresos[[#Headers],[Ingresos]],Libro_Diario[[Categoria ]],Ingresos[[#This Row],[Ingresos]],Libro_Diario[Fecha],"&gt;="&amp;'Libro Mayor'!EG$9,Libro_Diario[Fecha],"&lt;="&amp;EOMONTH('Libro Mayor'!EG$9,0))</f>
        <v>0</v>
      </c>
      <c r="EH19" s="24">
        <f>SUMIFS(Libro_Diario[[Cantidad ]],Libro_Diario[[Tipo ]],Ingresos[[#Headers],[Ingresos]],Libro_Diario[[Categoria ]],Ingresos[[#This Row],[Ingresos]],Libro_Diario[Fecha],"&gt;="&amp;'Libro Mayor'!EH$9,Libro_Diario[Fecha],"&lt;="&amp;EOMONTH('Libro Mayor'!EH$9,0))</f>
        <v>0</v>
      </c>
      <c r="EI19" s="24">
        <f>SUMIFS(Libro_Diario[[Cantidad ]],Libro_Diario[[Tipo ]],Ingresos[[#Headers],[Ingresos]],Libro_Diario[[Categoria ]],Ingresos[[#This Row],[Ingresos]],Libro_Diario[Fecha],"&gt;="&amp;'Libro Mayor'!EI$9,Libro_Diario[Fecha],"&lt;="&amp;EOMONTH('Libro Mayor'!EI$9,0))</f>
        <v>0</v>
      </c>
      <c r="EJ19" s="24">
        <f>SUMIFS(Libro_Diario[[Cantidad ]],Libro_Diario[[Tipo ]],Ingresos[[#Headers],[Ingresos]],Libro_Diario[[Categoria ]],Ingresos[[#This Row],[Ingresos]],Libro_Diario[Fecha],"&gt;="&amp;'Libro Mayor'!EJ$9,Libro_Diario[Fecha],"&lt;="&amp;EOMONTH('Libro Mayor'!EJ$9,0))</f>
        <v>0</v>
      </c>
      <c r="EK19" s="24">
        <f>SUMIFS(Libro_Diario[[Cantidad ]],Libro_Diario[[Tipo ]],Ingresos[[#Headers],[Ingresos]],Libro_Diario[[Categoria ]],Ingresos[[#This Row],[Ingresos]],Libro_Diario[Fecha],"&gt;="&amp;'Libro Mayor'!EK$9,Libro_Diario[Fecha],"&lt;="&amp;EOMONTH('Libro Mayor'!EK$9,0))</f>
        <v>0</v>
      </c>
      <c r="EL19" s="24">
        <f>SUMIFS(Libro_Diario[[Cantidad ]],Libro_Diario[[Tipo ]],Ingresos[[#Headers],[Ingresos]],Libro_Diario[[Categoria ]],Ingresos[[#This Row],[Ingresos]],Libro_Diario[Fecha],"&gt;="&amp;'Libro Mayor'!EL$9,Libro_Diario[Fecha],"&lt;="&amp;EOMONTH('Libro Mayor'!EL$9,0))</f>
        <v>0</v>
      </c>
      <c r="EM19" s="25">
        <f t="shared" si="16"/>
        <v>0</v>
      </c>
      <c r="EO19" s="24"/>
      <c r="EP19" s="24"/>
      <c r="EQ19" s="24"/>
      <c r="ER19" s="24">
        <f>SUMIFS(Libro_Diario[Detalles],Libro_Diario[[Categoria ]],Ingresos[[#Headers],[Ingresos]],Libro_Diario[[Cantidad ]],Ingresos[[#This Row],[Ingresos]],Libro_Diario[[Tipo ]],"&gt;="&amp;'Libro Mayor'!ER$9,Libro_Diario[[Tipo ]],"&lt;="&amp;EOMONTH('Libro Mayor'!ER$9,0))</f>
        <v>0</v>
      </c>
      <c r="ES19" s="24"/>
      <c r="ET19" s="24"/>
      <c r="EU19" s="24"/>
      <c r="EV19" s="24">
        <f>SUMIFS(Libro_Diario[[Cantidad ]],Libro_Diario[[Tipo ]],Ingresos[[#Headers],[Ingresos]],Libro_Diario[[Categoria ]],Ingresos[[#This Row],[Ingresos]],Libro_Diario[Fecha],"&gt;="&amp;'Libro Mayor'!EV$9,Libro_Diario[Fecha],"&lt;="&amp;EOMONTH('Libro Mayor'!EV$9,0))</f>
        <v>0</v>
      </c>
      <c r="EW19" s="24"/>
      <c r="EX19" s="24">
        <f>SUMIFS(Libro_Diario[[Cantidad ]],Libro_Diario[[Tipo ]],Ingresos[[#Headers],[Ingresos]],Libro_Diario[[Categoria ]],Ingresos[[#This Row],[Ingresos]],Libro_Diario[Fecha],"&gt;="&amp;'Libro Mayor'!EX$9,Libro_Diario[Fecha],"&lt;="&amp;EOMONTH('Libro Mayor'!EX$9,0))</f>
        <v>0</v>
      </c>
      <c r="EY19" s="24"/>
      <c r="EZ19" s="24"/>
      <c r="FA19" s="25">
        <f t="shared" si="27"/>
        <v>0</v>
      </c>
    </row>
    <row r="20" spans="3:157" x14ac:dyDescent="0.3">
      <c r="C20" s="32" t="s">
        <v>7</v>
      </c>
      <c r="E20" s="26" cm="1">
        <f t="array" aca="1" ref="E20" ca="1">SUM(INDIRECT(ADDRESS(Ingresos_min_fila,COLUMN()) &amp; ":" &amp; ADDRESS(Ingresos_max_fila,COLUMN())))</f>
        <v>0</v>
      </c>
      <c r="F20" s="26" cm="1">
        <f t="array" aca="1" ref="F20" ca="1">SUM(INDIRECT(ADDRESS(Ingresos_min_fila,COLUMN()) &amp; ":" &amp; ADDRESS(Ingresos_max_fila,COLUMN())))</f>
        <v>0</v>
      </c>
      <c r="G20" s="26" cm="1">
        <f t="array" aca="1" ref="G20" ca="1">SUM(INDIRECT(ADDRESS(Ingresos_min_fila,COLUMN()) &amp; ":" &amp; ADDRESS(Ingresos_max_fila,COLUMN())))</f>
        <v>0</v>
      </c>
      <c r="H20" s="26" cm="1">
        <f t="array" aca="1" ref="H20" ca="1">SUM(INDIRECT(ADDRESS(Ingresos_min_fila,COLUMN()) &amp; ":" &amp; ADDRESS(Ingresos_max_fila,COLUMN())))</f>
        <v>0</v>
      </c>
      <c r="I20" s="26" cm="1">
        <f t="array" aca="1" ref="I20" ca="1">SUM(INDIRECT(ADDRESS(Ingresos_min_fila,COLUMN()) &amp; ":" &amp; ADDRESS(Ingresos_max_fila,COLUMN())))</f>
        <v>0</v>
      </c>
      <c r="J20" s="26" cm="1">
        <f t="array" aca="1" ref="J20" ca="1">SUM(INDIRECT(ADDRESS(Ingresos_min_fila,COLUMN()) &amp; ":" &amp; ADDRESS(Ingresos_max_fila,COLUMN())))</f>
        <v>0</v>
      </c>
      <c r="K20" s="26" cm="1">
        <f t="array" aca="1" ref="K20" ca="1">SUM(INDIRECT(ADDRESS(Ingresos_min_fila,COLUMN()) &amp; ":" &amp; ADDRESS(Ingresos_max_fila,COLUMN())))</f>
        <v>0</v>
      </c>
      <c r="L20" s="26" cm="1">
        <f t="array" aca="1" ref="L20" ca="1">SUM(INDIRECT(ADDRESS(Ingresos_min_fila,COLUMN()) &amp; ":" &amp; ADDRESS(Ingresos_max_fila,COLUMN())))</f>
        <v>0</v>
      </c>
      <c r="M20" s="26" cm="1">
        <f t="array" aca="1" ref="M20" ca="1">SUM(INDIRECT(ADDRESS(Ingresos_min_fila,COLUMN()) &amp; ":" &amp; ADDRESS(Ingresos_max_fila,COLUMN())))</f>
        <v>0</v>
      </c>
      <c r="N20" s="26" cm="1">
        <f t="array" aca="1" ref="N20" ca="1">SUM(INDIRECT(ADDRESS(Ingresos_min_fila,COLUMN()) &amp; ":" &amp; ADDRESS(Ingresos_max_fila,COLUMN())))</f>
        <v>0</v>
      </c>
      <c r="O20" s="26" cm="1">
        <f t="array" aca="1" ref="O20" ca="1">SUM(INDIRECT(ADDRESS(Ingresos_min_fila,COLUMN()) &amp; ":" &amp; ADDRESS(Ingresos_max_fila,COLUMN())))</f>
        <v>0</v>
      </c>
      <c r="P20" s="26" cm="1">
        <f t="array" aca="1" ref="P20" ca="1">SUM(INDIRECT(ADDRESS(Ingresos_min_fila,COLUMN()) &amp; ":" &amp; ADDRESS(Ingresos_max_fila,COLUMN())))</f>
        <v>0</v>
      </c>
      <c r="Q20" s="26" cm="1">
        <f t="array" aca="1" ref="Q20" ca="1">SUM(INDIRECT(ADDRESS(Ingresos_min_fila,COLUMN()) &amp; ":" &amp; ADDRESS(Ingresos_max_fila,COLUMN())))</f>
        <v>0</v>
      </c>
      <c r="S20" s="26" cm="1">
        <f t="array" aca="1" ref="S20" ca="1">SUM(INDIRECT(ADDRESS(Ingresos_min_fila,COLUMN()) &amp; ":" &amp; ADDRESS(Ingresos_max_fila,COLUMN())))</f>
        <v>0</v>
      </c>
      <c r="T20" s="26" cm="1">
        <f t="array" aca="1" ref="T20" ca="1">SUM(INDIRECT(ADDRESS(Ingresos_min_fila,COLUMN()) &amp; ":" &amp; ADDRESS(Ingresos_max_fila,COLUMN())))</f>
        <v>0</v>
      </c>
      <c r="U20" s="26" cm="1">
        <f t="array" aca="1" ref="U20" ca="1">SUM(INDIRECT(ADDRESS(Ingresos_min_fila,COLUMN()) &amp; ":" &amp; ADDRESS(Ingresos_max_fila,COLUMN())))</f>
        <v>0</v>
      </c>
      <c r="V20" s="26" cm="1">
        <f t="array" aca="1" ref="V20" ca="1">SUM(INDIRECT(ADDRESS(Ingresos_min_fila,COLUMN()) &amp; ":" &amp; ADDRESS(Ingresos_max_fila,COLUMN())))</f>
        <v>0</v>
      </c>
      <c r="W20" s="26" cm="1">
        <f t="array" aca="1" ref="W20" ca="1">SUM(INDIRECT(ADDRESS(Ingresos_min_fila,COLUMN()) &amp; ":" &amp; ADDRESS(Ingresos_max_fila,COLUMN())))</f>
        <v>0</v>
      </c>
      <c r="X20" s="26" cm="1">
        <f t="array" aca="1" ref="X20" ca="1">SUM(INDIRECT(ADDRESS(Ingresos_min_fila,COLUMN()) &amp; ":" &amp; ADDRESS(Ingresos_max_fila,COLUMN())))</f>
        <v>0</v>
      </c>
      <c r="Y20" s="26" cm="1">
        <f t="array" aca="1" ref="Y20" ca="1">SUM(INDIRECT(ADDRESS(Ingresos_min_fila,COLUMN()) &amp; ":" &amp; ADDRESS(Ingresos_max_fila,COLUMN())))</f>
        <v>0</v>
      </c>
      <c r="Z20" s="26" cm="1">
        <f t="array" aca="1" ref="Z20" ca="1">SUM(INDIRECT(ADDRESS(Ingresos_min_fila,COLUMN()) &amp; ":" &amp; ADDRESS(Ingresos_max_fila,COLUMN())))</f>
        <v>0</v>
      </c>
      <c r="AA20" s="26" cm="1">
        <f t="array" aca="1" ref="AA20" ca="1">SUM(INDIRECT(ADDRESS(Ingresos_min_fila,COLUMN()) &amp; ":" &amp; ADDRESS(Ingresos_max_fila,COLUMN())))</f>
        <v>0</v>
      </c>
      <c r="AB20" s="26" cm="1">
        <f t="array" aca="1" ref="AB20" ca="1">SUM(INDIRECT(ADDRESS(Ingresos_min_fila,COLUMN()) &amp; ":" &amp; ADDRESS(Ingresos_max_fila,COLUMN())))</f>
        <v>0</v>
      </c>
      <c r="AC20" s="26" cm="1">
        <f t="array" aca="1" ref="AC20" ca="1">SUM(INDIRECT(ADDRESS(Ingresos_min_fila,COLUMN()) &amp; ":" &amp; ADDRESS(Ingresos_max_fila,COLUMN())))</f>
        <v>0</v>
      </c>
      <c r="AD20" s="26" cm="1">
        <f t="array" aca="1" ref="AD20" ca="1">SUM(INDIRECT(ADDRESS(Ingresos_min_fila,COLUMN()) &amp; ":" &amp; ADDRESS(Ingresos_max_fila,COLUMN())))</f>
        <v>0</v>
      </c>
      <c r="AE20" s="26" cm="1">
        <f t="array" aca="1" ref="AE20" ca="1">SUM(INDIRECT(ADDRESS(Ingresos_min_fila,COLUMN()) &amp; ":" &amp; ADDRESS(Ingresos_max_fila,COLUMN())))</f>
        <v>0</v>
      </c>
      <c r="AG20" s="26" cm="1">
        <f t="array" aca="1" ref="AG20" ca="1">SUM(INDIRECT(ADDRESS(Ingresos_min_fila,COLUMN()) &amp; ":" &amp; ADDRESS(Ingresos_max_fila,COLUMN())))</f>
        <v>0</v>
      </c>
      <c r="AH20" s="26" cm="1">
        <f t="array" aca="1" ref="AH20" ca="1">SUM(INDIRECT(ADDRESS(Ingresos_min_fila,COLUMN()) &amp; ":" &amp; ADDRESS(Ingresos_max_fila,COLUMN())))</f>
        <v>0</v>
      </c>
      <c r="AI20" s="26" cm="1">
        <f t="array" aca="1" ref="AI20" ca="1">SUM(INDIRECT(ADDRESS(Ingresos_min_fila,COLUMN()) &amp; ":" &amp; ADDRESS(Ingresos_max_fila,COLUMN())))</f>
        <v>0</v>
      </c>
      <c r="AJ20" s="26" cm="1">
        <f t="array" aca="1" ref="AJ20" ca="1">SUM(INDIRECT(ADDRESS(Ingresos_min_fila,COLUMN()) &amp; ":" &amp; ADDRESS(Ingresos_max_fila,COLUMN())))</f>
        <v>0</v>
      </c>
      <c r="AK20" s="26" cm="1">
        <f t="array" aca="1" ref="AK20" ca="1">SUM(INDIRECT(ADDRESS(Ingresos_min_fila,COLUMN()) &amp; ":" &amp; ADDRESS(Ingresos_max_fila,COLUMN())))</f>
        <v>0</v>
      </c>
      <c r="AL20" s="26" cm="1">
        <f t="array" aca="1" ref="AL20" ca="1">SUM(INDIRECT(ADDRESS(Ingresos_min_fila,COLUMN()) &amp; ":" &amp; ADDRESS(Ingresos_max_fila,COLUMN())))</f>
        <v>0</v>
      </c>
      <c r="AM20" s="26" cm="1">
        <f t="array" aca="1" ref="AM20" ca="1">SUM(INDIRECT(ADDRESS(Ingresos_min_fila,COLUMN()) &amp; ":" &amp; ADDRESS(Ingresos_max_fila,COLUMN())))</f>
        <v>0</v>
      </c>
      <c r="AN20" s="26" cm="1">
        <f t="array" aca="1" ref="AN20" ca="1">SUM(INDIRECT(ADDRESS(Ingresos_min_fila,COLUMN()) &amp; ":" &amp; ADDRESS(Ingresos_max_fila,COLUMN())))</f>
        <v>0</v>
      </c>
      <c r="AO20" s="26" cm="1">
        <f t="array" aca="1" ref="AO20" ca="1">SUM(INDIRECT(ADDRESS(Ingresos_min_fila,COLUMN()) &amp; ":" &amp; ADDRESS(Ingresos_max_fila,COLUMN())))</f>
        <v>0</v>
      </c>
      <c r="AP20" s="26" cm="1">
        <f t="array" aca="1" ref="AP20" ca="1">SUM(INDIRECT(ADDRESS(Ingresos_min_fila,COLUMN()) &amp; ":" &amp; ADDRESS(Ingresos_max_fila,COLUMN())))</f>
        <v>0</v>
      </c>
      <c r="AQ20" s="26" cm="1">
        <f t="array" aca="1" ref="AQ20" ca="1">SUM(INDIRECT(ADDRESS(Ingresos_min_fila,COLUMN()) &amp; ":" &amp; ADDRESS(Ingresos_max_fila,COLUMN())))</f>
        <v>0</v>
      </c>
      <c r="AR20" s="26" cm="1">
        <f t="array" aca="1" ref="AR20" ca="1">SUM(INDIRECT(ADDRESS(Ingresos_min_fila,COLUMN()) &amp; ":" &amp; ADDRESS(Ingresos_max_fila,COLUMN())))</f>
        <v>0</v>
      </c>
      <c r="AS20" s="26" cm="1">
        <f t="array" aca="1" ref="AS20" ca="1">SUM(INDIRECT(ADDRESS(Ingresos_min_fila,COLUMN()) &amp; ":" &amp; ADDRESS(Ingresos_max_fila,COLUMN())))</f>
        <v>0</v>
      </c>
      <c r="AU20" s="26" cm="1">
        <f t="array" aca="1" ref="AU20" ca="1">SUM(INDIRECT(ADDRESS(Ingresos_min_fila,COLUMN()) &amp; ":" &amp; ADDRESS(Ingresos_max_fila,COLUMN())))</f>
        <v>0</v>
      </c>
      <c r="AV20" s="26" cm="1">
        <f t="array" aca="1" ref="AV20" ca="1">SUM(INDIRECT(ADDRESS(Ingresos_min_fila,COLUMN()) &amp; ":" &amp; ADDRESS(Ingresos_max_fila,COLUMN())))</f>
        <v>0</v>
      </c>
      <c r="AW20" s="26" cm="1">
        <f t="array" aca="1" ref="AW20" ca="1">SUM(INDIRECT(ADDRESS(Ingresos_min_fila,COLUMN()) &amp; ":" &amp; ADDRESS(Ingresos_max_fila,COLUMN())))</f>
        <v>0</v>
      </c>
      <c r="AX20" s="26" cm="1">
        <f t="array" aca="1" ref="AX20" ca="1">SUM(INDIRECT(ADDRESS(Ingresos_min_fila,COLUMN()) &amp; ":" &amp; ADDRESS(Ingresos_max_fila,COLUMN())))</f>
        <v>0</v>
      </c>
      <c r="AY20" s="26" cm="1">
        <f t="array" aca="1" ref="AY20" ca="1">SUM(INDIRECT(ADDRESS(Ingresos_min_fila,COLUMN()) &amp; ":" &amp; ADDRESS(Ingresos_max_fila,COLUMN())))</f>
        <v>0</v>
      </c>
      <c r="AZ20" s="26" cm="1">
        <f t="array" aca="1" ref="AZ20" ca="1">SUM(INDIRECT(ADDRESS(Ingresos_min_fila,COLUMN()) &amp; ":" &amp; ADDRESS(Ingresos_max_fila,COLUMN())))</f>
        <v>0</v>
      </c>
      <c r="BA20" s="26" cm="1">
        <f t="array" aca="1" ref="BA20" ca="1">SUM(INDIRECT(ADDRESS(Ingresos_min_fila,COLUMN()) &amp; ":" &amp; ADDRESS(Ingresos_max_fila,COLUMN())))</f>
        <v>0</v>
      </c>
      <c r="BB20" s="26" cm="1">
        <f t="array" aca="1" ref="BB20" ca="1">SUM(INDIRECT(ADDRESS(Ingresos_min_fila,COLUMN()) &amp; ":" &amp; ADDRESS(Ingresos_max_fila,COLUMN())))</f>
        <v>0</v>
      </c>
      <c r="BC20" s="26" cm="1">
        <f t="array" aca="1" ref="BC20" ca="1">SUM(INDIRECT(ADDRESS(Ingresos_min_fila,COLUMN()) &amp; ":" &amp; ADDRESS(Ingresos_max_fila,COLUMN())))</f>
        <v>0</v>
      </c>
      <c r="BD20" s="26" cm="1">
        <f t="array" aca="1" ref="BD20" ca="1">SUM(INDIRECT(ADDRESS(Ingresos_min_fila,COLUMN()) &amp; ":" &amp; ADDRESS(Ingresos_max_fila,COLUMN())))</f>
        <v>0</v>
      </c>
      <c r="BE20" s="26" cm="1">
        <f t="array" aca="1" ref="BE20" ca="1">SUM(INDIRECT(ADDRESS(Ingresos_min_fila,COLUMN()) &amp; ":" &amp; ADDRESS(Ingresos_max_fila,COLUMN())))</f>
        <v>0</v>
      </c>
      <c r="BF20" s="26" cm="1">
        <f t="array" aca="1" ref="BF20" ca="1">SUM(INDIRECT(ADDRESS(Ingresos_min_fila,COLUMN()) &amp; ":" &amp; ADDRESS(Ingresos_max_fila,COLUMN())))</f>
        <v>0</v>
      </c>
      <c r="BG20" s="26" cm="1">
        <f t="array" aca="1" ref="BG20" ca="1">SUM(INDIRECT(ADDRESS(Ingresos_min_fila,COLUMN()) &amp; ":" &amp; ADDRESS(Ingresos_max_fila,COLUMN())))</f>
        <v>0</v>
      </c>
      <c r="BI20" s="26" cm="1">
        <f t="array" aca="1" ref="BI20" ca="1">SUM(INDIRECT(ADDRESS(Ingresos_min_fila,COLUMN()) &amp; ":" &amp; ADDRESS(Ingresos_max_fila,COLUMN())))</f>
        <v>0</v>
      </c>
      <c r="BJ20" s="26" cm="1">
        <f t="array" aca="1" ref="BJ20" ca="1">SUM(INDIRECT(ADDRESS(Ingresos_min_fila,COLUMN()) &amp; ":" &amp; ADDRESS(Ingresos_max_fila,COLUMN())))</f>
        <v>0</v>
      </c>
      <c r="BK20" s="26" cm="1">
        <f t="array" aca="1" ref="BK20" ca="1">SUM(INDIRECT(ADDRESS(Ingresos_min_fila,COLUMN()) &amp; ":" &amp; ADDRESS(Ingresos_max_fila,COLUMN())))</f>
        <v>0</v>
      </c>
      <c r="BL20" s="26" cm="1">
        <f t="array" aca="1" ref="BL20" ca="1">SUM(INDIRECT(ADDRESS(Ingresos_min_fila,COLUMN()) &amp; ":" &amp; ADDRESS(Ingresos_max_fila,COLUMN())))</f>
        <v>0</v>
      </c>
      <c r="BM20" s="26" cm="1">
        <f t="array" aca="1" ref="BM20" ca="1">SUM(INDIRECT(ADDRESS(Ingresos_min_fila,COLUMN()) &amp; ":" &amp; ADDRESS(Ingresos_max_fila,COLUMN())))</f>
        <v>0</v>
      </c>
      <c r="BN20" s="26" cm="1">
        <f t="array" aca="1" ref="BN20" ca="1">SUM(INDIRECT(ADDRESS(Ingresos_min_fila,COLUMN()) &amp; ":" &amp; ADDRESS(Ingresos_max_fila,COLUMN())))</f>
        <v>0</v>
      </c>
      <c r="BO20" s="26" cm="1">
        <f t="array" aca="1" ref="BO20" ca="1">SUM(INDIRECT(ADDRESS(Ingresos_min_fila,COLUMN()) &amp; ":" &amp; ADDRESS(Ingresos_max_fila,COLUMN())))</f>
        <v>0</v>
      </c>
      <c r="BP20" s="26" cm="1">
        <f t="array" aca="1" ref="BP20" ca="1">SUM(INDIRECT(ADDRESS(Ingresos_min_fila,COLUMN()) &amp; ":" &amp; ADDRESS(Ingresos_max_fila,COLUMN())))</f>
        <v>0</v>
      </c>
      <c r="BQ20" s="26" cm="1">
        <f t="array" aca="1" ref="BQ20" ca="1">SUM(INDIRECT(ADDRESS(Ingresos_min_fila,COLUMN()) &amp; ":" &amp; ADDRESS(Ingresos_max_fila,COLUMN())))</f>
        <v>0</v>
      </c>
      <c r="BR20" s="26" cm="1">
        <f t="array" aca="1" ref="BR20" ca="1">SUM(INDIRECT(ADDRESS(Ingresos_min_fila,COLUMN()) &amp; ":" &amp; ADDRESS(Ingresos_max_fila,COLUMN())))</f>
        <v>0</v>
      </c>
      <c r="BS20" s="26" cm="1">
        <f t="array" aca="1" ref="BS20" ca="1">SUM(INDIRECT(ADDRESS(Ingresos_min_fila,COLUMN()) &amp; ":" &amp; ADDRESS(Ingresos_max_fila,COLUMN())))</f>
        <v>0</v>
      </c>
      <c r="BT20" s="26" cm="1">
        <f t="array" aca="1" ref="BT20" ca="1">SUM(INDIRECT(ADDRESS(Ingresos_min_fila,COLUMN()) &amp; ":" &amp; ADDRESS(Ingresos_max_fila,COLUMN())))</f>
        <v>0</v>
      </c>
      <c r="BU20" s="26" cm="1">
        <f t="array" aca="1" ref="BU20" ca="1">SUM(INDIRECT(ADDRESS(Ingresos_min_fila,COLUMN()) &amp; ":" &amp; ADDRESS(Ingresos_max_fila,COLUMN())))</f>
        <v>0</v>
      </c>
      <c r="BW20" s="26" cm="1">
        <f t="array" aca="1" ref="BW20" ca="1">SUM(INDIRECT(ADDRESS(Ingresos_min_fila,COLUMN()) &amp; ":" &amp; ADDRESS(Ingresos_max_fila,COLUMN())))</f>
        <v>0</v>
      </c>
      <c r="BX20" s="26" cm="1">
        <f t="array" aca="1" ref="BX20" ca="1">SUM(INDIRECT(ADDRESS(Ingresos_min_fila,COLUMN()) &amp; ":" &amp; ADDRESS(Ingresos_max_fila,COLUMN())))</f>
        <v>0</v>
      </c>
      <c r="BY20" s="26" cm="1">
        <f t="array" aca="1" ref="BY20" ca="1">SUM(INDIRECT(ADDRESS(Ingresos_min_fila,COLUMN()) &amp; ":" &amp; ADDRESS(Ingresos_max_fila,COLUMN())))</f>
        <v>0</v>
      </c>
      <c r="BZ20" s="26" cm="1">
        <f t="array" aca="1" ref="BZ20" ca="1">SUM(INDIRECT(ADDRESS(Ingresos_min_fila,COLUMN()) &amp; ":" &amp; ADDRESS(Ingresos_max_fila,COLUMN())))</f>
        <v>0</v>
      </c>
      <c r="CA20" s="26" cm="1">
        <f t="array" aca="1" ref="CA20" ca="1">SUM(INDIRECT(ADDRESS(Ingresos_min_fila,COLUMN()) &amp; ":" &amp; ADDRESS(Ingresos_max_fila,COLUMN())))</f>
        <v>0</v>
      </c>
      <c r="CB20" s="26" cm="1">
        <f t="array" aca="1" ref="CB20" ca="1">SUM(INDIRECT(ADDRESS(Ingresos_min_fila,COLUMN()) &amp; ":" &amp; ADDRESS(Ingresos_max_fila,COLUMN())))</f>
        <v>0</v>
      </c>
      <c r="CC20" s="26" cm="1">
        <f t="array" aca="1" ref="CC20" ca="1">SUM(INDIRECT(ADDRESS(Ingresos_min_fila,COLUMN()) &amp; ":" &amp; ADDRESS(Ingresos_max_fila,COLUMN())))</f>
        <v>0</v>
      </c>
      <c r="CD20" s="26" cm="1">
        <f t="array" aca="1" ref="CD20" ca="1">SUM(INDIRECT(ADDRESS(Ingresos_min_fila,COLUMN()) &amp; ":" &amp; ADDRESS(Ingresos_max_fila,COLUMN())))</f>
        <v>0</v>
      </c>
      <c r="CE20" s="26" cm="1">
        <f t="array" aca="1" ref="CE20" ca="1">SUM(INDIRECT(ADDRESS(Ingresos_min_fila,COLUMN()) &amp; ":" &amp; ADDRESS(Ingresos_max_fila,COLUMN())))</f>
        <v>0</v>
      </c>
      <c r="CF20" s="26" cm="1">
        <f t="array" aca="1" ref="CF20" ca="1">SUM(INDIRECT(ADDRESS(Ingresos_min_fila,COLUMN()) &amp; ":" &amp; ADDRESS(Ingresos_max_fila,COLUMN())))</f>
        <v>0</v>
      </c>
      <c r="CG20" s="26" cm="1">
        <f t="array" aca="1" ref="CG20" ca="1">SUM(INDIRECT(ADDRESS(Ingresos_min_fila,COLUMN()) &amp; ":" &amp; ADDRESS(Ingresos_max_fila,COLUMN())))</f>
        <v>0</v>
      </c>
      <c r="CH20" s="26" cm="1">
        <f t="array" aca="1" ref="CH20" ca="1">SUM(INDIRECT(ADDRESS(Ingresos_min_fila,COLUMN()) &amp; ":" &amp; ADDRESS(Ingresos_max_fila,COLUMN())))</f>
        <v>0</v>
      </c>
      <c r="CI20" s="26" cm="1">
        <f t="array" aca="1" ref="CI20" ca="1">SUM(INDIRECT(ADDRESS(Ingresos_min_fila,COLUMN()) &amp; ":" &amp; ADDRESS(Ingresos_max_fila,COLUMN())))</f>
        <v>0</v>
      </c>
      <c r="CK20" s="26" cm="1">
        <f t="array" aca="1" ref="CK20" ca="1">SUM(INDIRECT(ADDRESS(Ingresos_min_fila,COLUMN()) &amp; ":" &amp; ADDRESS(Ingresos_max_fila,COLUMN())))</f>
        <v>0</v>
      </c>
      <c r="CL20" s="26" cm="1">
        <f t="array" aca="1" ref="CL20" ca="1">SUM(INDIRECT(ADDRESS(Ingresos_min_fila,COLUMN()) &amp; ":" &amp; ADDRESS(Ingresos_max_fila,COLUMN())))</f>
        <v>0</v>
      </c>
      <c r="CM20" s="26" cm="1">
        <f t="array" aca="1" ref="CM20" ca="1">SUM(INDIRECT(ADDRESS(Ingresos_min_fila,COLUMN()) &amp; ":" &amp; ADDRESS(Ingresos_max_fila,COLUMN())))</f>
        <v>0</v>
      </c>
      <c r="CN20" s="26" cm="1">
        <f t="array" aca="1" ref="CN20" ca="1">SUM(INDIRECT(ADDRESS(Ingresos_min_fila,COLUMN()) &amp; ":" &amp; ADDRESS(Ingresos_max_fila,COLUMN())))</f>
        <v>0</v>
      </c>
      <c r="CO20" s="26" cm="1">
        <f t="array" aca="1" ref="CO20" ca="1">SUM(INDIRECT(ADDRESS(Ingresos_min_fila,COLUMN()) &amp; ":" &amp; ADDRESS(Ingresos_max_fila,COLUMN())))</f>
        <v>0</v>
      </c>
      <c r="CP20" s="26" cm="1">
        <f t="array" aca="1" ref="CP20" ca="1">SUM(INDIRECT(ADDRESS(Ingresos_min_fila,COLUMN()) &amp; ":" &amp; ADDRESS(Ingresos_max_fila,COLUMN())))</f>
        <v>0</v>
      </c>
      <c r="CQ20" s="26" cm="1">
        <f t="array" aca="1" ref="CQ20" ca="1">SUM(INDIRECT(ADDRESS(Ingresos_min_fila,COLUMN()) &amp; ":" &amp; ADDRESS(Ingresos_max_fila,COLUMN())))</f>
        <v>0</v>
      </c>
      <c r="CR20" s="26" cm="1">
        <f t="array" aca="1" ref="CR20" ca="1">SUM(INDIRECT(ADDRESS(Ingresos_min_fila,COLUMN()) &amp; ":" &amp; ADDRESS(Ingresos_max_fila,COLUMN())))</f>
        <v>0</v>
      </c>
      <c r="CS20" s="26" cm="1">
        <f t="array" aca="1" ref="CS20" ca="1">SUM(INDIRECT(ADDRESS(Ingresos_min_fila,COLUMN()) &amp; ":" &amp; ADDRESS(Ingresos_max_fila,COLUMN())))</f>
        <v>0</v>
      </c>
      <c r="CT20" s="26" cm="1">
        <f t="array" aca="1" ref="CT20" ca="1">SUM(INDIRECT(ADDRESS(Ingresos_min_fila,COLUMN()) &amp; ":" &amp; ADDRESS(Ingresos_max_fila,COLUMN())))</f>
        <v>0</v>
      </c>
      <c r="CU20" s="26" cm="1">
        <f t="array" aca="1" ref="CU20" ca="1">SUM(INDIRECT(ADDRESS(Ingresos_min_fila,COLUMN()) &amp; ":" &amp; ADDRESS(Ingresos_max_fila,COLUMN())))</f>
        <v>0</v>
      </c>
      <c r="CV20" s="26" cm="1">
        <f t="array" aca="1" ref="CV20" ca="1">SUM(INDIRECT(ADDRESS(Ingresos_min_fila,COLUMN()) &amp; ":" &amp; ADDRESS(Ingresos_max_fila,COLUMN())))</f>
        <v>0</v>
      </c>
      <c r="CW20" s="26" cm="1">
        <f t="array" aca="1" ref="CW20" ca="1">SUM(INDIRECT(ADDRESS(Ingresos_min_fila,COLUMN()) &amp; ":" &amp; ADDRESS(Ingresos_max_fila,COLUMN())))</f>
        <v>0</v>
      </c>
      <c r="CY20" s="26" cm="1">
        <f t="array" aca="1" ref="CY20" ca="1">SUM(INDIRECT(ADDRESS(Ingresos_min_fila,COLUMN()) &amp; ":" &amp; ADDRESS(Ingresos_max_fila,COLUMN())))</f>
        <v>0</v>
      </c>
      <c r="CZ20" s="26" cm="1">
        <f t="array" aca="1" ref="CZ20" ca="1">SUM(INDIRECT(ADDRESS(Ingresos_min_fila,COLUMN()) &amp; ":" &amp; ADDRESS(Ingresos_max_fila,COLUMN())))</f>
        <v>0</v>
      </c>
      <c r="DA20" s="26" cm="1">
        <f t="array" aca="1" ref="DA20" ca="1">SUM(INDIRECT(ADDRESS(Ingresos_min_fila,COLUMN()) &amp; ":" &amp; ADDRESS(Ingresos_max_fila,COLUMN())))</f>
        <v>0</v>
      </c>
      <c r="DB20" s="26" cm="1">
        <f t="array" aca="1" ref="DB20" ca="1">SUM(INDIRECT(ADDRESS(Ingresos_min_fila,COLUMN()) &amp; ":" &amp; ADDRESS(Ingresos_max_fila,COLUMN())))</f>
        <v>0</v>
      </c>
      <c r="DC20" s="26" cm="1">
        <f t="array" aca="1" ref="DC20" ca="1">SUM(INDIRECT(ADDRESS(Ingresos_min_fila,COLUMN()) &amp; ":" &amp; ADDRESS(Ingresos_max_fila,COLUMN())))</f>
        <v>0</v>
      </c>
      <c r="DD20" s="26" cm="1">
        <f t="array" aca="1" ref="DD20" ca="1">SUM(INDIRECT(ADDRESS(Ingresos_min_fila,COLUMN()) &amp; ":" &amp; ADDRESS(Ingresos_max_fila,COLUMN())))</f>
        <v>0</v>
      </c>
      <c r="DE20" s="26" cm="1">
        <f t="array" aca="1" ref="DE20" ca="1">SUM(INDIRECT(ADDRESS(Ingresos_min_fila,COLUMN()) &amp; ":" &amp; ADDRESS(Ingresos_max_fila,COLUMN())))</f>
        <v>0</v>
      </c>
      <c r="DF20" s="26" cm="1">
        <f t="array" aca="1" ref="DF20" ca="1">SUM(INDIRECT(ADDRESS(Ingresos_min_fila,COLUMN()) &amp; ":" &amp; ADDRESS(Ingresos_max_fila,COLUMN())))</f>
        <v>0</v>
      </c>
      <c r="DG20" s="26" cm="1">
        <f t="array" aca="1" ref="DG20" ca="1">SUM(INDIRECT(ADDRESS(Ingresos_min_fila,COLUMN()) &amp; ":" &amp; ADDRESS(Ingresos_max_fila,COLUMN())))</f>
        <v>0</v>
      </c>
      <c r="DH20" s="26" cm="1">
        <f t="array" aca="1" ref="DH20" ca="1">SUM(INDIRECT(ADDRESS(Ingresos_min_fila,COLUMN()) &amp; ":" &amp; ADDRESS(Ingresos_max_fila,COLUMN())))</f>
        <v>0</v>
      </c>
      <c r="DI20" s="26" cm="1">
        <f t="array" aca="1" ref="DI20" ca="1">SUM(INDIRECT(ADDRESS(Ingresos_min_fila,COLUMN()) &amp; ":" &amp; ADDRESS(Ingresos_max_fila,COLUMN())))</f>
        <v>0</v>
      </c>
      <c r="DJ20" s="26" cm="1">
        <f t="array" aca="1" ref="DJ20" ca="1">SUM(INDIRECT(ADDRESS(Ingresos_min_fila,COLUMN()) &amp; ":" &amp; ADDRESS(Ingresos_max_fila,COLUMN())))</f>
        <v>0</v>
      </c>
      <c r="DK20" s="26" cm="1">
        <f t="array" aca="1" ref="DK20" ca="1">SUM(INDIRECT(ADDRESS(Ingresos_min_fila,COLUMN()) &amp; ":" &amp; ADDRESS(Ingresos_max_fila,COLUMN())))</f>
        <v>0</v>
      </c>
      <c r="DM20" s="26" cm="1">
        <f t="array" aca="1" ref="DM20" ca="1">SUM(INDIRECT(ADDRESS(Ingresos_min_fila,COLUMN()) &amp; ":" &amp; ADDRESS(Ingresos_max_fila,COLUMN())))</f>
        <v>0</v>
      </c>
      <c r="DN20" s="26" cm="1">
        <f t="array" aca="1" ref="DN20" ca="1">SUM(INDIRECT(ADDRESS(Ingresos_min_fila,COLUMN()) &amp; ":" &amp; ADDRESS(Ingresos_max_fila,COLUMN())))</f>
        <v>0</v>
      </c>
      <c r="DO20" s="26" cm="1">
        <f t="array" aca="1" ref="DO20" ca="1">SUM(INDIRECT(ADDRESS(Ingresos_min_fila,COLUMN()) &amp; ":" &amp; ADDRESS(Ingresos_max_fila,COLUMN())))</f>
        <v>0</v>
      </c>
      <c r="DP20" s="26" cm="1">
        <f t="array" aca="1" ref="DP20" ca="1">SUM(INDIRECT(ADDRESS(Ingresos_min_fila,COLUMN()) &amp; ":" &amp; ADDRESS(Ingresos_max_fila,COLUMN())))</f>
        <v>0</v>
      </c>
      <c r="DQ20" s="26" cm="1">
        <f t="array" aca="1" ref="DQ20" ca="1">SUM(INDIRECT(ADDRESS(Ingresos_min_fila,COLUMN()) &amp; ":" &amp; ADDRESS(Ingresos_max_fila,COLUMN())))</f>
        <v>0</v>
      </c>
      <c r="DR20" s="26" cm="1">
        <f t="array" aca="1" ref="DR20" ca="1">SUM(INDIRECT(ADDRESS(Ingresos_min_fila,COLUMN()) &amp; ":" &amp; ADDRESS(Ingresos_max_fila,COLUMN())))</f>
        <v>0</v>
      </c>
      <c r="DS20" s="26" cm="1">
        <f t="array" aca="1" ref="DS20" ca="1">SUM(INDIRECT(ADDRESS(Ingresos_min_fila,COLUMN()) &amp; ":" &amp; ADDRESS(Ingresos_max_fila,COLUMN())))</f>
        <v>0</v>
      </c>
      <c r="DT20" s="26" cm="1">
        <f t="array" aca="1" ref="DT20" ca="1">SUM(INDIRECT(ADDRESS(Ingresos_min_fila,COLUMN()) &amp; ":" &amp; ADDRESS(Ingresos_max_fila,COLUMN())))</f>
        <v>0</v>
      </c>
      <c r="DU20" s="26" cm="1">
        <f t="array" aca="1" ref="DU20" ca="1">SUM(INDIRECT(ADDRESS(Ingresos_min_fila,COLUMN()) &amp; ":" &amp; ADDRESS(Ingresos_max_fila,COLUMN())))</f>
        <v>0</v>
      </c>
      <c r="DV20" s="26" cm="1">
        <f t="array" aca="1" ref="DV20" ca="1">SUM(INDIRECT(ADDRESS(Ingresos_min_fila,COLUMN()) &amp; ":" &amp; ADDRESS(Ingresos_max_fila,COLUMN())))</f>
        <v>0</v>
      </c>
      <c r="DW20" s="26" cm="1">
        <f t="array" aca="1" ref="DW20" ca="1">SUM(INDIRECT(ADDRESS(Ingresos_min_fila,COLUMN()) &amp; ":" &amp; ADDRESS(Ingresos_max_fila,COLUMN())))</f>
        <v>0</v>
      </c>
      <c r="DX20" s="26" cm="1">
        <f t="array" aca="1" ref="DX20" ca="1">SUM(INDIRECT(ADDRESS(Ingresos_min_fila,COLUMN()) &amp; ":" &amp; ADDRESS(Ingresos_max_fila,COLUMN())))</f>
        <v>0</v>
      </c>
      <c r="DY20" s="26" cm="1">
        <f t="array" aca="1" ref="DY20" ca="1">SUM(INDIRECT(ADDRESS(Ingresos_min_fila,COLUMN()) &amp; ":" &amp; ADDRESS(Ingresos_max_fila,COLUMN())))</f>
        <v>0</v>
      </c>
      <c r="EA20" s="26" cm="1">
        <f t="array" aca="1" ref="EA20" ca="1">SUM(INDIRECT(ADDRESS(Ingresos_min_fila,COLUMN()) &amp; ":" &amp; ADDRESS(Ingresos_max_fila,COLUMN())))</f>
        <v>0</v>
      </c>
      <c r="EB20" s="26" cm="1">
        <f t="array" aca="1" ref="EB20" ca="1">SUM(INDIRECT(ADDRESS(Ingresos_min_fila,COLUMN()) &amp; ":" &amp; ADDRESS(Ingresos_max_fila,COLUMN())))</f>
        <v>0</v>
      </c>
      <c r="EC20" s="26" cm="1">
        <f t="array" aca="1" ref="EC20" ca="1">SUM(INDIRECT(ADDRESS(Ingresos_min_fila,COLUMN()) &amp; ":" &amp; ADDRESS(Ingresos_max_fila,COLUMN())))</f>
        <v>0</v>
      </c>
      <c r="ED20" s="26" cm="1">
        <f t="array" aca="1" ref="ED20" ca="1">SUM(INDIRECT(ADDRESS(Ingresos_min_fila,COLUMN()) &amp; ":" &amp; ADDRESS(Ingresos_max_fila,COLUMN())))</f>
        <v>0</v>
      </c>
      <c r="EE20" s="26" cm="1">
        <f t="array" aca="1" ref="EE20" ca="1">SUM(INDIRECT(ADDRESS(Ingresos_min_fila,COLUMN()) &amp; ":" &amp; ADDRESS(Ingresos_max_fila,COLUMN())))</f>
        <v>0</v>
      </c>
      <c r="EF20" s="26" cm="1">
        <f t="array" aca="1" ref="EF20" ca="1">SUM(INDIRECT(ADDRESS(Ingresos_min_fila,COLUMN()) &amp; ":" &amp; ADDRESS(Ingresos_max_fila,COLUMN())))</f>
        <v>0</v>
      </c>
      <c r="EG20" s="26" cm="1">
        <f t="array" aca="1" ref="EG20" ca="1">SUM(INDIRECT(ADDRESS(Ingresos_min_fila,COLUMN()) &amp; ":" &amp; ADDRESS(Ingresos_max_fila,COLUMN())))</f>
        <v>0</v>
      </c>
      <c r="EH20" s="26" cm="1">
        <f t="array" aca="1" ref="EH20" ca="1">SUM(INDIRECT(ADDRESS(Ingresos_min_fila,COLUMN()) &amp; ":" &amp; ADDRESS(Ingresos_max_fila,COLUMN())))</f>
        <v>0</v>
      </c>
      <c r="EI20" s="26" cm="1">
        <f t="array" aca="1" ref="EI20" ca="1">SUM(INDIRECT(ADDRESS(Ingresos_min_fila,COLUMN()) &amp; ":" &amp; ADDRESS(Ingresos_max_fila,COLUMN())))</f>
        <v>0</v>
      </c>
      <c r="EJ20" s="26" cm="1">
        <f t="array" aca="1" ref="EJ20" ca="1">SUM(INDIRECT(ADDRESS(Ingresos_min_fila,COLUMN()) &amp; ":" &amp; ADDRESS(Ingresos_max_fila,COLUMN())))</f>
        <v>0</v>
      </c>
      <c r="EK20" s="26" cm="1">
        <f t="array" aca="1" ref="EK20" ca="1">SUM(INDIRECT(ADDRESS(Ingresos_min_fila,COLUMN()) &amp; ":" &amp; ADDRESS(Ingresos_max_fila,COLUMN())))</f>
        <v>0</v>
      </c>
      <c r="EL20" s="26" cm="1">
        <f t="array" aca="1" ref="EL20" ca="1">SUM(INDIRECT(ADDRESS(Ingresos_min_fila,COLUMN()) &amp; ":" &amp; ADDRESS(Ingresos_max_fila,COLUMN())))</f>
        <v>0</v>
      </c>
      <c r="EM20" s="26" cm="1">
        <f t="array" aca="1" ref="EM20" ca="1">SUM(INDIRECT(ADDRESS(Ingresos_min_fila,COLUMN()) &amp; ":" &amp; ADDRESS(Ingresos_max_fila,COLUMN())))</f>
        <v>0</v>
      </c>
      <c r="EO20" s="26" cm="1">
        <f t="array" aca="1" ref="EO20" ca="1">SUM(INDIRECT(ADDRESS(Ingresos_min_fila,COLUMN()) &amp; ":" &amp; ADDRESS(Ingresos_max_fila,COLUMN())))</f>
        <v>0</v>
      </c>
      <c r="EP20" s="26" cm="1">
        <f t="array" aca="1" ref="EP20" ca="1">SUM(INDIRECT(ADDRESS(Ingresos_min_fila,COLUMN()) &amp; ":" &amp; ADDRESS(Ingresos_max_fila,COLUMN())))</f>
        <v>0</v>
      </c>
      <c r="EQ20" s="26" cm="1">
        <f t="array" aca="1" ref="EQ20" ca="1">SUM(INDIRECT(ADDRESS(Ingresos_min_fila,COLUMN()) &amp; ":" &amp; ADDRESS(Ingresos_max_fila,COLUMN())))</f>
        <v>0</v>
      </c>
      <c r="ER20" s="26" cm="1">
        <f t="array" aca="1" ref="ER20" ca="1">SUM(INDIRECT(ADDRESS(Ingresos_min_fila,COLUMN()) &amp; ":" &amp; ADDRESS(Ingresos_max_fila,COLUMN())))</f>
        <v>0</v>
      </c>
      <c r="ES20" s="26" cm="1">
        <f t="array" aca="1" ref="ES20" ca="1">SUM(INDIRECT(ADDRESS(Ingresos_min_fila,COLUMN()) &amp; ":" &amp; ADDRESS(Ingresos_max_fila,COLUMN())))</f>
        <v>0</v>
      </c>
      <c r="ET20" s="26" cm="1">
        <f t="array" aca="1" ref="ET20" ca="1">SUM(INDIRECT(ADDRESS(Ingresos_min_fila,COLUMN()) &amp; ":" &amp; ADDRESS(Ingresos_max_fila,COLUMN())))</f>
        <v>0</v>
      </c>
      <c r="EU20" s="26" cm="1">
        <f t="array" aca="1" ref="EU20" ca="1">SUM(INDIRECT(ADDRESS(Ingresos_min_fila,COLUMN()) &amp; ":" &amp; ADDRESS(Ingresos_max_fila,COLUMN())))</f>
        <v>0</v>
      </c>
      <c r="EV20" s="26" cm="1">
        <f t="array" aca="1" ref="EV20" ca="1">SUM(INDIRECT(ADDRESS(Ingresos_min_fila,COLUMN()) &amp; ":" &amp; ADDRESS(Ingresos_max_fila,COLUMN())))</f>
        <v>0</v>
      </c>
      <c r="EW20" s="26" cm="1">
        <f t="array" aca="1" ref="EW20" ca="1">SUM(INDIRECT(ADDRESS(Ingresos_min_fila,COLUMN()) &amp; ":" &amp; ADDRESS(Ingresos_max_fila,COLUMN())))</f>
        <v>0</v>
      </c>
      <c r="EX20" s="26" cm="1">
        <f t="array" aca="1" ref="EX20" ca="1">SUM(INDIRECT(ADDRESS(Ingresos_min_fila,COLUMN()) &amp; ":" &amp; ADDRESS(Ingresos_max_fila,COLUMN())))</f>
        <v>0</v>
      </c>
      <c r="EY20" s="26" cm="1">
        <f t="array" aca="1" ref="EY20" ca="1">SUM(INDIRECT(ADDRESS(Ingresos_min_fila,COLUMN()) &amp; ":" &amp; ADDRESS(Ingresos_max_fila,COLUMN())))</f>
        <v>0</v>
      </c>
      <c r="EZ20" s="26" cm="1">
        <f t="array" aca="1" ref="EZ20" ca="1">SUM(INDIRECT(ADDRESS(Ingresos_min_fila,COLUMN()) &amp; ":" &amp; ADDRESS(Ingresos_max_fila,COLUMN())))</f>
        <v>0</v>
      </c>
      <c r="FA20" s="26" cm="1">
        <f t="array" aca="1" ref="FA20" ca="1">SUM(INDIRECT(ADDRESS(Ingresos_min_fila,COLUMN()) &amp; ":" &amp; ADDRESS(Ingresos_max_fila,COLUMN())))</f>
        <v>0</v>
      </c>
    </row>
    <row r="22" spans="3:157" x14ac:dyDescent="0.3">
      <c r="C22" s="27" t="s">
        <v>10</v>
      </c>
      <c r="E22" s="28">
        <f>DATE(E$5,1,1)</f>
        <v>44927</v>
      </c>
      <c r="F22" s="28">
        <f>DATE(E$5,2,1)</f>
        <v>44958</v>
      </c>
      <c r="G22" s="28">
        <f>DATE(E$5,3,1)</f>
        <v>44986</v>
      </c>
      <c r="H22" s="28">
        <f>DATE(E$5,4,1)</f>
        <v>45017</v>
      </c>
      <c r="I22" s="28">
        <f>DATE(E$5,5,1)</f>
        <v>45047</v>
      </c>
      <c r="J22" s="28">
        <f>DATE(E$5,6,1)</f>
        <v>45078</v>
      </c>
      <c r="K22" s="28">
        <f>DATE(E$5,7,1)</f>
        <v>45108</v>
      </c>
      <c r="L22" s="28">
        <f>DATE(E$5,8,1)</f>
        <v>45139</v>
      </c>
      <c r="M22" s="28">
        <f>DATE(E$5,9,1)</f>
        <v>45170</v>
      </c>
      <c r="N22" s="28">
        <f>DATE(E$5,10,1)</f>
        <v>45200</v>
      </c>
      <c r="O22" s="28">
        <f>DATE(E$5,11,1)</f>
        <v>45231</v>
      </c>
      <c r="P22" s="28">
        <f>DATE(E$5,12,1)</f>
        <v>45261</v>
      </c>
      <c r="Q22" s="29">
        <f>E5</f>
        <v>2023</v>
      </c>
      <c r="S22" s="28">
        <f>DATE(S$5,1,1)</f>
        <v>45292</v>
      </c>
      <c r="T22" s="28">
        <f>DATE(S$5,2,1)</f>
        <v>45323</v>
      </c>
      <c r="U22" s="28">
        <f>DATE(S$5,3,1)</f>
        <v>45352</v>
      </c>
      <c r="V22" s="28">
        <f>DATE(S$5,4,1)</f>
        <v>45383</v>
      </c>
      <c r="W22" s="28">
        <f>DATE(S$5,5,1)</f>
        <v>45413</v>
      </c>
      <c r="X22" s="28">
        <f>DATE(S$5,6,1)</f>
        <v>45444</v>
      </c>
      <c r="Y22" s="28">
        <f>DATE(S$5,7,1)</f>
        <v>45474</v>
      </c>
      <c r="Z22" s="28">
        <f>DATE(S$5,8,1)</f>
        <v>45505</v>
      </c>
      <c r="AA22" s="28">
        <f>DATE(S$5,9,1)</f>
        <v>45536</v>
      </c>
      <c r="AB22" s="28">
        <f>DATE(S$5,10,1)</f>
        <v>45566</v>
      </c>
      <c r="AC22" s="28">
        <f>DATE(S$5,11,1)</f>
        <v>45597</v>
      </c>
      <c r="AD22" s="28">
        <f>DATE(S$5,12,1)</f>
        <v>45627</v>
      </c>
      <c r="AE22" s="29">
        <f>S5</f>
        <v>2024</v>
      </c>
      <c r="AG22" s="28">
        <f>DATE(AG$5,1,1)</f>
        <v>45658</v>
      </c>
      <c r="AH22" s="28">
        <f>DATE(AG$5,2,1)</f>
        <v>45689</v>
      </c>
      <c r="AI22" s="28">
        <f>DATE(AG$5,3,1)</f>
        <v>45717</v>
      </c>
      <c r="AJ22" s="28">
        <f>DATE(AG$5,4,1)</f>
        <v>45748</v>
      </c>
      <c r="AK22" s="28">
        <f>DATE(AG$5,5,1)</f>
        <v>45778</v>
      </c>
      <c r="AL22" s="28">
        <f>DATE(AG$5,6,1)</f>
        <v>45809</v>
      </c>
      <c r="AM22" s="28">
        <f>DATE(AG$5,7,1)</f>
        <v>45839</v>
      </c>
      <c r="AN22" s="28">
        <f>DATE(AG$5,8,1)</f>
        <v>45870</v>
      </c>
      <c r="AO22" s="28">
        <f>DATE(AG$5,9,1)</f>
        <v>45901</v>
      </c>
      <c r="AP22" s="28">
        <f>DATE(AG$5,10,1)</f>
        <v>45931</v>
      </c>
      <c r="AQ22" s="28">
        <f>DATE(AG$5,11,1)</f>
        <v>45962</v>
      </c>
      <c r="AR22" s="28">
        <f>DATE(AG$5,12,1)</f>
        <v>45992</v>
      </c>
      <c r="AS22" s="29">
        <f>AG5</f>
        <v>2025</v>
      </c>
      <c r="AU22" s="28">
        <f>DATE(AU$5,1,1)</f>
        <v>46023</v>
      </c>
      <c r="AV22" s="28">
        <f>DATE(AU$5,2,1)</f>
        <v>46054</v>
      </c>
      <c r="AW22" s="28">
        <f>DATE(AU$5,3,1)</f>
        <v>46082</v>
      </c>
      <c r="AX22" s="28">
        <f>DATE(AU$5,4,1)</f>
        <v>46113</v>
      </c>
      <c r="AY22" s="28">
        <f>DATE(AU$5,5,1)</f>
        <v>46143</v>
      </c>
      <c r="AZ22" s="28">
        <f>DATE(AU$5,6,1)</f>
        <v>46174</v>
      </c>
      <c r="BA22" s="28">
        <f>DATE(AU$5,7,1)</f>
        <v>46204</v>
      </c>
      <c r="BB22" s="28">
        <f>DATE(AU$5,8,1)</f>
        <v>46235</v>
      </c>
      <c r="BC22" s="28">
        <f>DATE(AU$5,9,1)</f>
        <v>46266</v>
      </c>
      <c r="BD22" s="28">
        <f>DATE(AU$5,10,1)</f>
        <v>46296</v>
      </c>
      <c r="BE22" s="28">
        <f>DATE(AU$5,11,1)</f>
        <v>46327</v>
      </c>
      <c r="BF22" s="28">
        <f>DATE(AU$5,12,1)</f>
        <v>46357</v>
      </c>
      <c r="BG22" s="29">
        <f>AU5</f>
        <v>2026</v>
      </c>
      <c r="BI22" s="28">
        <f>DATE(BI$5,1,1)</f>
        <v>46388</v>
      </c>
      <c r="BJ22" s="28">
        <f>DATE(BI$5,2,1)</f>
        <v>46419</v>
      </c>
      <c r="BK22" s="28">
        <f>DATE(BI$5,3,1)</f>
        <v>46447</v>
      </c>
      <c r="BL22" s="28">
        <f>DATE(BI$5,4,1)</f>
        <v>46478</v>
      </c>
      <c r="BM22" s="28">
        <f>DATE(BI$5,5,1)</f>
        <v>46508</v>
      </c>
      <c r="BN22" s="28">
        <f>DATE(BI$5,6,1)</f>
        <v>46539</v>
      </c>
      <c r="BO22" s="28">
        <f>DATE(BI$5,7,1)</f>
        <v>46569</v>
      </c>
      <c r="BP22" s="28">
        <f>DATE(BI$5,8,1)</f>
        <v>46600</v>
      </c>
      <c r="BQ22" s="28">
        <f>DATE(BI$5,9,1)</f>
        <v>46631</v>
      </c>
      <c r="BR22" s="28">
        <f>DATE(BI$5,10,1)</f>
        <v>46661</v>
      </c>
      <c r="BS22" s="28">
        <f>DATE(BI$5,11,1)</f>
        <v>46692</v>
      </c>
      <c r="BT22" s="28">
        <f>DATE(BI$5,12,1)</f>
        <v>46722</v>
      </c>
      <c r="BU22" s="29">
        <f>BI5</f>
        <v>2027</v>
      </c>
      <c r="BW22" s="28">
        <f>DATE(BW$5,1,1)</f>
        <v>46753</v>
      </c>
      <c r="BX22" s="28">
        <f>DATE(BW$5,2,1)</f>
        <v>46784</v>
      </c>
      <c r="BY22" s="28">
        <f>DATE(BW$5,3,1)</f>
        <v>46813</v>
      </c>
      <c r="BZ22" s="28">
        <f>DATE(BW$5,4,1)</f>
        <v>46844</v>
      </c>
      <c r="CA22" s="28">
        <f>DATE(BW$5,5,1)</f>
        <v>46874</v>
      </c>
      <c r="CB22" s="28">
        <f>DATE(BW$5,6,1)</f>
        <v>46905</v>
      </c>
      <c r="CC22" s="28">
        <f>DATE(BW$5,7,1)</f>
        <v>46935</v>
      </c>
      <c r="CD22" s="28">
        <f>DATE(BW$5,8,1)</f>
        <v>46966</v>
      </c>
      <c r="CE22" s="28">
        <f>DATE(BW$5,9,1)</f>
        <v>46997</v>
      </c>
      <c r="CF22" s="28">
        <f>DATE(BW$5,10,1)</f>
        <v>47027</v>
      </c>
      <c r="CG22" s="28">
        <f>DATE(BW$5,11,1)</f>
        <v>47058</v>
      </c>
      <c r="CH22" s="28">
        <f>DATE(BW$5,12,1)</f>
        <v>47088</v>
      </c>
      <c r="CI22" s="29">
        <f>BW5</f>
        <v>2028</v>
      </c>
      <c r="CK22" s="28">
        <f>DATE(CK$5,1,1)</f>
        <v>47119</v>
      </c>
      <c r="CL22" s="28">
        <f>DATE(CK$5,2,1)</f>
        <v>47150</v>
      </c>
      <c r="CM22" s="28">
        <f>DATE(CK$5,3,1)</f>
        <v>47178</v>
      </c>
      <c r="CN22" s="28">
        <f>DATE(CK$5,4,1)</f>
        <v>47209</v>
      </c>
      <c r="CO22" s="28">
        <f>DATE(CK$5,5,1)</f>
        <v>47239</v>
      </c>
      <c r="CP22" s="28">
        <f>DATE(CK$5,6,1)</f>
        <v>47270</v>
      </c>
      <c r="CQ22" s="28">
        <f>DATE(CK$5,7,1)</f>
        <v>47300</v>
      </c>
      <c r="CR22" s="28">
        <f>DATE(CK$5,8,1)</f>
        <v>47331</v>
      </c>
      <c r="CS22" s="28">
        <f>DATE(CK$5,9,1)</f>
        <v>47362</v>
      </c>
      <c r="CT22" s="28">
        <f>DATE(CK$5,10,1)</f>
        <v>47392</v>
      </c>
      <c r="CU22" s="28">
        <f>DATE(CK$5,11,1)</f>
        <v>47423</v>
      </c>
      <c r="CV22" s="28">
        <f>DATE(CK$5,12,1)</f>
        <v>47453</v>
      </c>
      <c r="CW22" s="29">
        <f>CK5</f>
        <v>2029</v>
      </c>
      <c r="CY22" s="28">
        <f>DATE(CY$5,1,1)</f>
        <v>47484</v>
      </c>
      <c r="CZ22" s="28">
        <f>DATE(CY$5,2,1)</f>
        <v>47515</v>
      </c>
      <c r="DA22" s="28">
        <f>DATE(CY$5,3,1)</f>
        <v>47543</v>
      </c>
      <c r="DB22" s="28">
        <f>DATE(CY$5,4,1)</f>
        <v>47574</v>
      </c>
      <c r="DC22" s="28">
        <f>DATE(CY$5,5,1)</f>
        <v>47604</v>
      </c>
      <c r="DD22" s="28">
        <f>DATE(CY$5,6,1)</f>
        <v>47635</v>
      </c>
      <c r="DE22" s="28">
        <f>DATE(CY$5,7,1)</f>
        <v>47665</v>
      </c>
      <c r="DF22" s="28">
        <f>DATE(CY$5,8,1)</f>
        <v>47696</v>
      </c>
      <c r="DG22" s="28">
        <f>DATE(CY$5,9,1)</f>
        <v>47727</v>
      </c>
      <c r="DH22" s="28">
        <f>DATE(CY$5,10,1)</f>
        <v>47757</v>
      </c>
      <c r="DI22" s="28">
        <f>DATE(CY$5,11,1)</f>
        <v>47788</v>
      </c>
      <c r="DJ22" s="28">
        <f>DATE(CY$5,12,1)</f>
        <v>47818</v>
      </c>
      <c r="DK22" s="29">
        <f>CY5</f>
        <v>2030</v>
      </c>
      <c r="DM22" s="28">
        <f>DATE(DM$5,1,1)</f>
        <v>47849</v>
      </c>
      <c r="DN22" s="28">
        <f>DATE(DM$5,2,1)</f>
        <v>47880</v>
      </c>
      <c r="DO22" s="28">
        <f>DATE(DM$5,3,1)</f>
        <v>47908</v>
      </c>
      <c r="DP22" s="28">
        <f>DATE(DM$5,4,1)</f>
        <v>47939</v>
      </c>
      <c r="DQ22" s="28">
        <f>DATE(DM$5,5,1)</f>
        <v>47969</v>
      </c>
      <c r="DR22" s="28">
        <f>DATE(DM$5,6,1)</f>
        <v>48000</v>
      </c>
      <c r="DS22" s="28">
        <f>DATE(DM$5,7,1)</f>
        <v>48030</v>
      </c>
      <c r="DT22" s="28">
        <f>DATE(DM$5,8,1)</f>
        <v>48061</v>
      </c>
      <c r="DU22" s="28">
        <f>DATE(DM$5,9,1)</f>
        <v>48092</v>
      </c>
      <c r="DV22" s="28">
        <f>DATE(DM$5,10,1)</f>
        <v>48122</v>
      </c>
      <c r="DW22" s="28">
        <f>DATE(DM$5,11,1)</f>
        <v>48153</v>
      </c>
      <c r="DX22" s="28">
        <f>DATE(DM$5,12,1)</f>
        <v>48183</v>
      </c>
      <c r="DY22" s="29">
        <f>DM5</f>
        <v>2031</v>
      </c>
      <c r="EA22" s="28">
        <f>DATE(EA$5,1,1)</f>
        <v>48214</v>
      </c>
      <c r="EB22" s="28">
        <f>DATE(EA$5,2,1)</f>
        <v>48245</v>
      </c>
      <c r="EC22" s="28">
        <f>DATE(EA$5,3,1)</f>
        <v>48274</v>
      </c>
      <c r="ED22" s="28">
        <f>DATE(EA$5,4,1)</f>
        <v>48305</v>
      </c>
      <c r="EE22" s="28">
        <f>DATE(EA$5,5,1)</f>
        <v>48335</v>
      </c>
      <c r="EF22" s="28">
        <f>DATE(EA$5,6,1)</f>
        <v>48366</v>
      </c>
      <c r="EG22" s="28">
        <f>DATE(EA$5,7,1)</f>
        <v>48396</v>
      </c>
      <c r="EH22" s="28">
        <f>DATE(EA$5,8,1)</f>
        <v>48427</v>
      </c>
      <c r="EI22" s="28">
        <f>DATE(EA$5,9,1)</f>
        <v>48458</v>
      </c>
      <c r="EJ22" s="28">
        <f>DATE(EA$5,10,1)</f>
        <v>48488</v>
      </c>
      <c r="EK22" s="28">
        <f>DATE(EA$5,11,1)</f>
        <v>48519</v>
      </c>
      <c r="EL22" s="28">
        <f>DATE(EA$5,12,1)</f>
        <v>48549</v>
      </c>
      <c r="EM22" s="29">
        <f>EA5</f>
        <v>2032</v>
      </c>
      <c r="EO22" s="28">
        <f>DATE(EO$5,1,1)</f>
        <v>48580</v>
      </c>
      <c r="EP22" s="28">
        <f>DATE(EO$5,2,1)</f>
        <v>48611</v>
      </c>
      <c r="EQ22" s="28">
        <f>DATE(EO$5,3,1)</f>
        <v>48639</v>
      </c>
      <c r="ER22" s="28">
        <f>DATE(EO$5,4,1)</f>
        <v>48670</v>
      </c>
      <c r="ES22" s="28">
        <f>DATE(EO$5,5,1)</f>
        <v>48700</v>
      </c>
      <c r="ET22" s="28">
        <f>DATE(EO$5,6,1)</f>
        <v>48731</v>
      </c>
      <c r="EU22" s="28">
        <f>DATE(EO$5,7,1)</f>
        <v>48761</v>
      </c>
      <c r="EV22" s="28">
        <f>DATE(EO$5,8,1)</f>
        <v>48792</v>
      </c>
      <c r="EW22" s="28">
        <f>DATE(EO$5,9,1)</f>
        <v>48823</v>
      </c>
      <c r="EX22" s="28">
        <f>DATE(EO$5,10,1)</f>
        <v>48853</v>
      </c>
      <c r="EY22" s="28">
        <f>DATE(EO$5,11,1)</f>
        <v>48884</v>
      </c>
      <c r="EZ22" s="28">
        <f>DATE(EO$5,12,1)</f>
        <v>48914</v>
      </c>
      <c r="FA22" s="29">
        <f>EO5</f>
        <v>2033</v>
      </c>
    </row>
    <row r="23" spans="3:157" x14ac:dyDescent="0.3">
      <c r="C23" s="16" t="s">
        <v>11</v>
      </c>
      <c r="D23" s="23"/>
      <c r="E23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3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3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3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3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3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3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3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3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3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3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3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3" s="25">
        <f>SUM(E23:P23)</f>
        <v>0</v>
      </c>
      <c r="S23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3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3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3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3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3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3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3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3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3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3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3" s="24">
        <f>SUMIFS(Libro_Diario[[Cantidad ]],Libro_Diario[[Tipo ]],Gastos[[#Headers],[Gastos]],Libro_Diario[[Categoria ]],Gastos[[#This Row],[Gastos]],Libro_Diario[Fecha],"&gt;="&amp;'Libro Mayor'!AD$9,Libro_Diario[Fecha],"&lt;="&amp;EOMONTH('Libro Mayor'!AD$9,0))</f>
        <v>0</v>
      </c>
      <c r="AE23" s="25">
        <f>SUM(S23:AD23)</f>
        <v>0</v>
      </c>
      <c r="AG23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3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3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3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3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3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3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3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3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3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3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3" s="24">
        <f>SUMIFS(Libro_Diario[[Cantidad ]],Libro_Diario[[Tipo ]],Gastos[[#Headers],[Gastos]],Libro_Diario[[Categoria ]],Gastos[[#This Row],[Gastos]],Libro_Diario[Fecha],"&gt;="&amp;'Libro Mayor'!AR$9,Libro_Diario[Fecha],"&lt;="&amp;EOMONTH('Libro Mayor'!AR$9,0))</f>
        <v>0</v>
      </c>
      <c r="AS23" s="25">
        <f>SUM(AG23:AR23)</f>
        <v>0</v>
      </c>
      <c r="AU23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3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3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3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3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3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3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3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3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3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3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3" s="24">
        <f>SUMIFS(Libro_Diario[[Cantidad ]],Libro_Diario[[Tipo ]],Gastos[[#Headers],[Gastos]],Libro_Diario[[Categoria ]],Gastos[[#This Row],[Gastos]],Libro_Diario[Fecha],"&gt;="&amp;'Libro Mayor'!BF$9,Libro_Diario[Fecha],"&lt;="&amp;EOMONTH('Libro Mayor'!BF$9,0))</f>
        <v>0</v>
      </c>
      <c r="BG23" s="25">
        <f>SUM(AU23:BF23)</f>
        <v>0</v>
      </c>
      <c r="BI23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3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3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3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3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3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3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3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3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3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3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3" s="24">
        <f>SUMIFS(Libro_Diario[[Cantidad ]],Libro_Diario[[Tipo ]],Gastos[[#Headers],[Gastos]],Libro_Diario[[Categoria ]],Gastos[[#This Row],[Gastos]],Libro_Diario[Fecha],"&gt;="&amp;'Libro Mayor'!BT$9,Libro_Diario[Fecha],"&lt;="&amp;EOMONTH('Libro Mayor'!BT$9,0))</f>
        <v>0</v>
      </c>
      <c r="BU23" s="25">
        <f>SUM(BI23:BT23)</f>
        <v>0</v>
      </c>
      <c r="BW23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3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3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3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3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3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3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3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3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3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3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3" s="24">
        <f>SUMIFS(Libro_Diario[[Cantidad ]],Libro_Diario[[Tipo ]],Gastos[[#Headers],[Gastos]],Libro_Diario[[Categoria ]],Gastos[[#This Row],[Gastos]],Libro_Diario[Fecha],"&gt;="&amp;'Libro Mayor'!CH$9,Libro_Diario[Fecha],"&lt;="&amp;EOMONTH('Libro Mayor'!CH$9,0))</f>
        <v>0</v>
      </c>
      <c r="CI23" s="25">
        <f>SUM(BW23:CH23)</f>
        <v>0</v>
      </c>
      <c r="CK23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3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3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3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3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3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3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3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3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3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3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3" s="24">
        <f>SUMIFS(Libro_Diario[[Cantidad ]],Libro_Diario[[Tipo ]],Gastos[[#Headers],[Gastos]],Libro_Diario[[Categoria ]],Gastos[[#This Row],[Gastos]],Libro_Diario[Fecha],"&gt;="&amp;'Libro Mayor'!CV$9,Libro_Diario[Fecha],"&lt;="&amp;EOMONTH('Libro Mayor'!CV$9,0))</f>
        <v>0</v>
      </c>
      <c r="CW23" s="25">
        <f>SUM(CK23:CV23)</f>
        <v>0</v>
      </c>
      <c r="CY23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3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3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3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3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3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3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3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3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3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3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3" s="24">
        <f>SUMIFS(Libro_Diario[[Cantidad ]],Libro_Diario[[Tipo ]],Gastos[[#Headers],[Gastos]],Libro_Diario[[Categoria ]],Gastos[[#This Row],[Gastos]],Libro_Diario[Fecha],"&gt;="&amp;'Libro Mayor'!DJ$9,Libro_Diario[Fecha],"&lt;="&amp;EOMONTH('Libro Mayor'!DJ$9,0))</f>
        <v>0</v>
      </c>
      <c r="DK23" s="25">
        <f>SUM(CY23:DJ23)</f>
        <v>0</v>
      </c>
      <c r="DM23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3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3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3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3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3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3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3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3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3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3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3" s="24">
        <f>SUMIFS(Libro_Diario[[Cantidad ]],Libro_Diario[[Tipo ]],Gastos[[#Headers],[Gastos]],Libro_Diario[[Categoria ]],Gastos[[#This Row],[Gastos]],Libro_Diario[Fecha],"&gt;="&amp;'Libro Mayor'!DX$9,Libro_Diario[Fecha],"&lt;="&amp;EOMONTH('Libro Mayor'!DX$9,0))</f>
        <v>0</v>
      </c>
      <c r="DY23" s="25">
        <f>SUM(DM23:DX23)</f>
        <v>0</v>
      </c>
      <c r="EA23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3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3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3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3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3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3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3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3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3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3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3" s="24">
        <f>SUMIFS(Libro_Diario[[Cantidad ]],Libro_Diario[[Tipo ]],Gastos[[#Headers],[Gastos]],Libro_Diario[[Categoria ]],Gastos[[#This Row],[Gastos]],Libro_Diario[Fecha],"&gt;="&amp;'Libro Mayor'!EL$9,Libro_Diario[Fecha],"&lt;="&amp;EOMONTH('Libro Mayor'!EL$9,0))</f>
        <v>0</v>
      </c>
      <c r="EM23" s="25">
        <f>SUM(EA23:EL23)</f>
        <v>0</v>
      </c>
      <c r="EO23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3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3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3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3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3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3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3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3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3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3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3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3" s="25">
        <f>SUM(EO23:EZ23)</f>
        <v>0</v>
      </c>
    </row>
    <row r="24" spans="3:157" x14ac:dyDescent="0.3">
      <c r="C24" s="17" t="s">
        <v>17</v>
      </c>
      <c r="D24" s="23"/>
      <c r="E24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4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4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4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4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4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4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4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4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4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4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4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4" s="25">
        <f>SUM(E24:P24)</f>
        <v>0</v>
      </c>
      <c r="S24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4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4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4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4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4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4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4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4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4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4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4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24" s="25">
        <f>SUM(S24:AD24)</f>
        <v>0</v>
      </c>
      <c r="AG24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4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4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4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4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4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4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4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4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4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4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4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24" s="25">
        <f>SUM(AG24:AR24)</f>
        <v>0</v>
      </c>
      <c r="AU24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4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4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4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4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4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4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4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4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4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4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4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24" s="25">
        <f>SUM(AU24:BF24)</f>
        <v>0</v>
      </c>
      <c r="BI24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4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4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4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4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4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4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4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4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4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4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4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24" s="25">
        <f>SUM(BI24:BT24)</f>
        <v>0</v>
      </c>
      <c r="BW24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4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4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4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4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4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4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4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4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4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4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4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24" s="25">
        <f>SUM(BW24:CH24)</f>
        <v>0</v>
      </c>
      <c r="CK24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4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4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4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4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4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4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4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4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4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4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4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24" s="25">
        <f>SUM(CK24:CV24)</f>
        <v>0</v>
      </c>
      <c r="CY24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4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4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4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4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4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4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4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4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4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4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4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24" s="25">
        <f>SUM(CY24:DJ24)</f>
        <v>0</v>
      </c>
      <c r="DM24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4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4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4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4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4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4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4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4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4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4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4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24" s="25">
        <f>SUM(DM24:DX24)</f>
        <v>0</v>
      </c>
      <c r="EA24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4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4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4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4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4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4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4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4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4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4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4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24" s="25">
        <f>SUM(EA24:EL24)</f>
        <v>0</v>
      </c>
      <c r="EO24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4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4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4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4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4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4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4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4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4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4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4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4" s="25">
        <f t="shared" ref="FA24:FA36" si="28">SUM(EO24:EZ24)</f>
        <v>0</v>
      </c>
    </row>
    <row r="25" spans="3:157" x14ac:dyDescent="0.3">
      <c r="C25" s="17" t="s">
        <v>18</v>
      </c>
      <c r="D25" s="23"/>
      <c r="E25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5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5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5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5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5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5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5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5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5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5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5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5" s="25">
        <f t="shared" ref="Q25:Q36" si="29">SUM(E25:P25)</f>
        <v>0</v>
      </c>
      <c r="S25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5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5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5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5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5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5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5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5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5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5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5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25" s="25">
        <f t="shared" ref="AE25:AE29" si="30">SUM(S25:AD25)</f>
        <v>0</v>
      </c>
      <c r="AG25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5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5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5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5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5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5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5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5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5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5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5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25" s="25">
        <f t="shared" ref="AS25:AS29" si="31">SUM(AG25:AR25)</f>
        <v>0</v>
      </c>
      <c r="AU25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5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5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5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5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5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5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5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5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5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5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5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25" s="25">
        <f t="shared" ref="BG25:BG29" si="32">SUM(AU25:BF25)</f>
        <v>0</v>
      </c>
      <c r="BI25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5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5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5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5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5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5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5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5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5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5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5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25" s="25">
        <f t="shared" ref="BU25:BU29" si="33">SUM(BI25:BT25)</f>
        <v>0</v>
      </c>
      <c r="BW25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5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5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5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5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5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5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5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5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5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5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5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25" s="25">
        <f t="shared" ref="CI25:CI29" si="34">SUM(BW25:CH25)</f>
        <v>0</v>
      </c>
      <c r="CK25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5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5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5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5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5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5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5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5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5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5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5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25" s="25">
        <f t="shared" ref="CW25:CW29" si="35">SUM(CK25:CV25)</f>
        <v>0</v>
      </c>
      <c r="CY25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5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5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5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5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5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5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5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5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5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5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5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25" s="25">
        <f t="shared" ref="DK25:DK29" si="36">SUM(CY25:DJ25)</f>
        <v>0</v>
      </c>
      <c r="DM25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5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5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5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5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5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5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5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5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5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5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5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25" s="25">
        <f t="shared" ref="DY25:DY29" si="37">SUM(DM25:DX25)</f>
        <v>0</v>
      </c>
      <c r="EA25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5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5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5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5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5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5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5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5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5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5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5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25" s="25">
        <f t="shared" ref="EM25:EM29" si="38">SUM(EA25:EL25)</f>
        <v>0</v>
      </c>
      <c r="EO25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5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5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5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5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5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5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5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5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5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5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5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5" s="25">
        <f t="shared" si="28"/>
        <v>0</v>
      </c>
    </row>
    <row r="26" spans="3:157" x14ac:dyDescent="0.3">
      <c r="C26" s="17" t="s">
        <v>12</v>
      </c>
      <c r="D26" s="23"/>
      <c r="E26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6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6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6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6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6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6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6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6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6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6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6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6" s="25">
        <f t="shared" si="29"/>
        <v>0</v>
      </c>
      <c r="S26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6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6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6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6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6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6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6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6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6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6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6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26" s="25">
        <f t="shared" si="30"/>
        <v>0</v>
      </c>
      <c r="AG26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6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6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6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6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6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6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6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6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6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6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6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26" s="25">
        <f t="shared" si="31"/>
        <v>0</v>
      </c>
      <c r="AU26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6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6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6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6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6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6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6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6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6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6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6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26" s="25">
        <f t="shared" si="32"/>
        <v>0</v>
      </c>
      <c r="BI26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6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6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6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6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6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6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6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6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6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6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6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26" s="25">
        <f t="shared" si="33"/>
        <v>0</v>
      </c>
      <c r="BW26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6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6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6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6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6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6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6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6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6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6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6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26" s="25">
        <f t="shared" si="34"/>
        <v>0</v>
      </c>
      <c r="CK26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6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6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6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6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6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6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6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6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6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6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6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26" s="25">
        <f t="shared" si="35"/>
        <v>0</v>
      </c>
      <c r="CY26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6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6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6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6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6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6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6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6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6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6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6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26" s="25">
        <f t="shared" si="36"/>
        <v>0</v>
      </c>
      <c r="DM26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6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6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6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6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6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6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6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6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6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6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6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26" s="25">
        <f t="shared" si="37"/>
        <v>0</v>
      </c>
      <c r="EA26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6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6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6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6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6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6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6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6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6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6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6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26" s="25">
        <f t="shared" si="38"/>
        <v>0</v>
      </c>
      <c r="EO26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6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6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6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6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6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6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6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6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6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6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6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6" s="25">
        <f t="shared" si="28"/>
        <v>0</v>
      </c>
    </row>
    <row r="27" spans="3:157" x14ac:dyDescent="0.3">
      <c r="C27" s="17" t="s">
        <v>13</v>
      </c>
      <c r="D27" s="23"/>
      <c r="E27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7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7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7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7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7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7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7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7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7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7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7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7" s="25">
        <f t="shared" si="29"/>
        <v>0</v>
      </c>
      <c r="S27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7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7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7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7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7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7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7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7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7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7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7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27" s="25">
        <f t="shared" si="30"/>
        <v>0</v>
      </c>
      <c r="AG27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7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7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7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7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7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7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7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7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7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7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7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27" s="25">
        <f t="shared" si="31"/>
        <v>0</v>
      </c>
      <c r="AU27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7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7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7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7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7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7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7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7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7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7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7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27" s="25">
        <f t="shared" si="32"/>
        <v>0</v>
      </c>
      <c r="BI27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7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7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7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7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7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7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7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7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7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7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7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27" s="25">
        <f t="shared" si="33"/>
        <v>0</v>
      </c>
      <c r="BW27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7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7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7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7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7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7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7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7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7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7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7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27" s="25">
        <f t="shared" si="34"/>
        <v>0</v>
      </c>
      <c r="CK27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7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7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7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7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7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7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7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7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7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7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7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27" s="25">
        <f t="shared" si="35"/>
        <v>0</v>
      </c>
      <c r="CY27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7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7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7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7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7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7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7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7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7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7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7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27" s="25">
        <f t="shared" si="36"/>
        <v>0</v>
      </c>
      <c r="DM27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7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7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7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7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7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7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7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7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7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7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7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27" s="25">
        <f t="shared" si="37"/>
        <v>0</v>
      </c>
      <c r="EA27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7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7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7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7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7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7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7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7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7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7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7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27" s="25">
        <f t="shared" si="38"/>
        <v>0</v>
      </c>
      <c r="EO27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7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7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7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7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7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7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7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7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7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7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7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7" s="25">
        <f t="shared" si="28"/>
        <v>0</v>
      </c>
    </row>
    <row r="28" spans="3:157" x14ac:dyDescent="0.3">
      <c r="C28" s="17" t="s">
        <v>44</v>
      </c>
      <c r="D28" s="23"/>
      <c r="E28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8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8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8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8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8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8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8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8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8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8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8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8" s="25">
        <f>SUM(E28:P28)</f>
        <v>0</v>
      </c>
      <c r="S28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8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8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8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8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8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8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8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8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8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8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8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28" s="25">
        <f t="shared" si="30"/>
        <v>0</v>
      </c>
      <c r="AG28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8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8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8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8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8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8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8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8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8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8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8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28" s="25">
        <f t="shared" si="31"/>
        <v>0</v>
      </c>
      <c r="AU28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8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8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8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8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8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8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8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8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8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8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8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28" s="25">
        <f t="shared" si="32"/>
        <v>0</v>
      </c>
      <c r="BI28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8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8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8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8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8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8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8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8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8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8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8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28" s="25">
        <f t="shared" si="33"/>
        <v>0</v>
      </c>
      <c r="BW28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8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8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8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8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8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8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8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8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8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8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8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28" s="25">
        <f t="shared" si="34"/>
        <v>0</v>
      </c>
      <c r="CK28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8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8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8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8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8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8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8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8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8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8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8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28" s="25">
        <f t="shared" si="35"/>
        <v>0</v>
      </c>
      <c r="CY28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8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8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8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8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8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8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8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8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8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8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8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28" s="25">
        <f t="shared" si="36"/>
        <v>0</v>
      </c>
      <c r="DM28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8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8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8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8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8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8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8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8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8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8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8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28" s="25">
        <f t="shared" si="37"/>
        <v>0</v>
      </c>
      <c r="EA28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8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8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8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8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8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8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8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8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8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8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8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28" s="25">
        <f t="shared" si="38"/>
        <v>0</v>
      </c>
      <c r="EO28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8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8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8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8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8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8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8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8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8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8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8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8" s="25">
        <f t="shared" si="28"/>
        <v>0</v>
      </c>
    </row>
    <row r="29" spans="3:157" x14ac:dyDescent="0.3">
      <c r="C29" s="17" t="s">
        <v>45</v>
      </c>
      <c r="D29" s="23"/>
      <c r="E29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29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29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29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29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29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29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29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29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29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29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29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29" s="25">
        <f>SUM(E29:P29)</f>
        <v>0</v>
      </c>
      <c r="S29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29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29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29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29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29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29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29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29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29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29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29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29" s="25">
        <f t="shared" si="30"/>
        <v>0</v>
      </c>
      <c r="AG29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29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29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29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29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29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29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29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29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29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29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29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29" s="25">
        <f t="shared" si="31"/>
        <v>0</v>
      </c>
      <c r="AU29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29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29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29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29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29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29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29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29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29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29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29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29" s="25">
        <f t="shared" si="32"/>
        <v>0</v>
      </c>
      <c r="BI29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29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29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29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29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29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29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29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29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29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29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29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29" s="25">
        <f t="shared" si="33"/>
        <v>0</v>
      </c>
      <c r="BW29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29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29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29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29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29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29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29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29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29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29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29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29" s="25">
        <f t="shared" si="34"/>
        <v>0</v>
      </c>
      <c r="CK29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29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29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29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29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29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29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29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29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29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29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29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29" s="25">
        <f t="shared" si="35"/>
        <v>0</v>
      </c>
      <c r="CY29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29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29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29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29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29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29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29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29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29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29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29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29" s="25">
        <f t="shared" si="36"/>
        <v>0</v>
      </c>
      <c r="DM29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29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29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29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29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29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29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29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29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29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29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29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29" s="25">
        <f t="shared" si="37"/>
        <v>0</v>
      </c>
      <c r="EA29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29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29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29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29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29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29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29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29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29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29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29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29" s="25">
        <f t="shared" si="38"/>
        <v>0</v>
      </c>
      <c r="EO29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29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29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29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29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29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29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29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29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29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29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29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29" s="25">
        <f t="shared" si="28"/>
        <v>0</v>
      </c>
    </row>
    <row r="30" spans="3:157" x14ac:dyDescent="0.3">
      <c r="C30" s="16" t="s">
        <v>65</v>
      </c>
      <c r="D30" s="23"/>
      <c r="E30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30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30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30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30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30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30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30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30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30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30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30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30" s="25">
        <f t="shared" ref="Q30:Q31" si="39">SUM(E30:P30)</f>
        <v>0</v>
      </c>
      <c r="S30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0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0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0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0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0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0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0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0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0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0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0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0" s="25">
        <f t="shared" ref="AE30:AE31" si="40">SUM(S30:AD30)</f>
        <v>0</v>
      </c>
      <c r="AG30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0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0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0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0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0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0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0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0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0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0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0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0" s="25">
        <f t="shared" ref="AS30:AS36" si="41">SUM(AG30:AR30)</f>
        <v>0</v>
      </c>
      <c r="AU30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0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0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0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0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0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0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0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0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0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0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0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0" s="25">
        <f t="shared" ref="BG30:BG36" si="42">SUM(AU30:BF30)</f>
        <v>0</v>
      </c>
      <c r="BI30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0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0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0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0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0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0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0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0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0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0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0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0" s="25">
        <f t="shared" ref="BU30:BU36" si="43">SUM(BI30:BT30)</f>
        <v>0</v>
      </c>
      <c r="BW30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0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0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0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0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0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0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0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0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0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0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0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0" s="25">
        <f t="shared" ref="CI30:CI36" si="44">SUM(BW30:CH30)</f>
        <v>0</v>
      </c>
      <c r="CK30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0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0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0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0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0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0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0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0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0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0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0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0" s="25">
        <f t="shared" ref="CW30:CW36" si="45">SUM(CK30:CV30)</f>
        <v>0</v>
      </c>
      <c r="CY30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0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0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0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0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0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0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0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0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0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0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0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0" s="25">
        <f t="shared" ref="DK30:DK36" si="46">SUM(CY30:DJ30)</f>
        <v>0</v>
      </c>
      <c r="DM30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0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0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0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0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0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0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0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0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0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0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0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0" s="25">
        <f t="shared" ref="DY30:DY36" si="47">SUM(DM30:DX30)</f>
        <v>0</v>
      </c>
      <c r="EA30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0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0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0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0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0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0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0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0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0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0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0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0" s="25">
        <f t="shared" ref="EM30:EM36" si="48">SUM(EA30:EL30)</f>
        <v>0</v>
      </c>
      <c r="EO30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0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0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0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0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0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0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0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0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0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0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0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0" s="25">
        <f t="shared" si="28"/>
        <v>0</v>
      </c>
    </row>
    <row r="31" spans="3:157" x14ac:dyDescent="0.3">
      <c r="C31" s="16" t="s">
        <v>63</v>
      </c>
      <c r="D31" s="23"/>
      <c r="E31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31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31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31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31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31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31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31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31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31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31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31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31" s="25">
        <f t="shared" si="39"/>
        <v>0</v>
      </c>
      <c r="S31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1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1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1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1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1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1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1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1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1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1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1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1" s="25">
        <f t="shared" si="40"/>
        <v>0</v>
      </c>
      <c r="AG31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1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1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1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1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1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1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1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1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1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1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1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1" s="25">
        <f t="shared" si="41"/>
        <v>0</v>
      </c>
      <c r="AU31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1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1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1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1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1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1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1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1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1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1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1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1" s="25">
        <f t="shared" si="42"/>
        <v>0</v>
      </c>
      <c r="BI31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1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1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1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1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1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1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1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1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1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1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1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1" s="25">
        <f t="shared" si="43"/>
        <v>0</v>
      </c>
      <c r="BW31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1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1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1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1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1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1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1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1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1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1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1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1" s="25">
        <f t="shared" si="44"/>
        <v>0</v>
      </c>
      <c r="CK31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1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1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1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1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1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1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1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1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1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1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1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1" s="25">
        <f t="shared" si="45"/>
        <v>0</v>
      </c>
      <c r="CY31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1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1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1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1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1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1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1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1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1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1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1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1" s="25">
        <f t="shared" si="46"/>
        <v>0</v>
      </c>
      <c r="DM31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1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1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1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1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1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1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1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1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1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1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1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1" s="25">
        <f t="shared" si="47"/>
        <v>0</v>
      </c>
      <c r="EA31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1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1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1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1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1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1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1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1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1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1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1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1" s="25">
        <f t="shared" si="48"/>
        <v>0</v>
      </c>
      <c r="EO31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1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1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1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1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1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1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1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1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1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1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1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1" s="25">
        <f t="shared" si="28"/>
        <v>0</v>
      </c>
    </row>
    <row r="32" spans="3:157" x14ac:dyDescent="0.3">
      <c r="C32" s="16" t="s">
        <v>53</v>
      </c>
      <c r="D32" s="23"/>
      <c r="E32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32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32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32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32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32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32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32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32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32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32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32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32" s="25">
        <f t="shared" si="29"/>
        <v>0</v>
      </c>
      <c r="S32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2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2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2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2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2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2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2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2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2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2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2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2" s="25">
        <f t="shared" ref="AE32:AE36" si="49">SUM(S32:AD32)</f>
        <v>0</v>
      </c>
      <c r="AG32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2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2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2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2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2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2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2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2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2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2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2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2" s="25">
        <f t="shared" si="41"/>
        <v>0</v>
      </c>
      <c r="AU32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2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2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2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2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2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2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2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2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2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2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2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2" s="25">
        <f t="shared" si="42"/>
        <v>0</v>
      </c>
      <c r="BI32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2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2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2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2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2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2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2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2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2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2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2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2" s="25">
        <f t="shared" si="43"/>
        <v>0</v>
      </c>
      <c r="BW32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2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2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2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2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2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2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2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2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2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2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2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2" s="25">
        <f t="shared" si="44"/>
        <v>0</v>
      </c>
      <c r="CK32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2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2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2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2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2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2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2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2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2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2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2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2" s="25">
        <f t="shared" si="45"/>
        <v>0</v>
      </c>
      <c r="CY32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2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2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2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2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2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2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2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2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2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2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2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2" s="25">
        <f t="shared" si="46"/>
        <v>0</v>
      </c>
      <c r="DM32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2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2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2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2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2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2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2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2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2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2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2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2" s="25">
        <f t="shared" si="47"/>
        <v>0</v>
      </c>
      <c r="EA32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2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2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2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2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2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2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2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2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2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2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2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2" s="25">
        <f t="shared" si="48"/>
        <v>0</v>
      </c>
      <c r="EO32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2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2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2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2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2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2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2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2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2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2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2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2" s="25">
        <f t="shared" si="28"/>
        <v>0</v>
      </c>
    </row>
    <row r="33" spans="3:157" x14ac:dyDescent="0.3">
      <c r="C33" s="16" t="s">
        <v>84</v>
      </c>
      <c r="D33" s="23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5">
        <f t="shared" si="29"/>
        <v>0</v>
      </c>
      <c r="S33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3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3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3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3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3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3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3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3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3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3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3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3" s="25">
        <f t="shared" ref="AE33:AE34" si="50">SUM(S33:AD33)</f>
        <v>0</v>
      </c>
      <c r="AG33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3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3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3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3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3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3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3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3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3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3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3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3" s="25">
        <f t="shared" si="41"/>
        <v>0</v>
      </c>
      <c r="AU33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3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3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3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3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3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3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3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3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3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3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3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3" s="25">
        <f t="shared" si="42"/>
        <v>0</v>
      </c>
      <c r="BI33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3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3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3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3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3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3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3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3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3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3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3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3" s="25">
        <f t="shared" si="43"/>
        <v>0</v>
      </c>
      <c r="BW33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3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3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3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3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3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3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3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3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3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3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3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3" s="25">
        <f t="shared" ref="CI33:CI35" si="51">SUM(BW33:CH33)</f>
        <v>0</v>
      </c>
      <c r="CK33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3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3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3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3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3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3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3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3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3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3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3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3" s="25">
        <f t="shared" ref="CW33:CW35" si="52">SUM(CK33:CV33)</f>
        <v>0</v>
      </c>
      <c r="CY33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3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3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3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3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3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3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3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3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3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3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3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3" s="25">
        <f t="shared" ref="DK33:DK35" si="53">SUM(CY33:DJ33)</f>
        <v>0</v>
      </c>
      <c r="DM33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3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3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3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3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3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3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3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3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3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3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3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3" s="25">
        <f t="shared" ref="DY33:DY35" si="54">SUM(DM33:DX33)</f>
        <v>0</v>
      </c>
      <c r="EA33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3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3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3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3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3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3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3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3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3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3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3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3" s="25">
        <f t="shared" ref="EM33:EM35" si="55">SUM(EA33:EL33)</f>
        <v>0</v>
      </c>
      <c r="EO33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3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3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3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3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3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3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3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3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3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3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3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3" s="25">
        <f t="shared" ref="FA33:FA35" si="56">SUM(EO33:EZ33)</f>
        <v>0</v>
      </c>
    </row>
    <row r="34" spans="3:157" x14ac:dyDescent="0.3">
      <c r="C34" s="16" t="s">
        <v>106</v>
      </c>
      <c r="D34" s="23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5">
        <f t="shared" si="29"/>
        <v>0</v>
      </c>
      <c r="S34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4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4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4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4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4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4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4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4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4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4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4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4" s="25">
        <f t="shared" si="50"/>
        <v>0</v>
      </c>
      <c r="AG34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4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4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4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4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4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4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4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4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4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4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4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4" s="25">
        <f>SUM(AG34:AR34)</f>
        <v>0</v>
      </c>
      <c r="AU34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4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4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4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4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4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4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4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4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4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4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4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4" s="25">
        <f t="shared" ref="BG34" si="57">SUM(AU34:BF34)</f>
        <v>0</v>
      </c>
      <c r="BI34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4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4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4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4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4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4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4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4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4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4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4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4" s="25">
        <f t="shared" ref="BU34" si="58">SUM(BI34:BT34)</f>
        <v>0</v>
      </c>
      <c r="BW34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4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4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4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4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4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4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4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4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4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4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4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4" s="25">
        <f t="shared" ref="CI34" si="59">SUM(BW34:CH34)</f>
        <v>0</v>
      </c>
      <c r="CK34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4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4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4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4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4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4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4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4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4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4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4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4" s="25">
        <f t="shared" ref="CW34" si="60">SUM(CK34:CV34)</f>
        <v>0</v>
      </c>
      <c r="CY34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4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4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4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4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4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4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4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4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4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4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4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4" s="25">
        <f t="shared" ref="DK34" si="61">SUM(CY34:DJ34)</f>
        <v>0</v>
      </c>
      <c r="DM34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4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4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4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4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4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4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4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4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4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4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4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4" s="25">
        <f t="shared" ref="DY34" si="62">SUM(DM34:DX34)</f>
        <v>0</v>
      </c>
      <c r="EA34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4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4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4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4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4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4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4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4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4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4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4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4" s="25">
        <f t="shared" ref="EM34" si="63">SUM(EA34:EL34)</f>
        <v>0</v>
      </c>
      <c r="EO34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4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4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4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4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4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4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4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4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4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4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4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4" s="25">
        <f t="shared" ref="FA34" si="64">SUM(EO34:EZ34)</f>
        <v>0</v>
      </c>
    </row>
    <row r="35" spans="3:157" x14ac:dyDescent="0.3">
      <c r="C35" s="16" t="s">
        <v>103</v>
      </c>
      <c r="D35" s="23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5">
        <f t="shared" si="29"/>
        <v>0</v>
      </c>
      <c r="S35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5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5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5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5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5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5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5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5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5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5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5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5" s="25">
        <f t="shared" ref="AE35" si="65">SUM(S35:AD35)</f>
        <v>0</v>
      </c>
      <c r="AG35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5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5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5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5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5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5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5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5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5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5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5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5" s="25">
        <f t="shared" si="41"/>
        <v>0</v>
      </c>
      <c r="AU35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5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5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5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5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5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5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5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5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5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5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5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5" s="25">
        <f t="shared" si="42"/>
        <v>0</v>
      </c>
      <c r="BI35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5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5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5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5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5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5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5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5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5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5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5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5" s="25">
        <f t="shared" si="43"/>
        <v>0</v>
      </c>
      <c r="BW35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5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5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5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5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5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5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5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5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5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5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5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5" s="25">
        <f t="shared" si="51"/>
        <v>0</v>
      </c>
      <c r="CK35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5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5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5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5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5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5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5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5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5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5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5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5" s="25">
        <f t="shared" si="52"/>
        <v>0</v>
      </c>
      <c r="CY35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5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5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5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5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5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5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5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5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5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5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5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5" s="25">
        <f t="shared" si="53"/>
        <v>0</v>
      </c>
      <c r="DM35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5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5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5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5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5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5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5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5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5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5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5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5" s="25">
        <f t="shared" si="54"/>
        <v>0</v>
      </c>
      <c r="EA35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5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5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5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5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5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5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5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5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5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5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5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5" s="25">
        <f t="shared" si="55"/>
        <v>0</v>
      </c>
      <c r="EO35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5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5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5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5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5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5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5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5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5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5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5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5" s="25">
        <f t="shared" si="56"/>
        <v>0</v>
      </c>
    </row>
    <row r="36" spans="3:157" x14ac:dyDescent="0.3">
      <c r="C36" s="17" t="s">
        <v>14</v>
      </c>
      <c r="D36" s="23"/>
      <c r="E36" s="24">
        <f>SUMIFS(Libro_Diario[[Cantidad ]],Libro_Diario[[Tipo ]],Gastos[[#Headers],[Gastos]],Libro_Diario[[Categoria ]],Gastos[[#This Row],[Gastos]],Libro_Diario[Fecha],"&gt;="&amp;'Libro Mayor'!E$9,Libro_Diario[Fecha],"&lt;="&amp;EOMONTH('Libro Mayor'!E$9,0))</f>
        <v>0</v>
      </c>
      <c r="F36" s="24">
        <f>SUMIFS(Libro_Diario[[Cantidad ]],Libro_Diario[[Tipo ]],Gastos[[#Headers],[Gastos]],Libro_Diario[[Categoria ]],Gastos[[#This Row],[Gastos]],Libro_Diario[Fecha],"&gt;="&amp;'Libro Mayor'!F$9,Libro_Diario[Fecha],"&lt;="&amp;EOMONTH('Libro Mayor'!F$9,0))</f>
        <v>0</v>
      </c>
      <c r="G36" s="24">
        <f>SUMIFS(Libro_Diario[[Cantidad ]],Libro_Diario[[Tipo ]],Gastos[[#Headers],[Gastos]],Libro_Diario[[Categoria ]],Gastos[[#This Row],[Gastos]],Libro_Diario[Fecha],"&gt;="&amp;'Libro Mayor'!G$9,Libro_Diario[Fecha],"&lt;="&amp;EOMONTH('Libro Mayor'!G$9,0))</f>
        <v>0</v>
      </c>
      <c r="H36" s="24">
        <f>SUMIFS(Libro_Diario[[Cantidad ]],Libro_Diario[[Tipo ]],Gastos[[#Headers],[Gastos]],Libro_Diario[[Categoria ]],Gastos[[#This Row],[Gastos]],Libro_Diario[Fecha],"&gt;="&amp;'Libro Mayor'!H$9,Libro_Diario[Fecha],"&lt;="&amp;EOMONTH('Libro Mayor'!H$9,0))</f>
        <v>0</v>
      </c>
      <c r="I36" s="24">
        <f>SUMIFS(Libro_Diario[[Cantidad ]],Libro_Diario[[Tipo ]],Gastos[[#Headers],[Gastos]],Libro_Diario[[Categoria ]],Gastos[[#This Row],[Gastos]],Libro_Diario[Fecha],"&gt;="&amp;'Libro Mayor'!I$9,Libro_Diario[Fecha],"&lt;="&amp;EOMONTH('Libro Mayor'!I$9,0))</f>
        <v>0</v>
      </c>
      <c r="J36" s="24">
        <f>SUMIFS(Libro_Diario[[Cantidad ]],Libro_Diario[[Tipo ]],Gastos[[#Headers],[Gastos]],Libro_Diario[[Categoria ]],Gastos[[#This Row],[Gastos]],Libro_Diario[Fecha],"&gt;="&amp;'Libro Mayor'!J$9,Libro_Diario[Fecha],"&lt;="&amp;EOMONTH('Libro Mayor'!J$9,0))</f>
        <v>0</v>
      </c>
      <c r="K36" s="24">
        <f>SUMIFS(Libro_Diario[[Cantidad ]],Libro_Diario[[Tipo ]],Gastos[[#Headers],[Gastos]],Libro_Diario[[Categoria ]],Gastos[[#This Row],[Gastos]],Libro_Diario[Fecha],"&gt;="&amp;'Libro Mayor'!K$9,Libro_Diario[Fecha],"&lt;="&amp;EOMONTH('Libro Mayor'!K$9,0))</f>
        <v>0</v>
      </c>
      <c r="L36" s="24">
        <f>SUMIFS(Libro_Diario[[Cantidad ]],Libro_Diario[[Tipo ]],Gastos[[#Headers],[Gastos]],Libro_Diario[[Categoria ]],Gastos[[#This Row],[Gastos]],Libro_Diario[Fecha],"&gt;="&amp;'Libro Mayor'!L$9,Libro_Diario[Fecha],"&lt;="&amp;EOMONTH('Libro Mayor'!L$9,0))</f>
        <v>0</v>
      </c>
      <c r="M36" s="24">
        <f>SUMIFS(Libro_Diario[[Cantidad ]],Libro_Diario[[Tipo ]],Gastos[[#Headers],[Gastos]],Libro_Diario[[Categoria ]],Gastos[[#This Row],[Gastos]],Libro_Diario[Fecha],"&gt;="&amp;'Libro Mayor'!M$9,Libro_Diario[Fecha],"&lt;="&amp;EOMONTH('Libro Mayor'!M$9,0))</f>
        <v>0</v>
      </c>
      <c r="N36" s="24">
        <f>SUMIFS(Libro_Diario[[Cantidad ]],Libro_Diario[[Tipo ]],Gastos[[#Headers],[Gastos]],Libro_Diario[[Categoria ]],Gastos[[#This Row],[Gastos]],Libro_Diario[Fecha],"&gt;="&amp;'Libro Mayor'!N$9,Libro_Diario[Fecha],"&lt;="&amp;EOMONTH('Libro Mayor'!N$9,0))</f>
        <v>0</v>
      </c>
      <c r="O36" s="24">
        <f>SUMIFS(Libro_Diario[[Cantidad ]],Libro_Diario[[Tipo ]],Gastos[[#Headers],[Gastos]],Libro_Diario[[Categoria ]],Gastos[[#This Row],[Gastos]],Libro_Diario[Fecha],"&gt;="&amp;'Libro Mayor'!O$9,Libro_Diario[Fecha],"&lt;="&amp;EOMONTH('Libro Mayor'!O$9,0))</f>
        <v>0</v>
      </c>
      <c r="P36" s="24">
        <f>SUMIFS(Libro_Diario[[Cantidad ]],Libro_Diario[[Tipo ]],Gastos[[#Headers],[Gastos]],Libro_Diario[[Categoria ]],Gastos[[#This Row],[Gastos]],Libro_Diario[Fecha],"&gt;="&amp;'Libro Mayor'!P$9,Libro_Diario[Fecha],"&lt;="&amp;EOMONTH('Libro Mayor'!P$9,0))</f>
        <v>0</v>
      </c>
      <c r="Q36" s="25">
        <f t="shared" si="29"/>
        <v>0</v>
      </c>
      <c r="S36" s="24">
        <f>SUMIFS(Libro_Diario[[Cantidad ]],Libro_Diario[[Tipo ]],Gastos[[#Headers],[Gastos]],Libro_Diario[[Categoria ]],Gastos[[#This Row],[Gastos]],Libro_Diario[Fecha],"&gt;="&amp;'Libro Mayor'!S$9,Libro_Diario[Fecha],"&lt;="&amp;EOMONTH('Libro Mayor'!S$9,0))</f>
        <v>0</v>
      </c>
      <c r="T36" s="24">
        <f>SUMIFS(Libro_Diario[[Cantidad ]],Libro_Diario[[Tipo ]],Gastos[[#Headers],[Gastos]],Libro_Diario[[Categoria ]],Gastos[[#This Row],[Gastos]],Libro_Diario[Fecha],"&gt;="&amp;'Libro Mayor'!T$9,Libro_Diario[Fecha],"&lt;="&amp;EOMONTH('Libro Mayor'!T$9,0))</f>
        <v>0</v>
      </c>
      <c r="U36" s="24">
        <f>SUMIFS(Libro_Diario[[Cantidad ]],Libro_Diario[[Tipo ]],Gastos[[#Headers],[Gastos]],Libro_Diario[[Categoria ]],Gastos[[#This Row],[Gastos]],Libro_Diario[Fecha],"&gt;="&amp;'Libro Mayor'!U$9,Libro_Diario[Fecha],"&lt;="&amp;EOMONTH('Libro Mayor'!U$9,0))</f>
        <v>0</v>
      </c>
      <c r="V36" s="24">
        <f>SUMIFS(Libro_Diario[[Cantidad ]],Libro_Diario[[Tipo ]],Gastos[[#Headers],[Gastos]],Libro_Diario[[Categoria ]],Gastos[[#This Row],[Gastos]],Libro_Diario[Fecha],"&gt;="&amp;'Libro Mayor'!V$9,Libro_Diario[Fecha],"&lt;="&amp;EOMONTH('Libro Mayor'!V$9,0))</f>
        <v>0</v>
      </c>
      <c r="W36" s="24">
        <f>SUMIFS(Libro_Diario[[Cantidad ]],Libro_Diario[[Tipo ]],Gastos[[#Headers],[Gastos]],Libro_Diario[[Categoria ]],Gastos[[#This Row],[Gastos]],Libro_Diario[Fecha],"&gt;="&amp;'Libro Mayor'!W$9,Libro_Diario[Fecha],"&lt;="&amp;EOMONTH('Libro Mayor'!W$9,0))</f>
        <v>0</v>
      </c>
      <c r="X36" s="24">
        <f>SUMIFS(Libro_Diario[[Cantidad ]],Libro_Diario[[Tipo ]],Gastos[[#Headers],[Gastos]],Libro_Diario[[Categoria ]],Gastos[[#This Row],[Gastos]],Libro_Diario[Fecha],"&gt;="&amp;'Libro Mayor'!X$9,Libro_Diario[Fecha],"&lt;="&amp;EOMONTH('Libro Mayor'!X$9,0))</f>
        <v>0</v>
      </c>
      <c r="Y36" s="24">
        <f>SUMIFS(Libro_Diario[[Cantidad ]],Libro_Diario[[Tipo ]],Gastos[[#Headers],[Gastos]],Libro_Diario[[Categoria ]],Gastos[[#This Row],[Gastos]],Libro_Diario[Fecha],"&gt;="&amp;'Libro Mayor'!Y$9,Libro_Diario[Fecha],"&lt;="&amp;EOMONTH('Libro Mayor'!Y$9,0))</f>
        <v>0</v>
      </c>
      <c r="Z36" s="24">
        <f>SUMIFS(Libro_Diario[[Cantidad ]],Libro_Diario[[Tipo ]],Gastos[[#Headers],[Gastos]],Libro_Diario[[Categoria ]],Gastos[[#This Row],[Gastos]],Libro_Diario[Fecha],"&gt;="&amp;'Libro Mayor'!Z$9,Libro_Diario[Fecha],"&lt;="&amp;EOMONTH('Libro Mayor'!Z$9,0))</f>
        <v>0</v>
      </c>
      <c r="AA36" s="24">
        <f>SUMIFS(Libro_Diario[[Cantidad ]],Libro_Diario[[Tipo ]],Gastos[[#Headers],[Gastos]],Libro_Diario[[Categoria ]],Gastos[[#This Row],[Gastos]],Libro_Diario[Fecha],"&gt;="&amp;'Libro Mayor'!AA$9,Libro_Diario[Fecha],"&lt;="&amp;EOMONTH('Libro Mayor'!AA$9,0))</f>
        <v>0</v>
      </c>
      <c r="AB36" s="24">
        <f>SUMIFS(Libro_Diario[[Cantidad ]],Libro_Diario[[Tipo ]],Gastos[[#Headers],[Gastos]],Libro_Diario[[Categoria ]],Gastos[[#This Row],[Gastos]],Libro_Diario[Fecha],"&gt;="&amp;'Libro Mayor'!AB$9,Libro_Diario[Fecha],"&lt;="&amp;EOMONTH('Libro Mayor'!AB$9,0))</f>
        <v>0</v>
      </c>
      <c r="AC36" s="24">
        <f>SUMIFS(Libro_Diario[[Cantidad ]],Libro_Diario[[Tipo ]],Gastos[[#Headers],[Gastos]],Libro_Diario[[Categoria ]],Gastos[[#This Row],[Gastos]],Libro_Diario[Fecha],"&gt;="&amp;'Libro Mayor'!AC$9,Libro_Diario[Fecha],"&lt;="&amp;EOMONTH('Libro Mayor'!AC$9,0))</f>
        <v>0</v>
      </c>
      <c r="AD36" s="24">
        <f>SUMIFS(Libro_Diario[Detalles],Libro_Diario[[Categoria ]],Gastos[[#Headers],[Gastos]],Libro_Diario[[Cantidad ]],Gastos[[#This Row],[Gastos]],Libro_Diario[[Tipo ]],"&gt;="&amp;'Libro Mayor'!AD$9,Libro_Diario[[Tipo ]],"&lt;="&amp;EOMONTH('Libro Mayor'!AD$9,0))</f>
        <v>0</v>
      </c>
      <c r="AE36" s="25">
        <f t="shared" si="49"/>
        <v>0</v>
      </c>
      <c r="AG36" s="24">
        <f>SUMIFS(Libro_Diario[[Cantidad ]],Libro_Diario[[Tipo ]],Gastos[[#Headers],[Gastos]],Libro_Diario[[Categoria ]],Gastos[[#This Row],[Gastos]],Libro_Diario[Fecha],"&gt;="&amp;'Libro Mayor'!AG$9,Libro_Diario[Fecha],"&lt;="&amp;EOMONTH('Libro Mayor'!AG$9,0))</f>
        <v>0</v>
      </c>
      <c r="AH36" s="24">
        <f>SUMIFS(Libro_Diario[[Cantidad ]],Libro_Diario[[Tipo ]],Gastos[[#Headers],[Gastos]],Libro_Diario[[Categoria ]],Gastos[[#This Row],[Gastos]],Libro_Diario[Fecha],"&gt;="&amp;'Libro Mayor'!AH$9,Libro_Diario[Fecha],"&lt;="&amp;EOMONTH('Libro Mayor'!AH$9,0))</f>
        <v>0</v>
      </c>
      <c r="AI36" s="24">
        <f>SUMIFS(Libro_Diario[[Cantidad ]],Libro_Diario[[Tipo ]],Gastos[[#Headers],[Gastos]],Libro_Diario[[Categoria ]],Gastos[[#This Row],[Gastos]],Libro_Diario[Fecha],"&gt;="&amp;'Libro Mayor'!AI$9,Libro_Diario[Fecha],"&lt;="&amp;EOMONTH('Libro Mayor'!AI$9,0))</f>
        <v>0</v>
      </c>
      <c r="AJ36" s="24">
        <f>SUMIFS(Libro_Diario[[Cantidad ]],Libro_Diario[[Tipo ]],Gastos[[#Headers],[Gastos]],Libro_Diario[[Categoria ]],Gastos[[#This Row],[Gastos]],Libro_Diario[Fecha],"&gt;="&amp;'Libro Mayor'!AJ$9,Libro_Diario[Fecha],"&lt;="&amp;EOMONTH('Libro Mayor'!AJ$9,0))</f>
        <v>0</v>
      </c>
      <c r="AK36" s="24">
        <f>SUMIFS(Libro_Diario[[Cantidad ]],Libro_Diario[[Tipo ]],Gastos[[#Headers],[Gastos]],Libro_Diario[[Categoria ]],Gastos[[#This Row],[Gastos]],Libro_Diario[Fecha],"&gt;="&amp;'Libro Mayor'!AK$9,Libro_Diario[Fecha],"&lt;="&amp;EOMONTH('Libro Mayor'!AK$9,0))</f>
        <v>0</v>
      </c>
      <c r="AL36" s="24">
        <f>SUMIFS(Libro_Diario[[Cantidad ]],Libro_Diario[[Tipo ]],Gastos[[#Headers],[Gastos]],Libro_Diario[[Categoria ]],Gastos[[#This Row],[Gastos]],Libro_Diario[Fecha],"&gt;="&amp;'Libro Mayor'!AL$9,Libro_Diario[Fecha],"&lt;="&amp;EOMONTH('Libro Mayor'!AL$9,0))</f>
        <v>0</v>
      </c>
      <c r="AM36" s="24">
        <f>SUMIFS(Libro_Diario[[Cantidad ]],Libro_Diario[[Tipo ]],Gastos[[#Headers],[Gastos]],Libro_Diario[[Categoria ]],Gastos[[#This Row],[Gastos]],Libro_Diario[Fecha],"&gt;="&amp;'Libro Mayor'!AM$9,Libro_Diario[Fecha],"&lt;="&amp;EOMONTH('Libro Mayor'!AM$9,0))</f>
        <v>0</v>
      </c>
      <c r="AN36" s="24">
        <f>SUMIFS(Libro_Diario[[Cantidad ]],Libro_Diario[[Tipo ]],Gastos[[#Headers],[Gastos]],Libro_Diario[[Categoria ]],Gastos[[#This Row],[Gastos]],Libro_Diario[Fecha],"&gt;="&amp;'Libro Mayor'!AN$9,Libro_Diario[Fecha],"&lt;="&amp;EOMONTH('Libro Mayor'!AN$9,0))</f>
        <v>0</v>
      </c>
      <c r="AO36" s="24">
        <f>SUMIFS(Libro_Diario[[Cantidad ]],Libro_Diario[[Tipo ]],Gastos[[#Headers],[Gastos]],Libro_Diario[[Categoria ]],Gastos[[#This Row],[Gastos]],Libro_Diario[Fecha],"&gt;="&amp;'Libro Mayor'!AO$9,Libro_Diario[Fecha],"&lt;="&amp;EOMONTH('Libro Mayor'!AO$9,0))</f>
        <v>0</v>
      </c>
      <c r="AP36" s="24">
        <f>SUMIFS(Libro_Diario[[Cantidad ]],Libro_Diario[[Tipo ]],Gastos[[#Headers],[Gastos]],Libro_Diario[[Categoria ]],Gastos[[#This Row],[Gastos]],Libro_Diario[Fecha],"&gt;="&amp;'Libro Mayor'!AP$9,Libro_Diario[Fecha],"&lt;="&amp;EOMONTH('Libro Mayor'!AP$9,0))</f>
        <v>0</v>
      </c>
      <c r="AQ36" s="24">
        <f>SUMIFS(Libro_Diario[[Cantidad ]],Libro_Diario[[Tipo ]],Gastos[[#Headers],[Gastos]],Libro_Diario[[Categoria ]],Gastos[[#This Row],[Gastos]],Libro_Diario[Fecha],"&gt;="&amp;'Libro Mayor'!AQ$9,Libro_Diario[Fecha],"&lt;="&amp;EOMONTH('Libro Mayor'!AQ$9,0))</f>
        <v>0</v>
      </c>
      <c r="AR36" s="24">
        <f>SUMIFS(Libro_Diario[Detalles],Libro_Diario[[Categoria ]],Gastos[[#Headers],[Gastos]],Libro_Diario[[Cantidad ]],Gastos[[#This Row],[Gastos]],Libro_Diario[[Tipo ]],"&gt;="&amp;'Libro Mayor'!AR$9,Libro_Diario[[Tipo ]],"&lt;="&amp;EOMONTH('Libro Mayor'!AR$9,0))</f>
        <v>0</v>
      </c>
      <c r="AS36" s="25">
        <f t="shared" si="41"/>
        <v>0</v>
      </c>
      <c r="AU36" s="24">
        <f>SUMIFS(Libro_Diario[[Cantidad ]],Libro_Diario[[Tipo ]],Gastos[[#Headers],[Gastos]],Libro_Diario[[Categoria ]],Gastos[[#This Row],[Gastos]],Libro_Diario[Fecha],"&gt;="&amp;'Libro Mayor'!AU$9,Libro_Diario[Fecha],"&lt;="&amp;EOMONTH('Libro Mayor'!AU$9,0))</f>
        <v>0</v>
      </c>
      <c r="AV36" s="24">
        <f>SUMIFS(Libro_Diario[[Cantidad ]],Libro_Diario[[Tipo ]],Gastos[[#Headers],[Gastos]],Libro_Diario[[Categoria ]],Gastos[[#This Row],[Gastos]],Libro_Diario[Fecha],"&gt;="&amp;'Libro Mayor'!AV$9,Libro_Diario[Fecha],"&lt;="&amp;EOMONTH('Libro Mayor'!AV$9,0))</f>
        <v>0</v>
      </c>
      <c r="AW36" s="24">
        <f>SUMIFS(Libro_Diario[[Cantidad ]],Libro_Diario[[Tipo ]],Gastos[[#Headers],[Gastos]],Libro_Diario[[Categoria ]],Gastos[[#This Row],[Gastos]],Libro_Diario[Fecha],"&gt;="&amp;'Libro Mayor'!AW$9,Libro_Diario[Fecha],"&lt;="&amp;EOMONTH('Libro Mayor'!AW$9,0))</f>
        <v>0</v>
      </c>
      <c r="AX36" s="24">
        <f>SUMIFS(Libro_Diario[[Cantidad ]],Libro_Diario[[Tipo ]],Gastos[[#Headers],[Gastos]],Libro_Diario[[Categoria ]],Gastos[[#This Row],[Gastos]],Libro_Diario[Fecha],"&gt;="&amp;'Libro Mayor'!AX$9,Libro_Diario[Fecha],"&lt;="&amp;EOMONTH('Libro Mayor'!AX$9,0))</f>
        <v>0</v>
      </c>
      <c r="AY36" s="24">
        <f>SUMIFS(Libro_Diario[[Cantidad ]],Libro_Diario[[Tipo ]],Gastos[[#Headers],[Gastos]],Libro_Diario[[Categoria ]],Gastos[[#This Row],[Gastos]],Libro_Diario[Fecha],"&gt;="&amp;'Libro Mayor'!AY$9,Libro_Diario[Fecha],"&lt;="&amp;EOMONTH('Libro Mayor'!AY$9,0))</f>
        <v>0</v>
      </c>
      <c r="AZ36" s="24">
        <f>SUMIFS(Libro_Diario[[Cantidad ]],Libro_Diario[[Tipo ]],Gastos[[#Headers],[Gastos]],Libro_Diario[[Categoria ]],Gastos[[#This Row],[Gastos]],Libro_Diario[Fecha],"&gt;="&amp;'Libro Mayor'!AZ$9,Libro_Diario[Fecha],"&lt;="&amp;EOMONTH('Libro Mayor'!AZ$9,0))</f>
        <v>0</v>
      </c>
      <c r="BA36" s="24">
        <f>SUMIFS(Libro_Diario[[Cantidad ]],Libro_Diario[[Tipo ]],Gastos[[#Headers],[Gastos]],Libro_Diario[[Categoria ]],Gastos[[#This Row],[Gastos]],Libro_Diario[Fecha],"&gt;="&amp;'Libro Mayor'!BA$9,Libro_Diario[Fecha],"&lt;="&amp;EOMONTH('Libro Mayor'!BA$9,0))</f>
        <v>0</v>
      </c>
      <c r="BB36" s="24">
        <f>SUMIFS(Libro_Diario[[Cantidad ]],Libro_Diario[[Tipo ]],Gastos[[#Headers],[Gastos]],Libro_Diario[[Categoria ]],Gastos[[#This Row],[Gastos]],Libro_Diario[Fecha],"&gt;="&amp;'Libro Mayor'!BB$9,Libro_Diario[Fecha],"&lt;="&amp;EOMONTH('Libro Mayor'!BB$9,0))</f>
        <v>0</v>
      </c>
      <c r="BC36" s="24">
        <f>SUMIFS(Libro_Diario[[Cantidad ]],Libro_Diario[[Tipo ]],Gastos[[#Headers],[Gastos]],Libro_Diario[[Categoria ]],Gastos[[#This Row],[Gastos]],Libro_Diario[Fecha],"&gt;="&amp;'Libro Mayor'!BC$9,Libro_Diario[Fecha],"&lt;="&amp;EOMONTH('Libro Mayor'!BC$9,0))</f>
        <v>0</v>
      </c>
      <c r="BD36" s="24">
        <f>SUMIFS(Libro_Diario[[Cantidad ]],Libro_Diario[[Tipo ]],Gastos[[#Headers],[Gastos]],Libro_Diario[[Categoria ]],Gastos[[#This Row],[Gastos]],Libro_Diario[Fecha],"&gt;="&amp;'Libro Mayor'!BD$9,Libro_Diario[Fecha],"&lt;="&amp;EOMONTH('Libro Mayor'!BD$9,0))</f>
        <v>0</v>
      </c>
      <c r="BE36" s="24">
        <f>SUMIFS(Libro_Diario[[Cantidad ]],Libro_Diario[[Tipo ]],Gastos[[#Headers],[Gastos]],Libro_Diario[[Categoria ]],Gastos[[#This Row],[Gastos]],Libro_Diario[Fecha],"&gt;="&amp;'Libro Mayor'!BE$9,Libro_Diario[Fecha],"&lt;="&amp;EOMONTH('Libro Mayor'!BE$9,0))</f>
        <v>0</v>
      </c>
      <c r="BF36" s="24">
        <f>SUMIFS(Libro_Diario[Detalles],Libro_Diario[[Categoria ]],Gastos[[#Headers],[Gastos]],Libro_Diario[[Cantidad ]],Gastos[[#This Row],[Gastos]],Libro_Diario[[Tipo ]],"&gt;="&amp;'Libro Mayor'!BF$9,Libro_Diario[[Tipo ]],"&lt;="&amp;EOMONTH('Libro Mayor'!BF$9,0))</f>
        <v>0</v>
      </c>
      <c r="BG36" s="25">
        <f t="shared" si="42"/>
        <v>0</v>
      </c>
      <c r="BI36" s="24">
        <f>SUMIFS(Libro_Diario[[Cantidad ]],Libro_Diario[[Tipo ]],Gastos[[#Headers],[Gastos]],Libro_Diario[[Categoria ]],Gastos[[#This Row],[Gastos]],Libro_Diario[Fecha],"&gt;="&amp;'Libro Mayor'!BI$9,Libro_Diario[Fecha],"&lt;="&amp;EOMONTH('Libro Mayor'!BI$9,0))</f>
        <v>0</v>
      </c>
      <c r="BJ36" s="24">
        <f>SUMIFS(Libro_Diario[[Cantidad ]],Libro_Diario[[Tipo ]],Gastos[[#Headers],[Gastos]],Libro_Diario[[Categoria ]],Gastos[[#This Row],[Gastos]],Libro_Diario[Fecha],"&gt;="&amp;'Libro Mayor'!BJ$9,Libro_Diario[Fecha],"&lt;="&amp;EOMONTH('Libro Mayor'!BJ$9,0))</f>
        <v>0</v>
      </c>
      <c r="BK36" s="24">
        <f>SUMIFS(Libro_Diario[[Cantidad ]],Libro_Diario[[Tipo ]],Gastos[[#Headers],[Gastos]],Libro_Diario[[Categoria ]],Gastos[[#This Row],[Gastos]],Libro_Diario[Fecha],"&gt;="&amp;'Libro Mayor'!BK$9,Libro_Diario[Fecha],"&lt;="&amp;EOMONTH('Libro Mayor'!BK$9,0))</f>
        <v>0</v>
      </c>
      <c r="BL36" s="24">
        <f>SUMIFS(Libro_Diario[[Cantidad ]],Libro_Diario[[Tipo ]],Gastos[[#Headers],[Gastos]],Libro_Diario[[Categoria ]],Gastos[[#This Row],[Gastos]],Libro_Diario[Fecha],"&gt;="&amp;'Libro Mayor'!BL$9,Libro_Diario[Fecha],"&lt;="&amp;EOMONTH('Libro Mayor'!BL$9,0))</f>
        <v>0</v>
      </c>
      <c r="BM36" s="24">
        <f>SUMIFS(Libro_Diario[[Cantidad ]],Libro_Diario[[Tipo ]],Gastos[[#Headers],[Gastos]],Libro_Diario[[Categoria ]],Gastos[[#This Row],[Gastos]],Libro_Diario[Fecha],"&gt;="&amp;'Libro Mayor'!BM$9,Libro_Diario[Fecha],"&lt;="&amp;EOMONTH('Libro Mayor'!BM$9,0))</f>
        <v>0</v>
      </c>
      <c r="BN36" s="24">
        <f>SUMIFS(Libro_Diario[[Cantidad ]],Libro_Diario[[Tipo ]],Gastos[[#Headers],[Gastos]],Libro_Diario[[Categoria ]],Gastos[[#This Row],[Gastos]],Libro_Diario[Fecha],"&gt;="&amp;'Libro Mayor'!BN$9,Libro_Diario[Fecha],"&lt;="&amp;EOMONTH('Libro Mayor'!BN$9,0))</f>
        <v>0</v>
      </c>
      <c r="BO36" s="24">
        <f>SUMIFS(Libro_Diario[[Cantidad ]],Libro_Diario[[Tipo ]],Gastos[[#Headers],[Gastos]],Libro_Diario[[Categoria ]],Gastos[[#This Row],[Gastos]],Libro_Diario[Fecha],"&gt;="&amp;'Libro Mayor'!BO$9,Libro_Diario[Fecha],"&lt;="&amp;EOMONTH('Libro Mayor'!BO$9,0))</f>
        <v>0</v>
      </c>
      <c r="BP36" s="24">
        <f>SUMIFS(Libro_Diario[[Cantidad ]],Libro_Diario[[Tipo ]],Gastos[[#Headers],[Gastos]],Libro_Diario[[Categoria ]],Gastos[[#This Row],[Gastos]],Libro_Diario[Fecha],"&gt;="&amp;'Libro Mayor'!BP$9,Libro_Diario[Fecha],"&lt;="&amp;EOMONTH('Libro Mayor'!BP$9,0))</f>
        <v>0</v>
      </c>
      <c r="BQ36" s="24">
        <f>SUMIFS(Libro_Diario[[Cantidad ]],Libro_Diario[[Tipo ]],Gastos[[#Headers],[Gastos]],Libro_Diario[[Categoria ]],Gastos[[#This Row],[Gastos]],Libro_Diario[Fecha],"&gt;="&amp;'Libro Mayor'!BQ$9,Libro_Diario[Fecha],"&lt;="&amp;EOMONTH('Libro Mayor'!BQ$9,0))</f>
        <v>0</v>
      </c>
      <c r="BR36" s="24">
        <f>SUMIFS(Libro_Diario[[Cantidad ]],Libro_Diario[[Tipo ]],Gastos[[#Headers],[Gastos]],Libro_Diario[[Categoria ]],Gastos[[#This Row],[Gastos]],Libro_Diario[Fecha],"&gt;="&amp;'Libro Mayor'!BR$9,Libro_Diario[Fecha],"&lt;="&amp;EOMONTH('Libro Mayor'!BR$9,0))</f>
        <v>0</v>
      </c>
      <c r="BS36" s="24">
        <f>SUMIFS(Libro_Diario[[Cantidad ]],Libro_Diario[[Tipo ]],Gastos[[#Headers],[Gastos]],Libro_Diario[[Categoria ]],Gastos[[#This Row],[Gastos]],Libro_Diario[Fecha],"&gt;="&amp;'Libro Mayor'!BS$9,Libro_Diario[Fecha],"&lt;="&amp;EOMONTH('Libro Mayor'!BS$9,0))</f>
        <v>0</v>
      </c>
      <c r="BT36" s="24">
        <f>SUMIFS(Libro_Diario[Detalles],Libro_Diario[[Categoria ]],Gastos[[#Headers],[Gastos]],Libro_Diario[[Cantidad ]],Gastos[[#This Row],[Gastos]],Libro_Diario[[Tipo ]],"&gt;="&amp;'Libro Mayor'!BT$9,Libro_Diario[[Tipo ]],"&lt;="&amp;EOMONTH('Libro Mayor'!BT$9,0))</f>
        <v>0</v>
      </c>
      <c r="BU36" s="25">
        <f t="shared" si="43"/>
        <v>0</v>
      </c>
      <c r="BW36" s="24">
        <f>SUMIFS(Libro_Diario[[Cantidad ]],Libro_Diario[[Tipo ]],Gastos[[#Headers],[Gastos]],Libro_Diario[[Categoria ]],Gastos[[#This Row],[Gastos]],Libro_Diario[Fecha],"&gt;="&amp;'Libro Mayor'!BW$9,Libro_Diario[Fecha],"&lt;="&amp;EOMONTH('Libro Mayor'!BW$9,0))</f>
        <v>0</v>
      </c>
      <c r="BX36" s="24">
        <f>SUMIFS(Libro_Diario[[Cantidad ]],Libro_Diario[[Tipo ]],Gastos[[#Headers],[Gastos]],Libro_Diario[[Categoria ]],Gastos[[#This Row],[Gastos]],Libro_Diario[Fecha],"&gt;="&amp;'Libro Mayor'!BX$9,Libro_Diario[Fecha],"&lt;="&amp;EOMONTH('Libro Mayor'!BX$9,0))</f>
        <v>0</v>
      </c>
      <c r="BY36" s="24">
        <f>SUMIFS(Libro_Diario[[Cantidad ]],Libro_Diario[[Tipo ]],Gastos[[#Headers],[Gastos]],Libro_Diario[[Categoria ]],Gastos[[#This Row],[Gastos]],Libro_Diario[Fecha],"&gt;="&amp;'Libro Mayor'!BY$9,Libro_Diario[Fecha],"&lt;="&amp;EOMONTH('Libro Mayor'!BY$9,0))</f>
        <v>0</v>
      </c>
      <c r="BZ36" s="24">
        <f>SUMIFS(Libro_Diario[[Cantidad ]],Libro_Diario[[Tipo ]],Gastos[[#Headers],[Gastos]],Libro_Diario[[Categoria ]],Gastos[[#This Row],[Gastos]],Libro_Diario[Fecha],"&gt;="&amp;'Libro Mayor'!BZ$9,Libro_Diario[Fecha],"&lt;="&amp;EOMONTH('Libro Mayor'!BZ$9,0))</f>
        <v>0</v>
      </c>
      <c r="CA36" s="24">
        <f>SUMIFS(Libro_Diario[[Cantidad ]],Libro_Diario[[Tipo ]],Gastos[[#Headers],[Gastos]],Libro_Diario[[Categoria ]],Gastos[[#This Row],[Gastos]],Libro_Diario[Fecha],"&gt;="&amp;'Libro Mayor'!CA$9,Libro_Diario[Fecha],"&lt;="&amp;EOMONTH('Libro Mayor'!CA$9,0))</f>
        <v>0</v>
      </c>
      <c r="CB36" s="24">
        <f>SUMIFS(Libro_Diario[[Cantidad ]],Libro_Diario[[Tipo ]],Gastos[[#Headers],[Gastos]],Libro_Diario[[Categoria ]],Gastos[[#This Row],[Gastos]],Libro_Diario[Fecha],"&gt;="&amp;'Libro Mayor'!CB$9,Libro_Diario[Fecha],"&lt;="&amp;EOMONTH('Libro Mayor'!CB$9,0))</f>
        <v>0</v>
      </c>
      <c r="CC36" s="24">
        <f>SUMIFS(Libro_Diario[[Cantidad ]],Libro_Diario[[Tipo ]],Gastos[[#Headers],[Gastos]],Libro_Diario[[Categoria ]],Gastos[[#This Row],[Gastos]],Libro_Diario[Fecha],"&gt;="&amp;'Libro Mayor'!CC$9,Libro_Diario[Fecha],"&lt;="&amp;EOMONTH('Libro Mayor'!CC$9,0))</f>
        <v>0</v>
      </c>
      <c r="CD36" s="24">
        <f>SUMIFS(Libro_Diario[[Cantidad ]],Libro_Diario[[Tipo ]],Gastos[[#Headers],[Gastos]],Libro_Diario[[Categoria ]],Gastos[[#This Row],[Gastos]],Libro_Diario[Fecha],"&gt;="&amp;'Libro Mayor'!CD$9,Libro_Diario[Fecha],"&lt;="&amp;EOMONTH('Libro Mayor'!CD$9,0))</f>
        <v>0</v>
      </c>
      <c r="CE36" s="24">
        <f>SUMIFS(Libro_Diario[[Cantidad ]],Libro_Diario[[Tipo ]],Gastos[[#Headers],[Gastos]],Libro_Diario[[Categoria ]],Gastos[[#This Row],[Gastos]],Libro_Diario[Fecha],"&gt;="&amp;'Libro Mayor'!CE$9,Libro_Diario[Fecha],"&lt;="&amp;EOMONTH('Libro Mayor'!CE$9,0))</f>
        <v>0</v>
      </c>
      <c r="CF36" s="24">
        <f>SUMIFS(Libro_Diario[[Cantidad ]],Libro_Diario[[Tipo ]],Gastos[[#Headers],[Gastos]],Libro_Diario[[Categoria ]],Gastos[[#This Row],[Gastos]],Libro_Diario[Fecha],"&gt;="&amp;'Libro Mayor'!CF$9,Libro_Diario[Fecha],"&lt;="&amp;EOMONTH('Libro Mayor'!CF$9,0))</f>
        <v>0</v>
      </c>
      <c r="CG36" s="24">
        <f>SUMIFS(Libro_Diario[[Cantidad ]],Libro_Diario[[Tipo ]],Gastos[[#Headers],[Gastos]],Libro_Diario[[Categoria ]],Gastos[[#This Row],[Gastos]],Libro_Diario[Fecha],"&gt;="&amp;'Libro Mayor'!CG$9,Libro_Diario[Fecha],"&lt;="&amp;EOMONTH('Libro Mayor'!CG$9,0))</f>
        <v>0</v>
      </c>
      <c r="CH36" s="24">
        <f>SUMIFS(Libro_Diario[Detalles],Libro_Diario[[Categoria ]],Gastos[[#Headers],[Gastos]],Libro_Diario[[Cantidad ]],Gastos[[#This Row],[Gastos]],Libro_Diario[[Tipo ]],"&gt;="&amp;'Libro Mayor'!CH$9,Libro_Diario[[Tipo ]],"&lt;="&amp;EOMONTH('Libro Mayor'!CH$9,0))</f>
        <v>0</v>
      </c>
      <c r="CI36" s="25">
        <f t="shared" si="44"/>
        <v>0</v>
      </c>
      <c r="CK36" s="24">
        <f>SUMIFS(Libro_Diario[[Cantidad ]],Libro_Diario[[Tipo ]],Gastos[[#Headers],[Gastos]],Libro_Diario[[Categoria ]],Gastos[[#This Row],[Gastos]],Libro_Diario[Fecha],"&gt;="&amp;'Libro Mayor'!CK$9,Libro_Diario[Fecha],"&lt;="&amp;EOMONTH('Libro Mayor'!CK$9,0))</f>
        <v>0</v>
      </c>
      <c r="CL36" s="24">
        <f>SUMIFS(Libro_Diario[[Cantidad ]],Libro_Diario[[Tipo ]],Gastos[[#Headers],[Gastos]],Libro_Diario[[Categoria ]],Gastos[[#This Row],[Gastos]],Libro_Diario[Fecha],"&gt;="&amp;'Libro Mayor'!CL$9,Libro_Diario[Fecha],"&lt;="&amp;EOMONTH('Libro Mayor'!CL$9,0))</f>
        <v>0</v>
      </c>
      <c r="CM36" s="24">
        <f>SUMIFS(Libro_Diario[[Cantidad ]],Libro_Diario[[Tipo ]],Gastos[[#Headers],[Gastos]],Libro_Diario[[Categoria ]],Gastos[[#This Row],[Gastos]],Libro_Diario[Fecha],"&gt;="&amp;'Libro Mayor'!CM$9,Libro_Diario[Fecha],"&lt;="&amp;EOMONTH('Libro Mayor'!CM$9,0))</f>
        <v>0</v>
      </c>
      <c r="CN36" s="24">
        <f>SUMIFS(Libro_Diario[[Cantidad ]],Libro_Diario[[Tipo ]],Gastos[[#Headers],[Gastos]],Libro_Diario[[Categoria ]],Gastos[[#This Row],[Gastos]],Libro_Diario[Fecha],"&gt;="&amp;'Libro Mayor'!CN$9,Libro_Diario[Fecha],"&lt;="&amp;EOMONTH('Libro Mayor'!CN$9,0))</f>
        <v>0</v>
      </c>
      <c r="CO36" s="24">
        <f>SUMIFS(Libro_Diario[[Cantidad ]],Libro_Diario[[Tipo ]],Gastos[[#Headers],[Gastos]],Libro_Diario[[Categoria ]],Gastos[[#This Row],[Gastos]],Libro_Diario[Fecha],"&gt;="&amp;'Libro Mayor'!CO$9,Libro_Diario[Fecha],"&lt;="&amp;EOMONTH('Libro Mayor'!CO$9,0))</f>
        <v>0</v>
      </c>
      <c r="CP36" s="24">
        <f>SUMIFS(Libro_Diario[[Cantidad ]],Libro_Diario[[Tipo ]],Gastos[[#Headers],[Gastos]],Libro_Diario[[Categoria ]],Gastos[[#This Row],[Gastos]],Libro_Diario[Fecha],"&gt;="&amp;'Libro Mayor'!CP$9,Libro_Diario[Fecha],"&lt;="&amp;EOMONTH('Libro Mayor'!CP$9,0))</f>
        <v>0</v>
      </c>
      <c r="CQ36" s="24">
        <f>SUMIFS(Libro_Diario[[Cantidad ]],Libro_Diario[[Tipo ]],Gastos[[#Headers],[Gastos]],Libro_Diario[[Categoria ]],Gastos[[#This Row],[Gastos]],Libro_Diario[Fecha],"&gt;="&amp;'Libro Mayor'!CQ$9,Libro_Diario[Fecha],"&lt;="&amp;EOMONTH('Libro Mayor'!CQ$9,0))</f>
        <v>0</v>
      </c>
      <c r="CR36" s="24">
        <f>SUMIFS(Libro_Diario[[Cantidad ]],Libro_Diario[[Tipo ]],Gastos[[#Headers],[Gastos]],Libro_Diario[[Categoria ]],Gastos[[#This Row],[Gastos]],Libro_Diario[Fecha],"&gt;="&amp;'Libro Mayor'!CR$9,Libro_Diario[Fecha],"&lt;="&amp;EOMONTH('Libro Mayor'!CR$9,0))</f>
        <v>0</v>
      </c>
      <c r="CS36" s="24">
        <f>SUMIFS(Libro_Diario[[Cantidad ]],Libro_Diario[[Tipo ]],Gastos[[#Headers],[Gastos]],Libro_Diario[[Categoria ]],Gastos[[#This Row],[Gastos]],Libro_Diario[Fecha],"&gt;="&amp;'Libro Mayor'!CS$9,Libro_Diario[Fecha],"&lt;="&amp;EOMONTH('Libro Mayor'!CS$9,0))</f>
        <v>0</v>
      </c>
      <c r="CT36" s="24">
        <f>SUMIFS(Libro_Diario[[Cantidad ]],Libro_Diario[[Tipo ]],Gastos[[#Headers],[Gastos]],Libro_Diario[[Categoria ]],Gastos[[#This Row],[Gastos]],Libro_Diario[Fecha],"&gt;="&amp;'Libro Mayor'!CT$9,Libro_Diario[Fecha],"&lt;="&amp;EOMONTH('Libro Mayor'!CT$9,0))</f>
        <v>0</v>
      </c>
      <c r="CU36" s="24">
        <f>SUMIFS(Libro_Diario[[Cantidad ]],Libro_Diario[[Tipo ]],Gastos[[#Headers],[Gastos]],Libro_Diario[[Categoria ]],Gastos[[#This Row],[Gastos]],Libro_Diario[Fecha],"&gt;="&amp;'Libro Mayor'!CU$9,Libro_Diario[Fecha],"&lt;="&amp;EOMONTH('Libro Mayor'!CU$9,0))</f>
        <v>0</v>
      </c>
      <c r="CV36" s="24">
        <f>SUMIFS(Libro_Diario[Detalles],Libro_Diario[[Categoria ]],Gastos[[#Headers],[Gastos]],Libro_Diario[[Cantidad ]],Gastos[[#This Row],[Gastos]],Libro_Diario[[Tipo ]],"&gt;="&amp;'Libro Mayor'!CV$9,Libro_Diario[[Tipo ]],"&lt;="&amp;EOMONTH('Libro Mayor'!CV$9,0))</f>
        <v>0</v>
      </c>
      <c r="CW36" s="25">
        <f t="shared" si="45"/>
        <v>0</v>
      </c>
      <c r="CY36" s="24">
        <f>SUMIFS(Libro_Diario[[Cantidad ]],Libro_Diario[[Tipo ]],Gastos[[#Headers],[Gastos]],Libro_Diario[[Categoria ]],Gastos[[#This Row],[Gastos]],Libro_Diario[Fecha],"&gt;="&amp;'Libro Mayor'!CY$9,Libro_Diario[Fecha],"&lt;="&amp;EOMONTH('Libro Mayor'!CY$9,0))</f>
        <v>0</v>
      </c>
      <c r="CZ36" s="24">
        <f>SUMIFS(Libro_Diario[[Cantidad ]],Libro_Diario[[Tipo ]],Gastos[[#Headers],[Gastos]],Libro_Diario[[Categoria ]],Gastos[[#This Row],[Gastos]],Libro_Diario[Fecha],"&gt;="&amp;'Libro Mayor'!CZ$9,Libro_Diario[Fecha],"&lt;="&amp;EOMONTH('Libro Mayor'!CZ$9,0))</f>
        <v>0</v>
      </c>
      <c r="DA36" s="24">
        <f>SUMIFS(Libro_Diario[[Cantidad ]],Libro_Diario[[Tipo ]],Gastos[[#Headers],[Gastos]],Libro_Diario[[Categoria ]],Gastos[[#This Row],[Gastos]],Libro_Diario[Fecha],"&gt;="&amp;'Libro Mayor'!DA$9,Libro_Diario[Fecha],"&lt;="&amp;EOMONTH('Libro Mayor'!DA$9,0))</f>
        <v>0</v>
      </c>
      <c r="DB36" s="24">
        <f>SUMIFS(Libro_Diario[[Cantidad ]],Libro_Diario[[Tipo ]],Gastos[[#Headers],[Gastos]],Libro_Diario[[Categoria ]],Gastos[[#This Row],[Gastos]],Libro_Diario[Fecha],"&gt;="&amp;'Libro Mayor'!DB$9,Libro_Diario[Fecha],"&lt;="&amp;EOMONTH('Libro Mayor'!DB$9,0))</f>
        <v>0</v>
      </c>
      <c r="DC36" s="24">
        <f>SUMIFS(Libro_Diario[[Cantidad ]],Libro_Diario[[Tipo ]],Gastos[[#Headers],[Gastos]],Libro_Diario[[Categoria ]],Gastos[[#This Row],[Gastos]],Libro_Diario[Fecha],"&gt;="&amp;'Libro Mayor'!DC$9,Libro_Diario[Fecha],"&lt;="&amp;EOMONTH('Libro Mayor'!DC$9,0))</f>
        <v>0</v>
      </c>
      <c r="DD36" s="24">
        <f>SUMIFS(Libro_Diario[[Cantidad ]],Libro_Diario[[Tipo ]],Gastos[[#Headers],[Gastos]],Libro_Diario[[Categoria ]],Gastos[[#This Row],[Gastos]],Libro_Diario[Fecha],"&gt;="&amp;'Libro Mayor'!DD$9,Libro_Diario[Fecha],"&lt;="&amp;EOMONTH('Libro Mayor'!DD$9,0))</f>
        <v>0</v>
      </c>
      <c r="DE36" s="24">
        <f>SUMIFS(Libro_Diario[[Cantidad ]],Libro_Diario[[Tipo ]],Gastos[[#Headers],[Gastos]],Libro_Diario[[Categoria ]],Gastos[[#This Row],[Gastos]],Libro_Diario[Fecha],"&gt;="&amp;'Libro Mayor'!DE$9,Libro_Diario[Fecha],"&lt;="&amp;EOMONTH('Libro Mayor'!DE$9,0))</f>
        <v>0</v>
      </c>
      <c r="DF36" s="24">
        <f>SUMIFS(Libro_Diario[[Cantidad ]],Libro_Diario[[Tipo ]],Gastos[[#Headers],[Gastos]],Libro_Diario[[Categoria ]],Gastos[[#This Row],[Gastos]],Libro_Diario[Fecha],"&gt;="&amp;'Libro Mayor'!DF$9,Libro_Diario[Fecha],"&lt;="&amp;EOMONTH('Libro Mayor'!DF$9,0))</f>
        <v>0</v>
      </c>
      <c r="DG36" s="24">
        <f>SUMIFS(Libro_Diario[[Cantidad ]],Libro_Diario[[Tipo ]],Gastos[[#Headers],[Gastos]],Libro_Diario[[Categoria ]],Gastos[[#This Row],[Gastos]],Libro_Diario[Fecha],"&gt;="&amp;'Libro Mayor'!DG$9,Libro_Diario[Fecha],"&lt;="&amp;EOMONTH('Libro Mayor'!DG$9,0))</f>
        <v>0</v>
      </c>
      <c r="DH36" s="24">
        <f>SUMIFS(Libro_Diario[[Cantidad ]],Libro_Diario[[Tipo ]],Gastos[[#Headers],[Gastos]],Libro_Diario[[Categoria ]],Gastos[[#This Row],[Gastos]],Libro_Diario[Fecha],"&gt;="&amp;'Libro Mayor'!DH$9,Libro_Diario[Fecha],"&lt;="&amp;EOMONTH('Libro Mayor'!DH$9,0))</f>
        <v>0</v>
      </c>
      <c r="DI36" s="24">
        <f>SUMIFS(Libro_Diario[[Cantidad ]],Libro_Diario[[Tipo ]],Gastos[[#Headers],[Gastos]],Libro_Diario[[Categoria ]],Gastos[[#This Row],[Gastos]],Libro_Diario[Fecha],"&gt;="&amp;'Libro Mayor'!DI$9,Libro_Diario[Fecha],"&lt;="&amp;EOMONTH('Libro Mayor'!DI$9,0))</f>
        <v>0</v>
      </c>
      <c r="DJ36" s="24">
        <f>SUMIFS(Libro_Diario[Detalles],Libro_Diario[[Categoria ]],Gastos[[#Headers],[Gastos]],Libro_Diario[[Cantidad ]],Gastos[[#This Row],[Gastos]],Libro_Diario[[Tipo ]],"&gt;="&amp;'Libro Mayor'!DJ$9,Libro_Diario[[Tipo ]],"&lt;="&amp;EOMONTH('Libro Mayor'!DJ$9,0))</f>
        <v>0</v>
      </c>
      <c r="DK36" s="25">
        <f t="shared" si="46"/>
        <v>0</v>
      </c>
      <c r="DM36" s="24">
        <f>SUMIFS(Libro_Diario[[Cantidad ]],Libro_Diario[[Tipo ]],Gastos[[#Headers],[Gastos]],Libro_Diario[[Categoria ]],Gastos[[#This Row],[Gastos]],Libro_Diario[Fecha],"&gt;="&amp;'Libro Mayor'!DM$9,Libro_Diario[Fecha],"&lt;="&amp;EOMONTH('Libro Mayor'!DM$9,0))</f>
        <v>0</v>
      </c>
      <c r="DN36" s="24">
        <f>SUMIFS(Libro_Diario[[Cantidad ]],Libro_Diario[[Tipo ]],Gastos[[#Headers],[Gastos]],Libro_Diario[[Categoria ]],Gastos[[#This Row],[Gastos]],Libro_Diario[Fecha],"&gt;="&amp;'Libro Mayor'!DN$9,Libro_Diario[Fecha],"&lt;="&amp;EOMONTH('Libro Mayor'!DN$9,0))</f>
        <v>0</v>
      </c>
      <c r="DO36" s="24">
        <f>SUMIFS(Libro_Diario[[Cantidad ]],Libro_Diario[[Tipo ]],Gastos[[#Headers],[Gastos]],Libro_Diario[[Categoria ]],Gastos[[#This Row],[Gastos]],Libro_Diario[Fecha],"&gt;="&amp;'Libro Mayor'!DO$9,Libro_Diario[Fecha],"&lt;="&amp;EOMONTH('Libro Mayor'!DO$9,0))</f>
        <v>0</v>
      </c>
      <c r="DP36" s="24">
        <f>SUMIFS(Libro_Diario[[Cantidad ]],Libro_Diario[[Tipo ]],Gastos[[#Headers],[Gastos]],Libro_Diario[[Categoria ]],Gastos[[#This Row],[Gastos]],Libro_Diario[Fecha],"&gt;="&amp;'Libro Mayor'!DP$9,Libro_Diario[Fecha],"&lt;="&amp;EOMONTH('Libro Mayor'!DP$9,0))</f>
        <v>0</v>
      </c>
      <c r="DQ36" s="24">
        <f>SUMIFS(Libro_Diario[[Cantidad ]],Libro_Diario[[Tipo ]],Gastos[[#Headers],[Gastos]],Libro_Diario[[Categoria ]],Gastos[[#This Row],[Gastos]],Libro_Diario[Fecha],"&gt;="&amp;'Libro Mayor'!DQ$9,Libro_Diario[Fecha],"&lt;="&amp;EOMONTH('Libro Mayor'!DQ$9,0))</f>
        <v>0</v>
      </c>
      <c r="DR36" s="24">
        <f>SUMIFS(Libro_Diario[[Cantidad ]],Libro_Diario[[Tipo ]],Gastos[[#Headers],[Gastos]],Libro_Diario[[Categoria ]],Gastos[[#This Row],[Gastos]],Libro_Diario[Fecha],"&gt;="&amp;'Libro Mayor'!DR$9,Libro_Diario[Fecha],"&lt;="&amp;EOMONTH('Libro Mayor'!DR$9,0))</f>
        <v>0</v>
      </c>
      <c r="DS36" s="24">
        <f>SUMIFS(Libro_Diario[[Cantidad ]],Libro_Diario[[Tipo ]],Gastos[[#Headers],[Gastos]],Libro_Diario[[Categoria ]],Gastos[[#This Row],[Gastos]],Libro_Diario[Fecha],"&gt;="&amp;'Libro Mayor'!DS$9,Libro_Diario[Fecha],"&lt;="&amp;EOMONTH('Libro Mayor'!DS$9,0))</f>
        <v>0</v>
      </c>
      <c r="DT36" s="24">
        <f>SUMIFS(Libro_Diario[[Cantidad ]],Libro_Diario[[Tipo ]],Gastos[[#Headers],[Gastos]],Libro_Diario[[Categoria ]],Gastos[[#This Row],[Gastos]],Libro_Diario[Fecha],"&gt;="&amp;'Libro Mayor'!DT$9,Libro_Diario[Fecha],"&lt;="&amp;EOMONTH('Libro Mayor'!DT$9,0))</f>
        <v>0</v>
      </c>
      <c r="DU36" s="24">
        <f>SUMIFS(Libro_Diario[[Cantidad ]],Libro_Diario[[Tipo ]],Gastos[[#Headers],[Gastos]],Libro_Diario[[Categoria ]],Gastos[[#This Row],[Gastos]],Libro_Diario[Fecha],"&gt;="&amp;'Libro Mayor'!DU$9,Libro_Diario[Fecha],"&lt;="&amp;EOMONTH('Libro Mayor'!DU$9,0))</f>
        <v>0</v>
      </c>
      <c r="DV36" s="24">
        <f>SUMIFS(Libro_Diario[[Cantidad ]],Libro_Diario[[Tipo ]],Gastos[[#Headers],[Gastos]],Libro_Diario[[Categoria ]],Gastos[[#This Row],[Gastos]],Libro_Diario[Fecha],"&gt;="&amp;'Libro Mayor'!DV$9,Libro_Diario[Fecha],"&lt;="&amp;EOMONTH('Libro Mayor'!DV$9,0))</f>
        <v>0</v>
      </c>
      <c r="DW36" s="24">
        <f>SUMIFS(Libro_Diario[[Cantidad ]],Libro_Diario[[Tipo ]],Gastos[[#Headers],[Gastos]],Libro_Diario[[Categoria ]],Gastos[[#This Row],[Gastos]],Libro_Diario[Fecha],"&gt;="&amp;'Libro Mayor'!DW$9,Libro_Diario[Fecha],"&lt;="&amp;EOMONTH('Libro Mayor'!DW$9,0))</f>
        <v>0</v>
      </c>
      <c r="DX36" s="24">
        <f>SUMIFS(Libro_Diario[Detalles],Libro_Diario[[Categoria ]],Gastos[[#Headers],[Gastos]],Libro_Diario[[Cantidad ]],Gastos[[#This Row],[Gastos]],Libro_Diario[[Tipo ]],"&gt;="&amp;'Libro Mayor'!DX$9,Libro_Diario[[Tipo ]],"&lt;="&amp;EOMONTH('Libro Mayor'!DX$9,0))</f>
        <v>0</v>
      </c>
      <c r="DY36" s="25">
        <f t="shared" si="47"/>
        <v>0</v>
      </c>
      <c r="EA36" s="24">
        <f>SUMIFS(Libro_Diario[[Cantidad ]],Libro_Diario[[Tipo ]],Gastos[[#Headers],[Gastos]],Libro_Diario[[Categoria ]],Gastos[[#This Row],[Gastos]],Libro_Diario[Fecha],"&gt;="&amp;'Libro Mayor'!EA$9,Libro_Diario[Fecha],"&lt;="&amp;EOMONTH('Libro Mayor'!EA$9,0))</f>
        <v>0</v>
      </c>
      <c r="EB36" s="24">
        <f>SUMIFS(Libro_Diario[[Cantidad ]],Libro_Diario[[Tipo ]],Gastos[[#Headers],[Gastos]],Libro_Diario[[Categoria ]],Gastos[[#This Row],[Gastos]],Libro_Diario[Fecha],"&gt;="&amp;'Libro Mayor'!EB$9,Libro_Diario[Fecha],"&lt;="&amp;EOMONTH('Libro Mayor'!EB$9,0))</f>
        <v>0</v>
      </c>
      <c r="EC36" s="24">
        <f>SUMIFS(Libro_Diario[[Cantidad ]],Libro_Diario[[Tipo ]],Gastos[[#Headers],[Gastos]],Libro_Diario[[Categoria ]],Gastos[[#This Row],[Gastos]],Libro_Diario[Fecha],"&gt;="&amp;'Libro Mayor'!EC$9,Libro_Diario[Fecha],"&lt;="&amp;EOMONTH('Libro Mayor'!EC$9,0))</f>
        <v>0</v>
      </c>
      <c r="ED36" s="24">
        <f>SUMIFS(Libro_Diario[[Cantidad ]],Libro_Diario[[Tipo ]],Gastos[[#Headers],[Gastos]],Libro_Diario[[Categoria ]],Gastos[[#This Row],[Gastos]],Libro_Diario[Fecha],"&gt;="&amp;'Libro Mayor'!ED$9,Libro_Diario[Fecha],"&lt;="&amp;EOMONTH('Libro Mayor'!ED$9,0))</f>
        <v>0</v>
      </c>
      <c r="EE36" s="24">
        <f>SUMIFS(Libro_Diario[[Cantidad ]],Libro_Diario[[Tipo ]],Gastos[[#Headers],[Gastos]],Libro_Diario[[Categoria ]],Gastos[[#This Row],[Gastos]],Libro_Diario[Fecha],"&gt;="&amp;'Libro Mayor'!EE$9,Libro_Diario[Fecha],"&lt;="&amp;EOMONTH('Libro Mayor'!EE$9,0))</f>
        <v>0</v>
      </c>
      <c r="EF36" s="24">
        <f>SUMIFS(Libro_Diario[[Cantidad ]],Libro_Diario[[Tipo ]],Gastos[[#Headers],[Gastos]],Libro_Diario[[Categoria ]],Gastos[[#This Row],[Gastos]],Libro_Diario[Fecha],"&gt;="&amp;'Libro Mayor'!EF$9,Libro_Diario[Fecha],"&lt;="&amp;EOMONTH('Libro Mayor'!EF$9,0))</f>
        <v>0</v>
      </c>
      <c r="EG36" s="24">
        <f>SUMIFS(Libro_Diario[[Cantidad ]],Libro_Diario[[Tipo ]],Gastos[[#Headers],[Gastos]],Libro_Diario[[Categoria ]],Gastos[[#This Row],[Gastos]],Libro_Diario[Fecha],"&gt;="&amp;'Libro Mayor'!EG$9,Libro_Diario[Fecha],"&lt;="&amp;EOMONTH('Libro Mayor'!EG$9,0))</f>
        <v>0</v>
      </c>
      <c r="EH36" s="24">
        <f>SUMIFS(Libro_Diario[[Cantidad ]],Libro_Diario[[Tipo ]],Gastos[[#Headers],[Gastos]],Libro_Diario[[Categoria ]],Gastos[[#This Row],[Gastos]],Libro_Diario[Fecha],"&gt;="&amp;'Libro Mayor'!EH$9,Libro_Diario[Fecha],"&lt;="&amp;EOMONTH('Libro Mayor'!EH$9,0))</f>
        <v>0</v>
      </c>
      <c r="EI36" s="24">
        <f>SUMIFS(Libro_Diario[[Cantidad ]],Libro_Diario[[Tipo ]],Gastos[[#Headers],[Gastos]],Libro_Diario[[Categoria ]],Gastos[[#This Row],[Gastos]],Libro_Diario[Fecha],"&gt;="&amp;'Libro Mayor'!EI$9,Libro_Diario[Fecha],"&lt;="&amp;EOMONTH('Libro Mayor'!EI$9,0))</f>
        <v>0</v>
      </c>
      <c r="EJ36" s="24">
        <f>SUMIFS(Libro_Diario[[Cantidad ]],Libro_Diario[[Tipo ]],Gastos[[#Headers],[Gastos]],Libro_Diario[[Categoria ]],Gastos[[#This Row],[Gastos]],Libro_Diario[Fecha],"&gt;="&amp;'Libro Mayor'!EJ$9,Libro_Diario[Fecha],"&lt;="&amp;EOMONTH('Libro Mayor'!EJ$9,0))</f>
        <v>0</v>
      </c>
      <c r="EK36" s="24">
        <f>SUMIFS(Libro_Diario[[Cantidad ]],Libro_Diario[[Tipo ]],Gastos[[#Headers],[Gastos]],Libro_Diario[[Categoria ]],Gastos[[#This Row],[Gastos]],Libro_Diario[Fecha],"&gt;="&amp;'Libro Mayor'!EK$9,Libro_Diario[Fecha],"&lt;="&amp;EOMONTH('Libro Mayor'!EK$9,0))</f>
        <v>0</v>
      </c>
      <c r="EL36" s="24">
        <f>SUMIFS(Libro_Diario[Detalles],Libro_Diario[[Categoria ]],Gastos[[#Headers],[Gastos]],Libro_Diario[[Cantidad ]],Gastos[[#This Row],[Gastos]],Libro_Diario[[Tipo ]],"&gt;="&amp;'Libro Mayor'!EL$9,Libro_Diario[[Tipo ]],"&lt;="&amp;EOMONTH('Libro Mayor'!EL$9,0))</f>
        <v>0</v>
      </c>
      <c r="EM36" s="25">
        <f t="shared" si="48"/>
        <v>0</v>
      </c>
      <c r="EO36" s="24">
        <f>SUMIFS(Libro_Diario[[Cantidad ]],Libro_Diario[[Tipo ]],Gastos[[#Headers],[Gastos]],Libro_Diario[[Categoria ]],Gastos[[#This Row],[Gastos]],Libro_Diario[Fecha],"&gt;="&amp;'Libro Mayor'!EO$9,Libro_Diario[Fecha],"&lt;="&amp;EOMONTH('Libro Mayor'!EO$9,0))</f>
        <v>0</v>
      </c>
      <c r="EP36" s="24">
        <f>SUMIFS(Libro_Diario[[Cantidad ]],Libro_Diario[[Tipo ]],Gastos[[#Headers],[Gastos]],Libro_Diario[[Categoria ]],Gastos[[#This Row],[Gastos]],Libro_Diario[Fecha],"&gt;="&amp;'Libro Mayor'!EP$9,Libro_Diario[Fecha],"&lt;="&amp;EOMONTH('Libro Mayor'!EP$9,0))</f>
        <v>0</v>
      </c>
      <c r="EQ36" s="24">
        <f>SUMIFS(Libro_Diario[[Cantidad ]],Libro_Diario[[Tipo ]],Gastos[[#Headers],[Gastos]],Libro_Diario[[Categoria ]],Gastos[[#This Row],[Gastos]],Libro_Diario[Fecha],"&gt;="&amp;'Libro Mayor'!EQ$9,Libro_Diario[Fecha],"&lt;="&amp;EOMONTH('Libro Mayor'!EQ$9,0))</f>
        <v>0</v>
      </c>
      <c r="ER36" s="24">
        <f>SUMIFS(Libro_Diario[[Cantidad ]],Libro_Diario[[Tipo ]],Gastos[[#Headers],[Gastos]],Libro_Diario[[Categoria ]],Gastos[[#This Row],[Gastos]],Libro_Diario[Fecha],"&gt;="&amp;'Libro Mayor'!ER$9,Libro_Diario[Fecha],"&lt;="&amp;EOMONTH('Libro Mayor'!ER$9,0))</f>
        <v>0</v>
      </c>
      <c r="ES36" s="24">
        <f>SUMIFS(Libro_Diario[[Cantidad ]],Libro_Diario[[Tipo ]],Gastos[[#Headers],[Gastos]],Libro_Diario[[Categoria ]],Gastos[[#This Row],[Gastos]],Libro_Diario[Fecha],"&gt;="&amp;'Libro Mayor'!ES$9,Libro_Diario[Fecha],"&lt;="&amp;EOMONTH('Libro Mayor'!ES$9,0))</f>
        <v>0</v>
      </c>
      <c r="ET36" s="24">
        <f>SUMIFS(Libro_Diario[[Cantidad ]],Libro_Diario[[Tipo ]],Gastos[[#Headers],[Gastos]],Libro_Diario[[Categoria ]],Gastos[[#This Row],[Gastos]],Libro_Diario[Fecha],"&gt;="&amp;'Libro Mayor'!ET$9,Libro_Diario[Fecha],"&lt;="&amp;EOMONTH('Libro Mayor'!ET$9,0))</f>
        <v>0</v>
      </c>
      <c r="EU36" s="24">
        <f>SUMIFS(Libro_Diario[[Cantidad ]],Libro_Diario[[Tipo ]],Gastos[[#Headers],[Gastos]],Libro_Diario[[Categoria ]],Gastos[[#This Row],[Gastos]],Libro_Diario[Fecha],"&gt;="&amp;'Libro Mayor'!EU$9,Libro_Diario[Fecha],"&lt;="&amp;EOMONTH('Libro Mayor'!EU$9,0))</f>
        <v>0</v>
      </c>
      <c r="EV36" s="24">
        <f>SUMIFS(Libro_Diario[[Cantidad ]],Libro_Diario[[Tipo ]],Gastos[[#Headers],[Gastos]],Libro_Diario[[Categoria ]],Gastos[[#This Row],[Gastos]],Libro_Diario[Fecha],"&gt;="&amp;'Libro Mayor'!EV$9,Libro_Diario[Fecha],"&lt;="&amp;EOMONTH('Libro Mayor'!EV$9,0))</f>
        <v>0</v>
      </c>
      <c r="EW36" s="24">
        <f>SUMIFS(Libro_Diario[[Cantidad ]],Libro_Diario[[Tipo ]],Gastos[[#Headers],[Gastos]],Libro_Diario[[Categoria ]],Gastos[[#This Row],[Gastos]],Libro_Diario[Fecha],"&gt;="&amp;'Libro Mayor'!EW$9,Libro_Diario[Fecha],"&lt;="&amp;EOMONTH('Libro Mayor'!EW$9,0))</f>
        <v>0</v>
      </c>
      <c r="EX36" s="24">
        <f>SUMIFS(Libro_Diario[[Cantidad ]],Libro_Diario[[Tipo ]],Gastos[[#Headers],[Gastos]],Libro_Diario[[Categoria ]],Gastos[[#This Row],[Gastos]],Libro_Diario[Fecha],"&gt;="&amp;'Libro Mayor'!EX$9,Libro_Diario[Fecha],"&lt;="&amp;EOMONTH('Libro Mayor'!EX$9,0))</f>
        <v>0</v>
      </c>
      <c r="EY36" s="24">
        <f>SUMIFS(Libro_Diario[[Cantidad ]],Libro_Diario[[Tipo ]],Gastos[[#Headers],[Gastos]],Libro_Diario[[Categoria ]],Gastos[[#This Row],[Gastos]],Libro_Diario[Fecha],"&gt;="&amp;'Libro Mayor'!EY$9,Libro_Diario[Fecha],"&lt;="&amp;EOMONTH('Libro Mayor'!EY$9,0))</f>
        <v>0</v>
      </c>
      <c r="EZ36" s="24">
        <f>SUMIFS(Libro_Diario[[Cantidad ]],Libro_Diario[[Tipo ]],Gastos[[#Headers],[Gastos]],Libro_Diario[[Categoria ]],Gastos[[#This Row],[Gastos]],Libro_Diario[Fecha],"&gt;="&amp;'Libro Mayor'!EZ$9,Libro_Diario[Fecha],"&lt;="&amp;EOMONTH('Libro Mayor'!EZ$9,0))</f>
        <v>0</v>
      </c>
      <c r="FA36" s="25">
        <f t="shared" si="28"/>
        <v>0</v>
      </c>
    </row>
    <row r="37" spans="3:157" x14ac:dyDescent="0.3">
      <c r="C37" s="33" t="s">
        <v>7</v>
      </c>
      <c r="E37" s="26" cm="1">
        <f t="array" aca="1" ref="E37" ca="1">SUM(INDIRECT(ADDRESS(Gastos_min_fila,COLUMN()) &amp; ":" &amp; ADDRESS(Gastos_max_fila,COLUMN())))</f>
        <v>0</v>
      </c>
      <c r="F37" s="26" cm="1">
        <f t="array" aca="1" ref="F37" ca="1">SUM(INDIRECT(ADDRESS(Gastos_min_fila,COLUMN()) &amp; ":" &amp; ADDRESS(Gastos_max_fila,COLUMN())))</f>
        <v>0</v>
      </c>
      <c r="G37" s="26" cm="1">
        <f t="array" aca="1" ref="G37" ca="1">SUM(INDIRECT(ADDRESS(Gastos_min_fila,COLUMN()) &amp; ":" &amp; ADDRESS(Gastos_max_fila,COLUMN())))</f>
        <v>0</v>
      </c>
      <c r="H37" s="26" cm="1">
        <f t="array" aca="1" ref="H37" ca="1">SUM(INDIRECT(ADDRESS(Gastos_min_fila,COLUMN()) &amp; ":" &amp; ADDRESS(Gastos_max_fila,COLUMN())))</f>
        <v>0</v>
      </c>
      <c r="I37" s="26" cm="1">
        <f t="array" aca="1" ref="I37" ca="1">SUM(INDIRECT(ADDRESS(Gastos_min_fila,COLUMN()) &amp; ":" &amp; ADDRESS(Gastos_max_fila,COLUMN())))</f>
        <v>0</v>
      </c>
      <c r="J37" s="26" cm="1">
        <f t="array" aca="1" ref="J37" ca="1">SUM(INDIRECT(ADDRESS(Gastos_min_fila,COLUMN()) &amp; ":" &amp; ADDRESS(Gastos_max_fila,COLUMN())))</f>
        <v>0</v>
      </c>
      <c r="K37" s="26" cm="1">
        <f t="array" aca="1" ref="K37" ca="1">SUM(INDIRECT(ADDRESS(Gastos_min_fila,COLUMN()) &amp; ":" &amp; ADDRESS(Gastos_max_fila,COLUMN())))</f>
        <v>0</v>
      </c>
      <c r="L37" s="26" cm="1">
        <f t="array" aca="1" ref="L37" ca="1">SUM(INDIRECT(ADDRESS(Gastos_min_fila,COLUMN()) &amp; ":" &amp; ADDRESS(Gastos_max_fila,COLUMN())))</f>
        <v>0</v>
      </c>
      <c r="M37" s="26" cm="1">
        <f t="array" aca="1" ref="M37" ca="1">SUM(INDIRECT(ADDRESS(Gastos_min_fila,COLUMN()) &amp; ":" &amp; ADDRESS(Gastos_max_fila,COLUMN())))</f>
        <v>0</v>
      </c>
      <c r="N37" s="26" cm="1">
        <f t="array" aca="1" ref="N37" ca="1">SUM(INDIRECT(ADDRESS(Gastos_min_fila,COLUMN()) &amp; ":" &amp; ADDRESS(Gastos_max_fila,COLUMN())))</f>
        <v>0</v>
      </c>
      <c r="O37" s="26" cm="1">
        <f t="array" aca="1" ref="O37" ca="1">SUM(INDIRECT(ADDRESS(Gastos_min_fila,COLUMN()) &amp; ":" &amp; ADDRESS(Gastos_max_fila,COLUMN())))</f>
        <v>0</v>
      </c>
      <c r="P37" s="26" cm="1">
        <f t="array" aca="1" ref="P37" ca="1">SUM(INDIRECT(ADDRESS(Gastos_min_fila,COLUMN()) &amp; ":" &amp; ADDRESS(Gastos_max_fila,COLUMN())))</f>
        <v>0</v>
      </c>
      <c r="Q37" s="26" cm="1">
        <f t="array" aca="1" ref="Q37" ca="1">SUM(INDIRECT(ADDRESS(Gastos_min_fila,COLUMN()) &amp; ":" &amp; ADDRESS(Gastos_max_fila,COLUMN())))</f>
        <v>0</v>
      </c>
      <c r="S37" s="26" cm="1">
        <f t="array" aca="1" ref="S37" ca="1">SUM(INDIRECT(ADDRESS(Gastos_min_fila,COLUMN()) &amp; ":" &amp; ADDRESS(Gastos_max_fila,COLUMN())))</f>
        <v>0</v>
      </c>
      <c r="T37" s="26" cm="1">
        <f t="array" aca="1" ref="T37" ca="1">SUM(INDIRECT(ADDRESS(Gastos_min_fila,COLUMN()) &amp; ":" &amp; ADDRESS(Gastos_max_fila,COLUMN())))</f>
        <v>0</v>
      </c>
      <c r="U37" s="26" cm="1">
        <f t="array" aca="1" ref="U37" ca="1">SUM(INDIRECT(ADDRESS(Gastos_min_fila,COLUMN()) &amp; ":" &amp; ADDRESS(Gastos_max_fila,COLUMN())))</f>
        <v>0</v>
      </c>
      <c r="V37" s="26" cm="1">
        <f t="array" aca="1" ref="V37" ca="1">SUM(INDIRECT(ADDRESS(Gastos_min_fila,COLUMN()) &amp; ":" &amp; ADDRESS(Gastos_max_fila,COLUMN())))</f>
        <v>0</v>
      </c>
      <c r="W37" s="26" cm="1">
        <f t="array" aca="1" ref="W37" ca="1">SUM(INDIRECT(ADDRESS(Gastos_min_fila,COLUMN()) &amp; ":" &amp; ADDRESS(Gastos_max_fila,COLUMN())))</f>
        <v>0</v>
      </c>
      <c r="X37" s="26" cm="1">
        <f t="array" aca="1" ref="X37" ca="1">SUM(INDIRECT(ADDRESS(Gastos_min_fila,COLUMN()) &amp; ":" &amp; ADDRESS(Gastos_max_fila,COLUMN())))</f>
        <v>0</v>
      </c>
      <c r="Y37" s="26" cm="1">
        <f t="array" aca="1" ref="Y37" ca="1">SUM(INDIRECT(ADDRESS(Gastos_min_fila,COLUMN()) &amp; ":" &amp; ADDRESS(Gastos_max_fila,COLUMN())))</f>
        <v>0</v>
      </c>
      <c r="Z37" s="26" cm="1">
        <f t="array" aca="1" ref="Z37" ca="1">SUM(INDIRECT(ADDRESS(Gastos_min_fila,COLUMN()) &amp; ":" &amp; ADDRESS(Gastos_max_fila,COLUMN())))</f>
        <v>0</v>
      </c>
      <c r="AA37" s="26" cm="1">
        <f t="array" aca="1" ref="AA37" ca="1">SUM(INDIRECT(ADDRESS(Gastos_min_fila,COLUMN()) &amp; ":" &amp; ADDRESS(Gastos_max_fila,COLUMN())))</f>
        <v>0</v>
      </c>
      <c r="AB37" s="26" cm="1">
        <f t="array" aca="1" ref="AB37" ca="1">SUM(INDIRECT(ADDRESS(Gastos_min_fila,COLUMN()) &amp; ":" &amp; ADDRESS(Gastos_max_fila,COLUMN())))</f>
        <v>0</v>
      </c>
      <c r="AC37" s="26" cm="1">
        <f t="array" aca="1" ref="AC37" ca="1">SUM(INDIRECT(ADDRESS(Gastos_min_fila,COLUMN()) &amp; ":" &amp; ADDRESS(Gastos_max_fila,COLUMN())))</f>
        <v>0</v>
      </c>
      <c r="AD37" s="26" cm="1">
        <f t="array" aca="1" ref="AD37" ca="1">SUM(INDIRECT(ADDRESS(Gastos_min_fila,COLUMN()) &amp; ":" &amp; ADDRESS(Gastos_max_fila,COLUMN())))</f>
        <v>0</v>
      </c>
      <c r="AE37" s="26" cm="1">
        <f t="array" aca="1" ref="AE37" ca="1">SUM(INDIRECT(ADDRESS(Gastos_min_fila,COLUMN()) &amp; ":" &amp; ADDRESS(Gastos_max_fila,COLUMN())))</f>
        <v>0</v>
      </c>
      <c r="AG37" s="26" cm="1">
        <f t="array" aca="1" ref="AG37" ca="1">SUM(INDIRECT(ADDRESS(Gastos_min_fila,COLUMN()) &amp; ":" &amp; ADDRESS(Gastos_max_fila,COLUMN())))</f>
        <v>0</v>
      </c>
      <c r="AH37" s="26" cm="1">
        <f t="array" aca="1" ref="AH37" ca="1">SUM(INDIRECT(ADDRESS(Gastos_min_fila,COLUMN()) &amp; ":" &amp; ADDRESS(Gastos_max_fila,COLUMN())))</f>
        <v>0</v>
      </c>
      <c r="AI37" s="26" cm="1">
        <f t="array" aca="1" ref="AI37" ca="1">SUM(INDIRECT(ADDRESS(Gastos_min_fila,COLUMN()) &amp; ":" &amp; ADDRESS(Gastos_max_fila,COLUMN())))</f>
        <v>0</v>
      </c>
      <c r="AJ37" s="26" cm="1">
        <f t="array" aca="1" ref="AJ37" ca="1">SUM(INDIRECT(ADDRESS(Gastos_min_fila,COLUMN()) &amp; ":" &amp; ADDRESS(Gastos_max_fila,COLUMN())))</f>
        <v>0</v>
      </c>
      <c r="AK37" s="26" cm="1">
        <f t="array" aca="1" ref="AK37" ca="1">SUM(INDIRECT(ADDRESS(Gastos_min_fila,COLUMN()) &amp; ":" &amp; ADDRESS(Gastos_max_fila,COLUMN())))</f>
        <v>0</v>
      </c>
      <c r="AL37" s="26" cm="1">
        <f t="array" aca="1" ref="AL37" ca="1">SUM(INDIRECT(ADDRESS(Gastos_min_fila,COLUMN()) &amp; ":" &amp; ADDRESS(Gastos_max_fila,COLUMN())))</f>
        <v>0</v>
      </c>
      <c r="AM37" s="26" cm="1">
        <f t="array" aca="1" ref="AM37" ca="1">SUM(INDIRECT(ADDRESS(Gastos_min_fila,COLUMN()) &amp; ":" &amp; ADDRESS(Gastos_max_fila,COLUMN())))</f>
        <v>0</v>
      </c>
      <c r="AN37" s="26" cm="1">
        <f t="array" aca="1" ref="AN37" ca="1">SUM(INDIRECT(ADDRESS(Gastos_min_fila,COLUMN()) &amp; ":" &amp; ADDRESS(Gastos_max_fila,COLUMN())))</f>
        <v>0</v>
      </c>
      <c r="AO37" s="26" cm="1">
        <f t="array" aca="1" ref="AO37" ca="1">SUM(INDIRECT(ADDRESS(Gastos_min_fila,COLUMN()) &amp; ":" &amp; ADDRESS(Gastos_max_fila,COLUMN())))</f>
        <v>0</v>
      </c>
      <c r="AP37" s="26" cm="1">
        <f t="array" aca="1" ref="AP37" ca="1">SUM(INDIRECT(ADDRESS(Gastos_min_fila,COLUMN()) &amp; ":" &amp; ADDRESS(Gastos_max_fila,COLUMN())))</f>
        <v>0</v>
      </c>
      <c r="AQ37" s="26" cm="1">
        <f t="array" aca="1" ref="AQ37" ca="1">SUM(INDIRECT(ADDRESS(Gastos_min_fila,COLUMN()) &amp; ":" &amp; ADDRESS(Gastos_max_fila,COLUMN())))</f>
        <v>0</v>
      </c>
      <c r="AR37" s="26" cm="1">
        <f t="array" aca="1" ref="AR37" ca="1">SUM(INDIRECT(ADDRESS(Gastos_min_fila,COLUMN()) &amp; ":" &amp; ADDRESS(Gastos_max_fila,COLUMN())))</f>
        <v>0</v>
      </c>
      <c r="AS37" s="26" cm="1">
        <f t="array" aca="1" ref="AS37" ca="1">SUM(INDIRECT(ADDRESS(Gastos_min_fila,COLUMN()) &amp; ":" &amp; ADDRESS(Gastos_max_fila,COLUMN())))</f>
        <v>0</v>
      </c>
      <c r="AU37" s="26" cm="1">
        <f t="array" aca="1" ref="AU37" ca="1">SUM(INDIRECT(ADDRESS(Gastos_min_fila,COLUMN()) &amp; ":" &amp; ADDRESS(Gastos_max_fila,COLUMN())))</f>
        <v>0</v>
      </c>
      <c r="AV37" s="26" cm="1">
        <f t="array" aca="1" ref="AV37" ca="1">SUM(INDIRECT(ADDRESS(Gastos_min_fila,COLUMN()) &amp; ":" &amp; ADDRESS(Gastos_max_fila,COLUMN())))</f>
        <v>0</v>
      </c>
      <c r="AW37" s="26" cm="1">
        <f t="array" aca="1" ref="AW37" ca="1">SUM(INDIRECT(ADDRESS(Gastos_min_fila,COLUMN()) &amp; ":" &amp; ADDRESS(Gastos_max_fila,COLUMN())))</f>
        <v>0</v>
      </c>
      <c r="AX37" s="26" cm="1">
        <f t="array" aca="1" ref="AX37" ca="1">SUM(INDIRECT(ADDRESS(Gastos_min_fila,COLUMN()) &amp; ":" &amp; ADDRESS(Gastos_max_fila,COLUMN())))</f>
        <v>0</v>
      </c>
      <c r="AY37" s="26" cm="1">
        <f t="array" aca="1" ref="AY37" ca="1">SUM(INDIRECT(ADDRESS(Gastos_min_fila,COLUMN()) &amp; ":" &amp; ADDRESS(Gastos_max_fila,COLUMN())))</f>
        <v>0</v>
      </c>
      <c r="AZ37" s="26" cm="1">
        <f t="array" aca="1" ref="AZ37" ca="1">SUM(INDIRECT(ADDRESS(Gastos_min_fila,COLUMN()) &amp; ":" &amp; ADDRESS(Gastos_max_fila,COLUMN())))</f>
        <v>0</v>
      </c>
      <c r="BA37" s="26" cm="1">
        <f t="array" aca="1" ref="BA37" ca="1">SUM(INDIRECT(ADDRESS(Gastos_min_fila,COLUMN()) &amp; ":" &amp; ADDRESS(Gastos_max_fila,COLUMN())))</f>
        <v>0</v>
      </c>
      <c r="BB37" s="26" cm="1">
        <f t="array" aca="1" ref="BB37" ca="1">SUM(INDIRECT(ADDRESS(Gastos_min_fila,COLUMN()) &amp; ":" &amp; ADDRESS(Gastos_max_fila,COLUMN())))</f>
        <v>0</v>
      </c>
      <c r="BC37" s="26" cm="1">
        <f t="array" aca="1" ref="BC37" ca="1">SUM(INDIRECT(ADDRESS(Gastos_min_fila,COLUMN()) &amp; ":" &amp; ADDRESS(Gastos_max_fila,COLUMN())))</f>
        <v>0</v>
      </c>
      <c r="BD37" s="26" cm="1">
        <f t="array" aca="1" ref="BD37" ca="1">SUM(INDIRECT(ADDRESS(Gastos_min_fila,COLUMN()) &amp; ":" &amp; ADDRESS(Gastos_max_fila,COLUMN())))</f>
        <v>0</v>
      </c>
      <c r="BE37" s="26" cm="1">
        <f t="array" aca="1" ref="BE37" ca="1">SUM(INDIRECT(ADDRESS(Gastos_min_fila,COLUMN()) &amp; ":" &amp; ADDRESS(Gastos_max_fila,COLUMN())))</f>
        <v>0</v>
      </c>
      <c r="BF37" s="26" cm="1">
        <f t="array" aca="1" ref="BF37" ca="1">SUM(INDIRECT(ADDRESS(Gastos_min_fila,COLUMN()) &amp; ":" &amp; ADDRESS(Gastos_max_fila,COLUMN())))</f>
        <v>0</v>
      </c>
      <c r="BG37" s="26" cm="1">
        <f t="array" aca="1" ref="BG37" ca="1">SUM(INDIRECT(ADDRESS(Gastos_min_fila,COLUMN()) &amp; ":" &amp; ADDRESS(Gastos_max_fila,COLUMN())))</f>
        <v>0</v>
      </c>
      <c r="BI37" s="26" cm="1">
        <f t="array" aca="1" ref="BI37" ca="1">SUM(INDIRECT(ADDRESS(Gastos_min_fila,COLUMN()) &amp; ":" &amp; ADDRESS(Gastos_max_fila,COLUMN())))</f>
        <v>0</v>
      </c>
      <c r="BJ37" s="26" cm="1">
        <f t="array" aca="1" ref="BJ37" ca="1">SUM(INDIRECT(ADDRESS(Gastos_min_fila,COLUMN()) &amp; ":" &amp; ADDRESS(Gastos_max_fila,COLUMN())))</f>
        <v>0</v>
      </c>
      <c r="BK37" s="26" cm="1">
        <f t="array" aca="1" ref="BK37" ca="1">SUM(INDIRECT(ADDRESS(Gastos_min_fila,COLUMN()) &amp; ":" &amp; ADDRESS(Gastos_max_fila,COLUMN())))</f>
        <v>0</v>
      </c>
      <c r="BL37" s="26" cm="1">
        <f t="array" aca="1" ref="BL37" ca="1">SUM(INDIRECT(ADDRESS(Gastos_min_fila,COLUMN()) &amp; ":" &amp; ADDRESS(Gastos_max_fila,COLUMN())))</f>
        <v>0</v>
      </c>
      <c r="BM37" s="26" cm="1">
        <f t="array" aca="1" ref="BM37" ca="1">SUM(INDIRECT(ADDRESS(Gastos_min_fila,COLUMN()) &amp; ":" &amp; ADDRESS(Gastos_max_fila,COLUMN())))</f>
        <v>0</v>
      </c>
      <c r="BN37" s="26" cm="1">
        <f t="array" aca="1" ref="BN37" ca="1">SUM(INDIRECT(ADDRESS(Gastos_min_fila,COLUMN()) &amp; ":" &amp; ADDRESS(Gastos_max_fila,COLUMN())))</f>
        <v>0</v>
      </c>
      <c r="BO37" s="26" cm="1">
        <f t="array" aca="1" ref="BO37" ca="1">SUM(INDIRECT(ADDRESS(Gastos_min_fila,COLUMN()) &amp; ":" &amp; ADDRESS(Gastos_max_fila,COLUMN())))</f>
        <v>0</v>
      </c>
      <c r="BP37" s="26" cm="1">
        <f t="array" aca="1" ref="BP37" ca="1">SUM(INDIRECT(ADDRESS(Gastos_min_fila,COLUMN()) &amp; ":" &amp; ADDRESS(Gastos_max_fila,COLUMN())))</f>
        <v>0</v>
      </c>
      <c r="BQ37" s="26" cm="1">
        <f t="array" aca="1" ref="BQ37" ca="1">SUM(INDIRECT(ADDRESS(Gastos_min_fila,COLUMN()) &amp; ":" &amp; ADDRESS(Gastos_max_fila,COLUMN())))</f>
        <v>0</v>
      </c>
      <c r="BR37" s="26" cm="1">
        <f t="array" aca="1" ref="BR37" ca="1">SUM(INDIRECT(ADDRESS(Gastos_min_fila,COLUMN()) &amp; ":" &amp; ADDRESS(Gastos_max_fila,COLUMN())))</f>
        <v>0</v>
      </c>
      <c r="BS37" s="26" cm="1">
        <f t="array" aca="1" ref="BS37" ca="1">SUM(INDIRECT(ADDRESS(Gastos_min_fila,COLUMN()) &amp; ":" &amp; ADDRESS(Gastos_max_fila,COLUMN())))</f>
        <v>0</v>
      </c>
      <c r="BT37" s="26" cm="1">
        <f t="array" aca="1" ref="BT37" ca="1">SUM(INDIRECT(ADDRESS(Gastos_min_fila,COLUMN()) &amp; ":" &amp; ADDRESS(Gastos_max_fila,COLUMN())))</f>
        <v>0</v>
      </c>
      <c r="BU37" s="26" cm="1">
        <f t="array" aca="1" ref="BU37" ca="1">SUM(INDIRECT(ADDRESS(Gastos_min_fila,COLUMN()) &amp; ":" &amp; ADDRESS(Gastos_max_fila,COLUMN())))</f>
        <v>0</v>
      </c>
      <c r="BW37" s="26" cm="1">
        <f t="array" aca="1" ref="BW37" ca="1">SUM(INDIRECT(ADDRESS(Gastos_min_fila,COLUMN()) &amp; ":" &amp; ADDRESS(Gastos_max_fila,COLUMN())))</f>
        <v>0</v>
      </c>
      <c r="BX37" s="26" cm="1">
        <f t="array" aca="1" ref="BX37" ca="1">SUM(INDIRECT(ADDRESS(Gastos_min_fila,COLUMN()) &amp; ":" &amp; ADDRESS(Gastos_max_fila,COLUMN())))</f>
        <v>0</v>
      </c>
      <c r="BY37" s="26" cm="1">
        <f t="array" aca="1" ref="BY37" ca="1">SUM(INDIRECT(ADDRESS(Gastos_min_fila,COLUMN()) &amp; ":" &amp; ADDRESS(Gastos_max_fila,COLUMN())))</f>
        <v>0</v>
      </c>
      <c r="BZ37" s="26" cm="1">
        <f t="array" aca="1" ref="BZ37" ca="1">SUM(INDIRECT(ADDRESS(Gastos_min_fila,COLUMN()) &amp; ":" &amp; ADDRESS(Gastos_max_fila,COLUMN())))</f>
        <v>0</v>
      </c>
      <c r="CA37" s="26" cm="1">
        <f t="array" aca="1" ref="CA37" ca="1">SUM(INDIRECT(ADDRESS(Gastos_min_fila,COLUMN()) &amp; ":" &amp; ADDRESS(Gastos_max_fila,COLUMN())))</f>
        <v>0</v>
      </c>
      <c r="CB37" s="26" cm="1">
        <f t="array" aca="1" ref="CB37" ca="1">SUM(INDIRECT(ADDRESS(Gastos_min_fila,COLUMN()) &amp; ":" &amp; ADDRESS(Gastos_max_fila,COLUMN())))</f>
        <v>0</v>
      </c>
      <c r="CC37" s="26" cm="1">
        <f t="array" aca="1" ref="CC37" ca="1">SUM(INDIRECT(ADDRESS(Gastos_min_fila,COLUMN()) &amp; ":" &amp; ADDRESS(Gastos_max_fila,COLUMN())))</f>
        <v>0</v>
      </c>
      <c r="CD37" s="26" cm="1">
        <f t="array" aca="1" ref="CD37" ca="1">SUM(INDIRECT(ADDRESS(Gastos_min_fila,COLUMN()) &amp; ":" &amp; ADDRESS(Gastos_max_fila,COLUMN())))</f>
        <v>0</v>
      </c>
      <c r="CE37" s="26" cm="1">
        <f t="array" aca="1" ref="CE37" ca="1">SUM(INDIRECT(ADDRESS(Gastos_min_fila,COLUMN()) &amp; ":" &amp; ADDRESS(Gastos_max_fila,COLUMN())))</f>
        <v>0</v>
      </c>
      <c r="CF37" s="26" cm="1">
        <f t="array" aca="1" ref="CF37" ca="1">SUM(INDIRECT(ADDRESS(Gastos_min_fila,COLUMN()) &amp; ":" &amp; ADDRESS(Gastos_max_fila,COLUMN())))</f>
        <v>0</v>
      </c>
      <c r="CG37" s="26" cm="1">
        <f t="array" aca="1" ref="CG37" ca="1">SUM(INDIRECT(ADDRESS(Gastos_min_fila,COLUMN()) &amp; ":" &amp; ADDRESS(Gastos_max_fila,COLUMN())))</f>
        <v>0</v>
      </c>
      <c r="CH37" s="26" cm="1">
        <f t="array" aca="1" ref="CH37" ca="1">SUM(INDIRECT(ADDRESS(Gastos_min_fila,COLUMN()) &amp; ":" &amp; ADDRESS(Gastos_max_fila,COLUMN())))</f>
        <v>0</v>
      </c>
      <c r="CI37" s="26" cm="1">
        <f t="array" aca="1" ref="CI37" ca="1">SUM(INDIRECT(ADDRESS(Gastos_min_fila,COLUMN()) &amp; ":" &amp; ADDRESS(Gastos_max_fila,COLUMN())))</f>
        <v>0</v>
      </c>
      <c r="CK37" s="26" cm="1">
        <f t="array" aca="1" ref="CK37" ca="1">SUM(INDIRECT(ADDRESS(Gastos_min_fila,COLUMN()) &amp; ":" &amp; ADDRESS(Gastos_max_fila,COLUMN())))</f>
        <v>0</v>
      </c>
      <c r="CL37" s="26" cm="1">
        <f t="array" aca="1" ref="CL37" ca="1">SUM(INDIRECT(ADDRESS(Gastos_min_fila,COLUMN()) &amp; ":" &amp; ADDRESS(Gastos_max_fila,COLUMN())))</f>
        <v>0</v>
      </c>
      <c r="CM37" s="26" cm="1">
        <f t="array" aca="1" ref="CM37" ca="1">SUM(INDIRECT(ADDRESS(Gastos_min_fila,COLUMN()) &amp; ":" &amp; ADDRESS(Gastos_max_fila,COLUMN())))</f>
        <v>0</v>
      </c>
      <c r="CN37" s="26" cm="1">
        <f t="array" aca="1" ref="CN37" ca="1">SUM(INDIRECT(ADDRESS(Gastos_min_fila,COLUMN()) &amp; ":" &amp; ADDRESS(Gastos_max_fila,COLUMN())))</f>
        <v>0</v>
      </c>
      <c r="CO37" s="26" cm="1">
        <f t="array" aca="1" ref="CO37" ca="1">SUM(INDIRECT(ADDRESS(Gastos_min_fila,COLUMN()) &amp; ":" &amp; ADDRESS(Gastos_max_fila,COLUMN())))</f>
        <v>0</v>
      </c>
      <c r="CP37" s="26" cm="1">
        <f t="array" aca="1" ref="CP37" ca="1">SUM(INDIRECT(ADDRESS(Gastos_min_fila,COLUMN()) &amp; ":" &amp; ADDRESS(Gastos_max_fila,COLUMN())))</f>
        <v>0</v>
      </c>
      <c r="CQ37" s="26" cm="1">
        <f t="array" aca="1" ref="CQ37" ca="1">SUM(INDIRECT(ADDRESS(Gastos_min_fila,COLUMN()) &amp; ":" &amp; ADDRESS(Gastos_max_fila,COLUMN())))</f>
        <v>0</v>
      </c>
      <c r="CR37" s="26" cm="1">
        <f t="array" aca="1" ref="CR37" ca="1">SUM(INDIRECT(ADDRESS(Gastos_min_fila,COLUMN()) &amp; ":" &amp; ADDRESS(Gastos_max_fila,COLUMN())))</f>
        <v>0</v>
      </c>
      <c r="CS37" s="26" cm="1">
        <f t="array" aca="1" ref="CS37" ca="1">SUM(INDIRECT(ADDRESS(Gastos_min_fila,COLUMN()) &amp; ":" &amp; ADDRESS(Gastos_max_fila,COLUMN())))</f>
        <v>0</v>
      </c>
      <c r="CT37" s="26" cm="1">
        <f t="array" aca="1" ref="CT37" ca="1">SUM(INDIRECT(ADDRESS(Gastos_min_fila,COLUMN()) &amp; ":" &amp; ADDRESS(Gastos_max_fila,COLUMN())))</f>
        <v>0</v>
      </c>
      <c r="CU37" s="26" cm="1">
        <f t="array" aca="1" ref="CU37" ca="1">SUM(INDIRECT(ADDRESS(Gastos_min_fila,COLUMN()) &amp; ":" &amp; ADDRESS(Gastos_max_fila,COLUMN())))</f>
        <v>0</v>
      </c>
      <c r="CV37" s="26" cm="1">
        <f t="array" aca="1" ref="CV37" ca="1">SUM(INDIRECT(ADDRESS(Gastos_min_fila,COLUMN()) &amp; ":" &amp; ADDRESS(Gastos_max_fila,COLUMN())))</f>
        <v>0</v>
      </c>
      <c r="CW37" s="26" cm="1">
        <f t="array" aca="1" ref="CW37" ca="1">SUM(INDIRECT(ADDRESS(Gastos_min_fila,COLUMN()) &amp; ":" &amp; ADDRESS(Gastos_max_fila,COLUMN())))</f>
        <v>0</v>
      </c>
      <c r="CY37" s="26" cm="1">
        <f t="array" aca="1" ref="CY37" ca="1">SUM(INDIRECT(ADDRESS(Gastos_min_fila,COLUMN()) &amp; ":" &amp; ADDRESS(Gastos_max_fila,COLUMN())))</f>
        <v>0</v>
      </c>
      <c r="CZ37" s="26" cm="1">
        <f t="array" aca="1" ref="CZ37" ca="1">SUM(INDIRECT(ADDRESS(Gastos_min_fila,COLUMN()) &amp; ":" &amp; ADDRESS(Gastos_max_fila,COLUMN())))</f>
        <v>0</v>
      </c>
      <c r="DA37" s="26" cm="1">
        <f t="array" aca="1" ref="DA37" ca="1">SUM(INDIRECT(ADDRESS(Gastos_min_fila,COLUMN()) &amp; ":" &amp; ADDRESS(Gastos_max_fila,COLUMN())))</f>
        <v>0</v>
      </c>
      <c r="DB37" s="26" cm="1">
        <f t="array" aca="1" ref="DB37" ca="1">SUM(INDIRECT(ADDRESS(Gastos_min_fila,COLUMN()) &amp; ":" &amp; ADDRESS(Gastos_max_fila,COLUMN())))</f>
        <v>0</v>
      </c>
      <c r="DC37" s="26" cm="1">
        <f t="array" aca="1" ref="DC37" ca="1">SUM(INDIRECT(ADDRESS(Gastos_min_fila,COLUMN()) &amp; ":" &amp; ADDRESS(Gastos_max_fila,COLUMN())))</f>
        <v>0</v>
      </c>
      <c r="DD37" s="26" cm="1">
        <f t="array" aca="1" ref="DD37" ca="1">SUM(INDIRECT(ADDRESS(Gastos_min_fila,COLUMN()) &amp; ":" &amp; ADDRESS(Gastos_max_fila,COLUMN())))</f>
        <v>0</v>
      </c>
      <c r="DE37" s="26" cm="1">
        <f t="array" aca="1" ref="DE37" ca="1">SUM(INDIRECT(ADDRESS(Gastos_min_fila,COLUMN()) &amp; ":" &amp; ADDRESS(Gastos_max_fila,COLUMN())))</f>
        <v>0</v>
      </c>
      <c r="DF37" s="26" cm="1">
        <f t="array" aca="1" ref="DF37" ca="1">SUM(INDIRECT(ADDRESS(Gastos_min_fila,COLUMN()) &amp; ":" &amp; ADDRESS(Gastos_max_fila,COLUMN())))</f>
        <v>0</v>
      </c>
      <c r="DG37" s="26" cm="1">
        <f t="array" aca="1" ref="DG37" ca="1">SUM(INDIRECT(ADDRESS(Gastos_min_fila,COLUMN()) &amp; ":" &amp; ADDRESS(Gastos_max_fila,COLUMN())))</f>
        <v>0</v>
      </c>
      <c r="DH37" s="26" cm="1">
        <f t="array" aca="1" ref="DH37" ca="1">SUM(INDIRECT(ADDRESS(Gastos_min_fila,COLUMN()) &amp; ":" &amp; ADDRESS(Gastos_max_fila,COLUMN())))</f>
        <v>0</v>
      </c>
      <c r="DI37" s="26" cm="1">
        <f t="array" aca="1" ref="DI37" ca="1">SUM(INDIRECT(ADDRESS(Gastos_min_fila,COLUMN()) &amp; ":" &amp; ADDRESS(Gastos_max_fila,COLUMN())))</f>
        <v>0</v>
      </c>
      <c r="DJ37" s="26" cm="1">
        <f t="array" aca="1" ref="DJ37" ca="1">SUM(INDIRECT(ADDRESS(Gastos_min_fila,COLUMN()) &amp; ":" &amp; ADDRESS(Gastos_max_fila,COLUMN())))</f>
        <v>0</v>
      </c>
      <c r="DK37" s="26" cm="1">
        <f t="array" aca="1" ref="DK37" ca="1">SUM(INDIRECT(ADDRESS(Gastos_min_fila,COLUMN()) &amp; ":" &amp; ADDRESS(Gastos_max_fila,COLUMN())))</f>
        <v>0</v>
      </c>
      <c r="DM37" s="26" cm="1">
        <f t="array" aca="1" ref="DM37" ca="1">SUM(INDIRECT(ADDRESS(Gastos_min_fila,COLUMN()) &amp; ":" &amp; ADDRESS(Gastos_max_fila,COLUMN())))</f>
        <v>0</v>
      </c>
      <c r="DN37" s="26" cm="1">
        <f t="array" aca="1" ref="DN37" ca="1">SUM(INDIRECT(ADDRESS(Gastos_min_fila,COLUMN()) &amp; ":" &amp; ADDRESS(Gastos_max_fila,COLUMN())))</f>
        <v>0</v>
      </c>
      <c r="DO37" s="26" cm="1">
        <f t="array" aca="1" ref="DO37" ca="1">SUM(INDIRECT(ADDRESS(Gastos_min_fila,COLUMN()) &amp; ":" &amp; ADDRESS(Gastos_max_fila,COLUMN())))</f>
        <v>0</v>
      </c>
      <c r="DP37" s="26" cm="1">
        <f t="array" aca="1" ref="DP37" ca="1">SUM(INDIRECT(ADDRESS(Gastos_min_fila,COLUMN()) &amp; ":" &amp; ADDRESS(Gastos_max_fila,COLUMN())))</f>
        <v>0</v>
      </c>
      <c r="DQ37" s="26" cm="1">
        <f t="array" aca="1" ref="DQ37" ca="1">SUM(INDIRECT(ADDRESS(Gastos_min_fila,COLUMN()) &amp; ":" &amp; ADDRESS(Gastos_max_fila,COLUMN())))</f>
        <v>0</v>
      </c>
      <c r="DR37" s="26" cm="1">
        <f t="array" aca="1" ref="DR37" ca="1">SUM(INDIRECT(ADDRESS(Gastos_min_fila,COLUMN()) &amp; ":" &amp; ADDRESS(Gastos_max_fila,COLUMN())))</f>
        <v>0</v>
      </c>
      <c r="DS37" s="26" cm="1">
        <f t="array" aca="1" ref="DS37" ca="1">SUM(INDIRECT(ADDRESS(Gastos_min_fila,COLUMN()) &amp; ":" &amp; ADDRESS(Gastos_max_fila,COLUMN())))</f>
        <v>0</v>
      </c>
      <c r="DT37" s="26" cm="1">
        <f t="array" aca="1" ref="DT37" ca="1">SUM(INDIRECT(ADDRESS(Gastos_min_fila,COLUMN()) &amp; ":" &amp; ADDRESS(Gastos_max_fila,COLUMN())))</f>
        <v>0</v>
      </c>
      <c r="DU37" s="26" cm="1">
        <f t="array" aca="1" ref="DU37" ca="1">SUM(INDIRECT(ADDRESS(Gastos_min_fila,COLUMN()) &amp; ":" &amp; ADDRESS(Gastos_max_fila,COLUMN())))</f>
        <v>0</v>
      </c>
      <c r="DV37" s="26" cm="1">
        <f t="array" aca="1" ref="DV37" ca="1">SUM(INDIRECT(ADDRESS(Gastos_min_fila,COLUMN()) &amp; ":" &amp; ADDRESS(Gastos_max_fila,COLUMN())))</f>
        <v>0</v>
      </c>
      <c r="DW37" s="26" cm="1">
        <f t="array" aca="1" ref="DW37" ca="1">SUM(INDIRECT(ADDRESS(Gastos_min_fila,COLUMN()) &amp; ":" &amp; ADDRESS(Gastos_max_fila,COLUMN())))</f>
        <v>0</v>
      </c>
      <c r="DX37" s="26" cm="1">
        <f t="array" aca="1" ref="DX37" ca="1">SUM(INDIRECT(ADDRESS(Gastos_min_fila,COLUMN()) &amp; ":" &amp; ADDRESS(Gastos_max_fila,COLUMN())))</f>
        <v>0</v>
      </c>
      <c r="DY37" s="26" cm="1">
        <f t="array" aca="1" ref="DY37" ca="1">SUM(INDIRECT(ADDRESS(Gastos_min_fila,COLUMN()) &amp; ":" &amp; ADDRESS(Gastos_max_fila,COLUMN())))</f>
        <v>0</v>
      </c>
      <c r="EA37" s="26" cm="1">
        <f t="array" aca="1" ref="EA37" ca="1">SUM(INDIRECT(ADDRESS(Gastos_min_fila,COLUMN()) &amp; ":" &amp; ADDRESS(Gastos_max_fila,COLUMN())))</f>
        <v>0</v>
      </c>
      <c r="EB37" s="26" cm="1">
        <f t="array" aca="1" ref="EB37" ca="1">SUM(INDIRECT(ADDRESS(Gastos_min_fila,COLUMN()) &amp; ":" &amp; ADDRESS(Gastos_max_fila,COLUMN())))</f>
        <v>0</v>
      </c>
      <c r="EC37" s="26" cm="1">
        <f t="array" aca="1" ref="EC37" ca="1">SUM(INDIRECT(ADDRESS(Gastos_min_fila,COLUMN()) &amp; ":" &amp; ADDRESS(Gastos_max_fila,COLUMN())))</f>
        <v>0</v>
      </c>
      <c r="ED37" s="26" cm="1">
        <f t="array" aca="1" ref="ED37" ca="1">SUM(INDIRECT(ADDRESS(Gastos_min_fila,COLUMN()) &amp; ":" &amp; ADDRESS(Gastos_max_fila,COLUMN())))</f>
        <v>0</v>
      </c>
      <c r="EE37" s="26" cm="1">
        <f t="array" aca="1" ref="EE37" ca="1">SUM(INDIRECT(ADDRESS(Gastos_min_fila,COLUMN()) &amp; ":" &amp; ADDRESS(Gastos_max_fila,COLUMN())))</f>
        <v>0</v>
      </c>
      <c r="EF37" s="26" cm="1">
        <f t="array" aca="1" ref="EF37" ca="1">SUM(INDIRECT(ADDRESS(Gastos_min_fila,COLUMN()) &amp; ":" &amp; ADDRESS(Gastos_max_fila,COLUMN())))</f>
        <v>0</v>
      </c>
      <c r="EG37" s="26" cm="1">
        <f t="array" aca="1" ref="EG37" ca="1">SUM(INDIRECT(ADDRESS(Gastos_min_fila,COLUMN()) &amp; ":" &amp; ADDRESS(Gastos_max_fila,COLUMN())))</f>
        <v>0</v>
      </c>
      <c r="EH37" s="26" cm="1">
        <f t="array" aca="1" ref="EH37" ca="1">SUM(INDIRECT(ADDRESS(Gastos_min_fila,COLUMN()) &amp; ":" &amp; ADDRESS(Gastos_max_fila,COLUMN())))</f>
        <v>0</v>
      </c>
      <c r="EI37" s="26" cm="1">
        <f t="array" aca="1" ref="EI37" ca="1">SUM(INDIRECT(ADDRESS(Gastos_min_fila,COLUMN()) &amp; ":" &amp; ADDRESS(Gastos_max_fila,COLUMN())))</f>
        <v>0</v>
      </c>
      <c r="EJ37" s="26" cm="1">
        <f t="array" aca="1" ref="EJ37" ca="1">SUM(INDIRECT(ADDRESS(Gastos_min_fila,COLUMN()) &amp; ":" &amp; ADDRESS(Gastos_max_fila,COLUMN())))</f>
        <v>0</v>
      </c>
      <c r="EK37" s="26" cm="1">
        <f t="array" aca="1" ref="EK37" ca="1">SUM(INDIRECT(ADDRESS(Gastos_min_fila,COLUMN()) &amp; ":" &amp; ADDRESS(Gastos_max_fila,COLUMN())))</f>
        <v>0</v>
      </c>
      <c r="EL37" s="26" cm="1">
        <f t="array" aca="1" ref="EL37" ca="1">SUM(INDIRECT(ADDRESS(Gastos_min_fila,COLUMN()) &amp; ":" &amp; ADDRESS(Gastos_max_fila,COLUMN())))</f>
        <v>0</v>
      </c>
      <c r="EM37" s="26" cm="1">
        <f t="array" aca="1" ref="EM37" ca="1">SUM(INDIRECT(ADDRESS(Gastos_min_fila,COLUMN()) &amp; ":" &amp; ADDRESS(Gastos_max_fila,COLUMN())))</f>
        <v>0</v>
      </c>
      <c r="EO37" s="26" cm="1">
        <f t="array" aca="1" ref="EO37" ca="1">SUM(INDIRECT(ADDRESS(Gastos_min_fila,COLUMN()) &amp; ":" &amp; ADDRESS(Gastos_max_fila,COLUMN())))</f>
        <v>0</v>
      </c>
      <c r="EP37" s="26" cm="1">
        <f t="array" aca="1" ref="EP37" ca="1">SUM(INDIRECT(ADDRESS(Gastos_min_fila,COLUMN()) &amp; ":" &amp; ADDRESS(Gastos_max_fila,COLUMN())))</f>
        <v>0</v>
      </c>
      <c r="EQ37" s="26" cm="1">
        <f t="array" aca="1" ref="EQ37" ca="1">SUM(INDIRECT(ADDRESS(Gastos_min_fila,COLUMN()) &amp; ":" &amp; ADDRESS(Gastos_max_fila,COLUMN())))</f>
        <v>0</v>
      </c>
      <c r="ER37" s="26" cm="1">
        <f t="array" aca="1" ref="ER37" ca="1">SUM(INDIRECT(ADDRESS(Gastos_min_fila,COLUMN()) &amp; ":" &amp; ADDRESS(Gastos_max_fila,COLUMN())))</f>
        <v>0</v>
      </c>
      <c r="ES37" s="26" cm="1">
        <f t="array" aca="1" ref="ES37" ca="1">SUM(INDIRECT(ADDRESS(Gastos_min_fila,COLUMN()) &amp; ":" &amp; ADDRESS(Gastos_max_fila,COLUMN())))</f>
        <v>0</v>
      </c>
      <c r="ET37" s="26" cm="1">
        <f t="array" aca="1" ref="ET37" ca="1">SUM(INDIRECT(ADDRESS(Gastos_min_fila,COLUMN()) &amp; ":" &amp; ADDRESS(Gastos_max_fila,COLUMN())))</f>
        <v>0</v>
      </c>
      <c r="EU37" s="26" cm="1">
        <f t="array" aca="1" ref="EU37" ca="1">SUM(INDIRECT(ADDRESS(Gastos_min_fila,COLUMN()) &amp; ":" &amp; ADDRESS(Gastos_max_fila,COLUMN())))</f>
        <v>0</v>
      </c>
      <c r="EV37" s="26" cm="1">
        <f t="array" aca="1" ref="EV37" ca="1">SUM(INDIRECT(ADDRESS(Gastos_min_fila,COLUMN()) &amp; ":" &amp; ADDRESS(Gastos_max_fila,COLUMN())))</f>
        <v>0</v>
      </c>
      <c r="EW37" s="26" cm="1">
        <f t="array" aca="1" ref="EW37" ca="1">SUM(INDIRECT(ADDRESS(Gastos_min_fila,COLUMN()) &amp; ":" &amp; ADDRESS(Gastos_max_fila,COLUMN())))</f>
        <v>0</v>
      </c>
      <c r="EX37" s="26" cm="1">
        <f t="array" aca="1" ref="EX37" ca="1">SUM(INDIRECT(ADDRESS(Gastos_min_fila,COLUMN()) &amp; ":" &amp; ADDRESS(Gastos_max_fila,COLUMN())))</f>
        <v>0</v>
      </c>
      <c r="EY37" s="26" cm="1">
        <f t="array" aca="1" ref="EY37" ca="1">SUM(INDIRECT(ADDRESS(Gastos_min_fila,COLUMN()) &amp; ":" &amp; ADDRESS(Gastos_max_fila,COLUMN())))</f>
        <v>0</v>
      </c>
      <c r="EZ37" s="26" cm="1">
        <f t="array" aca="1" ref="EZ37" ca="1">SUM(INDIRECT(ADDRESS(Gastos_min_fila,COLUMN()) &amp; ":" &amp; ADDRESS(Gastos_max_fila,COLUMN())))</f>
        <v>0</v>
      </c>
      <c r="FA37" s="26" cm="1">
        <f t="array" aca="1" ref="FA37" ca="1">SUM(INDIRECT(ADDRESS(Gastos_min_fila,COLUMN()) &amp; ":" &amp; ADDRESS(Gastos_max_fila,COLUMN())))</f>
        <v>0</v>
      </c>
    </row>
    <row r="38" spans="3:157" x14ac:dyDescent="0.3"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G38" s="91"/>
      <c r="AH38" s="91"/>
      <c r="AI38" s="91"/>
      <c r="AJ38" s="91"/>
      <c r="AK38" s="91"/>
      <c r="AL38" s="91"/>
      <c r="AM38" s="91"/>
      <c r="AN38" s="91"/>
      <c r="AO38" s="91"/>
      <c r="AP38" s="91"/>
      <c r="AQ38" s="91"/>
      <c r="AR38" s="91"/>
      <c r="AS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EA38" s="91"/>
      <c r="EB38" s="91"/>
      <c r="EC38" s="91"/>
      <c r="ED38" s="91"/>
      <c r="EE38" s="91"/>
      <c r="EF38" s="91"/>
      <c r="EG38" s="91"/>
      <c r="EH38" s="91"/>
      <c r="EI38" s="91"/>
      <c r="EJ38" s="91"/>
      <c r="EK38" s="91"/>
      <c r="EL38" s="91"/>
      <c r="EM38" s="91"/>
      <c r="EO38" s="91"/>
      <c r="EP38" s="91"/>
      <c r="EQ38" s="91"/>
      <c r="ER38" s="91"/>
      <c r="ES38" s="91"/>
      <c r="ET38" s="91"/>
      <c r="EU38" s="91"/>
      <c r="EV38" s="91"/>
      <c r="EW38" s="91"/>
      <c r="EX38" s="91"/>
      <c r="EY38" s="91"/>
      <c r="EZ38" s="91"/>
      <c r="FA38" s="91"/>
    </row>
    <row r="39" spans="3:157" x14ac:dyDescent="0.3">
      <c r="C39" s="92" t="s">
        <v>64</v>
      </c>
      <c r="E39" s="98">
        <f>DATE(E$5,1,1)</f>
        <v>44927</v>
      </c>
      <c r="F39" s="98">
        <f>DATE(E$5,2,1)</f>
        <v>44958</v>
      </c>
      <c r="G39" s="98">
        <f>DATE(E$5,3,1)</f>
        <v>44986</v>
      </c>
      <c r="H39" s="98">
        <f>DATE(E$5,4,1)</f>
        <v>45017</v>
      </c>
      <c r="I39" s="98">
        <f>DATE(E$5,5,1)</f>
        <v>45047</v>
      </c>
      <c r="J39" s="98">
        <f>DATE(E$5,6,1)</f>
        <v>45078</v>
      </c>
      <c r="K39" s="98">
        <f>DATE(E$5,7,1)</f>
        <v>45108</v>
      </c>
      <c r="L39" s="98">
        <f>DATE(E$5,8,1)</f>
        <v>45139</v>
      </c>
      <c r="M39" s="98">
        <f>DATE(E$5,9,1)</f>
        <v>45170</v>
      </c>
      <c r="N39" s="98">
        <f>DATE(E$5,10,1)</f>
        <v>45200</v>
      </c>
      <c r="O39" s="98">
        <f>DATE(E$5,11,1)</f>
        <v>45231</v>
      </c>
      <c r="P39" s="98">
        <f>DATE(E$5,12,1)</f>
        <v>45261</v>
      </c>
      <c r="Q39" s="91"/>
      <c r="S39" s="98">
        <f>DATE(S$5,1,1)</f>
        <v>45292</v>
      </c>
      <c r="T39" s="98">
        <f>DATE(S$5,2,1)</f>
        <v>45323</v>
      </c>
      <c r="U39" s="98">
        <f>DATE(S$5,3,1)</f>
        <v>45352</v>
      </c>
      <c r="V39" s="98">
        <f>DATE(S$5,4,1)</f>
        <v>45383</v>
      </c>
      <c r="W39" s="98">
        <f>DATE(S$5,5,1)</f>
        <v>45413</v>
      </c>
      <c r="X39" s="98">
        <f>DATE(S$5,6,1)</f>
        <v>45444</v>
      </c>
      <c r="Y39" s="98">
        <f>DATE(S$5,7,1)</f>
        <v>45474</v>
      </c>
      <c r="Z39" s="98">
        <f>DATE(S$5,8,1)</f>
        <v>45505</v>
      </c>
      <c r="AA39" s="98">
        <f>DATE(S$5,9,1)</f>
        <v>45536</v>
      </c>
      <c r="AB39" s="98">
        <f>DATE(S$5,10,1)</f>
        <v>45566</v>
      </c>
      <c r="AC39" s="98">
        <f>DATE(S$5,11,1)</f>
        <v>45597</v>
      </c>
      <c r="AD39" s="98">
        <f>DATE(S$5,12,1)</f>
        <v>45627</v>
      </c>
      <c r="AE39" s="91"/>
      <c r="AG39" s="98">
        <f>DATE(AG$5,1,1)</f>
        <v>45658</v>
      </c>
      <c r="AH39" s="98">
        <f>DATE(AG$5,2,1)</f>
        <v>45689</v>
      </c>
      <c r="AI39" s="98">
        <f>DATE(AG$5,3,1)</f>
        <v>45717</v>
      </c>
      <c r="AJ39" s="98">
        <f>DATE(AG$5,4,1)</f>
        <v>45748</v>
      </c>
      <c r="AK39" s="98">
        <f>DATE(AG$5,5,1)</f>
        <v>45778</v>
      </c>
      <c r="AL39" s="98">
        <f>DATE(AG$5,6,1)</f>
        <v>45809</v>
      </c>
      <c r="AM39" s="98">
        <f>DATE(AG$5,7,1)</f>
        <v>45839</v>
      </c>
      <c r="AN39" s="98">
        <f>DATE(AG$5,8,1)</f>
        <v>45870</v>
      </c>
      <c r="AO39" s="98">
        <f>DATE(AG$5,9,1)</f>
        <v>45901</v>
      </c>
      <c r="AP39" s="98">
        <f>DATE(AG$5,10,1)</f>
        <v>45931</v>
      </c>
      <c r="AQ39" s="98">
        <f>DATE(AG$5,11,1)</f>
        <v>45962</v>
      </c>
      <c r="AR39" s="98">
        <f>DATE(AG$5,12,1)</f>
        <v>45992</v>
      </c>
      <c r="AS39" s="91"/>
      <c r="AU39" s="98">
        <f>DATE(AU$5,1,1)</f>
        <v>46023</v>
      </c>
      <c r="AV39" s="98">
        <f>DATE(AU$5,2,1)</f>
        <v>46054</v>
      </c>
      <c r="AW39" s="98">
        <f>DATE(AU$5,3,1)</f>
        <v>46082</v>
      </c>
      <c r="AX39" s="98">
        <f>DATE(AU$5,4,1)</f>
        <v>46113</v>
      </c>
      <c r="AY39" s="98">
        <f>DATE(AU$5,5,1)</f>
        <v>46143</v>
      </c>
      <c r="AZ39" s="98">
        <f>DATE(AU$5,6,1)</f>
        <v>46174</v>
      </c>
      <c r="BA39" s="98">
        <f>DATE(AU$5,7,1)</f>
        <v>46204</v>
      </c>
      <c r="BB39" s="98">
        <f>DATE(AU$5,8,1)</f>
        <v>46235</v>
      </c>
      <c r="BC39" s="98">
        <f>DATE(AU$5,9,1)</f>
        <v>46266</v>
      </c>
      <c r="BD39" s="98">
        <f>DATE(AU$5,10,1)</f>
        <v>46296</v>
      </c>
      <c r="BE39" s="98">
        <f>DATE(AU$5,11,1)</f>
        <v>46327</v>
      </c>
      <c r="BF39" s="98">
        <f>DATE(AU$5,12,1)</f>
        <v>46357</v>
      </c>
      <c r="BG39" s="91"/>
      <c r="BI39" s="98">
        <f>DATE(BI$5,1,1)</f>
        <v>46388</v>
      </c>
      <c r="BJ39" s="98">
        <f>DATE(BI$5,2,1)</f>
        <v>46419</v>
      </c>
      <c r="BK39" s="98">
        <f>DATE(BI$5,3,1)</f>
        <v>46447</v>
      </c>
      <c r="BL39" s="98">
        <f>DATE(BI$5,4,1)</f>
        <v>46478</v>
      </c>
      <c r="BM39" s="98">
        <f>DATE(BI$5,5,1)</f>
        <v>46508</v>
      </c>
      <c r="BN39" s="98">
        <f>DATE(BI$5,6,1)</f>
        <v>46539</v>
      </c>
      <c r="BO39" s="98">
        <f>DATE(BI$5,7,1)</f>
        <v>46569</v>
      </c>
      <c r="BP39" s="98">
        <f>DATE(BI$5,8,1)</f>
        <v>46600</v>
      </c>
      <c r="BQ39" s="98">
        <f>DATE(BI$5,9,1)</f>
        <v>46631</v>
      </c>
      <c r="BR39" s="98">
        <f>DATE(BI$5,10,1)</f>
        <v>46661</v>
      </c>
      <c r="BS39" s="98">
        <f>DATE(BI$5,11,1)</f>
        <v>46692</v>
      </c>
      <c r="BT39" s="98">
        <f>DATE(BI$5,12,1)</f>
        <v>46722</v>
      </c>
      <c r="BU39" s="91"/>
      <c r="BV39" s="91"/>
      <c r="BW39" s="98">
        <f>DATE(BW$5,1,1)</f>
        <v>46753</v>
      </c>
      <c r="BX39" s="98">
        <f>DATE(BW$5,2,1)</f>
        <v>46784</v>
      </c>
      <c r="BY39" s="98">
        <f>DATE(BW$5,3,1)</f>
        <v>46813</v>
      </c>
      <c r="BZ39" s="98">
        <f>DATE(BW$5,4,1)</f>
        <v>46844</v>
      </c>
      <c r="CA39" s="98">
        <f>DATE(BW$5,5,1)</f>
        <v>46874</v>
      </c>
      <c r="CB39" s="98">
        <f>DATE(BW$5,6,1)</f>
        <v>46905</v>
      </c>
      <c r="CC39" s="98">
        <f>DATE(BW$5,7,1)</f>
        <v>46935</v>
      </c>
      <c r="CD39" s="98">
        <f>DATE(BW$5,8,1)</f>
        <v>46966</v>
      </c>
      <c r="CE39" s="98">
        <f>DATE(BW$5,9,1)</f>
        <v>46997</v>
      </c>
      <c r="CF39" s="98">
        <f>DATE(BW$5,10,1)</f>
        <v>47027</v>
      </c>
      <c r="CG39" s="98">
        <f>DATE(BW$5,11,1)</f>
        <v>47058</v>
      </c>
      <c r="CH39" s="98">
        <f>DATE(BW$5,12,1)</f>
        <v>47088</v>
      </c>
      <c r="CI39" s="91"/>
      <c r="CK39" s="98">
        <f>DATE(CK$5,1,1)</f>
        <v>47119</v>
      </c>
      <c r="CL39" s="98">
        <f>DATE(CK$5,2,1)</f>
        <v>47150</v>
      </c>
      <c r="CM39" s="98">
        <f>DATE(CK$5,3,1)</f>
        <v>47178</v>
      </c>
      <c r="CN39" s="98">
        <f>DATE(CK$5,4,1)</f>
        <v>47209</v>
      </c>
      <c r="CO39" s="98">
        <f>DATE(CK$5,5,1)</f>
        <v>47239</v>
      </c>
      <c r="CP39" s="98">
        <f>DATE(CK$5,6,1)</f>
        <v>47270</v>
      </c>
      <c r="CQ39" s="98">
        <f>DATE(CK$5,7,1)</f>
        <v>47300</v>
      </c>
      <c r="CR39" s="98">
        <f>DATE(CK$5,8,1)</f>
        <v>47331</v>
      </c>
      <c r="CS39" s="98">
        <f>DATE(CK$5,9,1)</f>
        <v>47362</v>
      </c>
      <c r="CT39" s="98">
        <f>DATE(CK$5,10,1)</f>
        <v>47392</v>
      </c>
      <c r="CU39" s="98">
        <f>DATE(CK$5,11,1)</f>
        <v>47423</v>
      </c>
      <c r="CV39" s="98">
        <f>DATE(CK$5,12,1)</f>
        <v>47453</v>
      </c>
      <c r="CW39" s="91"/>
      <c r="CY39" s="98">
        <f>DATE(CY$5,1,1)</f>
        <v>47484</v>
      </c>
      <c r="CZ39" s="98">
        <f>DATE(CY$5,2,1)</f>
        <v>47515</v>
      </c>
      <c r="DA39" s="98">
        <f>DATE(CY$5,3,1)</f>
        <v>47543</v>
      </c>
      <c r="DB39" s="98">
        <f>DATE(CY$5,4,1)</f>
        <v>47574</v>
      </c>
      <c r="DC39" s="98">
        <f>DATE(CY$5,5,1)</f>
        <v>47604</v>
      </c>
      <c r="DD39" s="98">
        <f>DATE(CY$5,6,1)</f>
        <v>47635</v>
      </c>
      <c r="DE39" s="98">
        <f>DATE(CY$5,7,1)</f>
        <v>47665</v>
      </c>
      <c r="DF39" s="98">
        <f>DATE(CY$5,8,1)</f>
        <v>47696</v>
      </c>
      <c r="DG39" s="98">
        <f>DATE(CY$5,9,1)</f>
        <v>47727</v>
      </c>
      <c r="DH39" s="98">
        <f>DATE(CY$5,10,1)</f>
        <v>47757</v>
      </c>
      <c r="DI39" s="98">
        <f>DATE(CY$5,11,1)</f>
        <v>47788</v>
      </c>
      <c r="DJ39" s="98">
        <f>DATE(CY$5,12,1)</f>
        <v>47818</v>
      </c>
      <c r="DK39" s="91"/>
      <c r="DM39" s="98">
        <f>DATE(DM$5,1,1)</f>
        <v>47849</v>
      </c>
      <c r="DN39" s="98">
        <f>DATE(DM$5,2,1)</f>
        <v>47880</v>
      </c>
      <c r="DO39" s="98">
        <f>DATE(DM$5,3,1)</f>
        <v>47908</v>
      </c>
      <c r="DP39" s="98">
        <f>DATE(DM$5,4,1)</f>
        <v>47939</v>
      </c>
      <c r="DQ39" s="98">
        <f>DATE(DM$5,5,1)</f>
        <v>47969</v>
      </c>
      <c r="DR39" s="98">
        <f>DATE(DM$5,6,1)</f>
        <v>48000</v>
      </c>
      <c r="DS39" s="98">
        <f>DATE(DM$5,7,1)</f>
        <v>48030</v>
      </c>
      <c r="DT39" s="98">
        <f>DATE(DM$5,8,1)</f>
        <v>48061</v>
      </c>
      <c r="DU39" s="98">
        <f>DATE(DM$5,9,1)</f>
        <v>48092</v>
      </c>
      <c r="DV39" s="98">
        <f>DATE(DM$5,10,1)</f>
        <v>48122</v>
      </c>
      <c r="DW39" s="98">
        <f>DATE(DM$5,11,1)</f>
        <v>48153</v>
      </c>
      <c r="DX39" s="98">
        <f>DATE(DM$5,12,1)</f>
        <v>48183</v>
      </c>
      <c r="DY39" s="91"/>
      <c r="EA39" s="98">
        <f>DATE(EA$5,1,1)</f>
        <v>48214</v>
      </c>
      <c r="EB39" s="98">
        <f>DATE(EA$5,2,1)</f>
        <v>48245</v>
      </c>
      <c r="EC39" s="98">
        <f>DATE(EA$5,3,1)</f>
        <v>48274</v>
      </c>
      <c r="ED39" s="98">
        <f>DATE(EA$5,4,1)</f>
        <v>48305</v>
      </c>
      <c r="EE39" s="98">
        <f>DATE(EA$5,5,1)</f>
        <v>48335</v>
      </c>
      <c r="EF39" s="98">
        <f>DATE(EA$5,6,1)</f>
        <v>48366</v>
      </c>
      <c r="EG39" s="98">
        <f>DATE(EA$5,7,1)</f>
        <v>48396</v>
      </c>
      <c r="EH39" s="98">
        <f>DATE(EA$5,8,1)</f>
        <v>48427</v>
      </c>
      <c r="EI39" s="98">
        <f>DATE(EA$5,9,1)</f>
        <v>48458</v>
      </c>
      <c r="EJ39" s="98">
        <f>DATE(EA$5,10,1)</f>
        <v>48488</v>
      </c>
      <c r="EK39" s="98">
        <f>DATE(EA$5,11,1)</f>
        <v>48519</v>
      </c>
      <c r="EL39" s="98">
        <f>DATE(EA$5,12,1)</f>
        <v>48549</v>
      </c>
      <c r="EM39" s="91"/>
      <c r="EO39" s="98">
        <f>DATE(EO$5,1,1)</f>
        <v>48580</v>
      </c>
      <c r="EP39" s="98">
        <f>DATE(EO$5,2,1)</f>
        <v>48611</v>
      </c>
      <c r="EQ39" s="98">
        <f>DATE(EO$5,3,1)</f>
        <v>48639</v>
      </c>
      <c r="ER39" s="98">
        <f>DATE(EO$5,4,1)</f>
        <v>48670</v>
      </c>
      <c r="ES39" s="98">
        <f>DATE(EO$5,5,1)</f>
        <v>48700</v>
      </c>
      <c r="ET39" s="98">
        <f>DATE(EO$5,6,1)</f>
        <v>48731</v>
      </c>
      <c r="EU39" s="98">
        <f>DATE(EO$5,7,1)</f>
        <v>48761</v>
      </c>
      <c r="EV39" s="98">
        <f>DATE(EO$5,8,1)</f>
        <v>48792</v>
      </c>
      <c r="EW39" s="98">
        <f>DATE(EO$5,9,1)</f>
        <v>48823</v>
      </c>
      <c r="EX39" s="98">
        <f>DATE(EO$5,10,1)</f>
        <v>48853</v>
      </c>
      <c r="EY39" s="98">
        <f>DATE(EO$5,11,1)</f>
        <v>48884</v>
      </c>
      <c r="EZ39" s="98">
        <f>DATE(EO$5,12,1)</f>
        <v>48914</v>
      </c>
      <c r="FA39" s="91"/>
    </row>
    <row r="40" spans="3:157" x14ac:dyDescent="0.3">
      <c r="E40" s="99">
        <f ca="1">IF(E37&gt;0,IF(D40&gt;0,'Presupuestos de Gastos'!$C$23+D40-E37,'Presupuestos de Gastos'!$C$23-E37),0)</f>
        <v>0</v>
      </c>
      <c r="F40" s="99">
        <f ca="1">IF(F37&gt;0,IF(E40&gt;0,'Presupuestos de Gastos'!$C$23+E40-F37,'Presupuestos de Gastos'!$C$23-F37),0)</f>
        <v>0</v>
      </c>
      <c r="G40" s="99">
        <f ca="1">IF(G37&gt;0,IF(F40&gt;0,'Presupuestos de Gastos'!$C$23+F40-G37,'Presupuestos de Gastos'!$C$23-G37),0)</f>
        <v>0</v>
      </c>
      <c r="H40" s="99">
        <f ca="1">IF(H37&gt;0,IF(G40&gt;0,'Presupuestos de Gastos'!$C$23+G40-H37,'Presupuestos de Gastos'!$C$23-H37),0)</f>
        <v>0</v>
      </c>
      <c r="I40" s="99">
        <f ca="1">IF(I37&gt;0,IF(H40&gt;0,'Presupuestos de Gastos'!$C$23+H40-I37,'Presupuestos de Gastos'!$C$23-I37),0)</f>
        <v>0</v>
      </c>
      <c r="J40" s="99">
        <f ca="1">IF(J37&gt;0,IF(I40&gt;0,'Presupuestos de Gastos'!$C$23+I40-J37,'Presupuestos de Gastos'!$C$23-J37),0)</f>
        <v>0</v>
      </c>
      <c r="K40" s="99">
        <f ca="1">IF(K37&gt;0,IF(J40&gt;0,'Presupuestos de Gastos'!$C$23+J40-K37,'Presupuestos de Gastos'!$C$23-K37),0)</f>
        <v>0</v>
      </c>
      <c r="L40" s="99">
        <f ca="1">IF(L37&gt;0,IF(K40&gt;0,'Presupuestos de Gastos'!$C$23+K40-L37,'Presupuestos de Gastos'!$C$23-L37),0)</f>
        <v>0</v>
      </c>
      <c r="M40" s="99">
        <f ca="1">IF(M37&gt;0,IF(L40&gt;0,'Presupuestos de Gastos'!$C$23+L40-M37,'Presupuestos de Gastos'!$C$23-M37),0)</f>
        <v>0</v>
      </c>
      <c r="N40" s="99">
        <f ca="1">IF(N37&gt;0,IF(M40&gt;0,'Presupuestos de Gastos'!$C$23+M40-N37,'Presupuestos de Gastos'!$C$23-N37),0)</f>
        <v>0</v>
      </c>
      <c r="O40" s="99">
        <f ca="1">IF(O37&gt;0,IF(N40&gt;0,'Presupuestos de Gastos'!$C$23+N40-O37,'Presupuestos de Gastos'!$C$23-O37),0)</f>
        <v>0</v>
      </c>
      <c r="P40" s="99">
        <f ca="1">IF(P37&gt;0,IF(O40&gt;0,'Presupuestos de Gastos'!$C$23+O40-P37,'Presupuestos de Gastos'!$C$23-P37),0)</f>
        <v>0</v>
      </c>
      <c r="Q40" s="91"/>
      <c r="R40" s="91"/>
      <c r="S40" s="99">
        <f ca="1">IF(S37&gt;0,IF(R40&gt;0,'Presupuestos de Gastos'!$C$23+R40-S37,'Presupuestos de Gastos'!$C$23-S37),0)</f>
        <v>0</v>
      </c>
      <c r="T40" s="99">
        <f ca="1">IF(T37&gt;0,IF(S40&gt;0,'Presupuestos de Gastos'!$C$23+S40-T37,'Presupuestos de Gastos'!$C$23-T37),0)</f>
        <v>0</v>
      </c>
      <c r="U40" s="99">
        <f ca="1">IF(U37&gt;0,IF(T40&gt;0,'Presupuestos de Gastos'!$C$23+T40-U37,'Presupuestos de Gastos'!$C$23-U37),0)</f>
        <v>0</v>
      </c>
      <c r="V40" s="99">
        <f ca="1">IF(V37&gt;0,IF(U40&gt;0,'Presupuestos de Gastos'!$C$23+U40-V37,'Presupuestos de Gastos'!$C$23-V37),0)</f>
        <v>0</v>
      </c>
      <c r="W40" s="99">
        <f ca="1">IF(W37&gt;0,IF(V40&gt;0,'Presupuestos de Gastos'!$C$23+V40-W37,'Presupuestos de Gastos'!$C$23-W37),0)</f>
        <v>0</v>
      </c>
      <c r="X40" s="99">
        <f ca="1">IF(X37&gt;0,IF(W40&gt;0,'Presupuestos de Gastos'!$C$23+W40-X37,'Presupuestos de Gastos'!$C$23-X37),0)</f>
        <v>0</v>
      </c>
      <c r="Y40" s="99">
        <f ca="1">IF(Y37&gt;0,IF(X40&gt;0,'Presupuestos de Gastos'!$C$23+X40-Y37,'Presupuestos de Gastos'!$C$23-Y37),0)</f>
        <v>0</v>
      </c>
      <c r="Z40" s="99">
        <f ca="1">IF(Z37&gt;0,IF(Y40&gt;0,'Presupuestos de Gastos'!$C$23+Y40-Z37,'Presupuestos de Gastos'!$C$23-Z37),0)</f>
        <v>0</v>
      </c>
      <c r="AA40" s="99">
        <f ca="1">IF(AA37&gt;0,IF(Z40&gt;0,'Presupuestos de Gastos'!$C$23+Z40-AA37,'Presupuestos de Gastos'!$C$23-AA37),0)</f>
        <v>0</v>
      </c>
      <c r="AB40" s="99">
        <f ca="1">IF(AB37&gt;0,IF(AA40&gt;0,'Presupuestos de Gastos'!$C$23+AA40-AB37,'Presupuestos de Gastos'!$C$23-AB37),0)</f>
        <v>0</v>
      </c>
      <c r="AC40" s="99">
        <f ca="1">IF(AC37&gt;0,IF(AB40&gt;0,'Presupuestos de Gastos'!$C$23+AB40-AC37,'Presupuestos de Gastos'!$C$23-AC37),0)</f>
        <v>0</v>
      </c>
      <c r="AD40" s="99">
        <f ca="1">IF(AD37&gt;0,IF(AC40&gt;0,'Presupuestos de Gastos'!$C$23+AC40-AD37,'Presupuestos de Gastos'!$C$23-AD37),0)</f>
        <v>0</v>
      </c>
      <c r="AE40" s="91"/>
      <c r="AF40" s="91"/>
      <c r="AG40" s="99">
        <f ca="1">IF(AG37&gt;0,IF(AF40&gt;0,'Presupuestos de Gastos'!$C$23+AF40-AG37,'Presupuestos de Gastos'!$C$23-AG37),0)</f>
        <v>0</v>
      </c>
      <c r="AH40" s="99">
        <f ca="1">IF(AH37&gt;0,IF(AG40&gt;0,'Presupuestos de Gastos'!$C$23+AG40-AH37,'Presupuestos de Gastos'!$C$23-AH37),0)</f>
        <v>0</v>
      </c>
      <c r="AI40" s="99">
        <f ca="1">IF(AI37&gt;0,IF(AH40&gt;0,'Presupuestos de Gastos'!$C$23+AH40-AI37,'Presupuestos de Gastos'!$C$23-AI37),0)</f>
        <v>0</v>
      </c>
      <c r="AJ40" s="99">
        <f ca="1">IF(AJ37&gt;0,IF(AI40&gt;0,'Presupuestos de Gastos'!$C$23+AI40-AJ37,'Presupuestos de Gastos'!$C$23-AJ37),0)</f>
        <v>0</v>
      </c>
      <c r="AK40" s="99">
        <f ca="1">IF(AK37&gt;0,IF(AJ40&gt;0,'Presupuestos de Gastos'!$C$23+AJ40-AK37,'Presupuestos de Gastos'!$C$23-AK37),0)</f>
        <v>0</v>
      </c>
      <c r="AL40" s="99">
        <f ca="1">IF(AL37&gt;0,IF(AK40&gt;0,'Presupuestos de Gastos'!$C$23+AK40-AL37,'Presupuestos de Gastos'!$C$23-AL37),0)</f>
        <v>0</v>
      </c>
      <c r="AM40" s="99">
        <f ca="1">IF(AM37&gt;0,IF(AL40&gt;0,'Presupuestos de Gastos'!$C$23+AL40-AM37,'Presupuestos de Gastos'!$C$23-AM37),0)</f>
        <v>0</v>
      </c>
      <c r="AN40" s="99">
        <f ca="1">IF(AN37&gt;0,IF(AM40&gt;0,'Presupuestos de Gastos'!$C$23+AM40-AN37,'Presupuestos de Gastos'!$C$23-AN37),0)</f>
        <v>0</v>
      </c>
      <c r="AO40" s="99">
        <f ca="1">IF(AO37&gt;0,IF(AN40&gt;0,'Presupuestos de Gastos'!$C$23+AN40-AO37,'Presupuestos de Gastos'!$C$23-AO37),0)</f>
        <v>0</v>
      </c>
      <c r="AP40" s="99">
        <f ca="1">IF(AP37&gt;0,IF(AO40&gt;0,'Presupuestos de Gastos'!$C$23+AO40-AP37,'Presupuestos de Gastos'!$C$23-AP37),0)</f>
        <v>0</v>
      </c>
      <c r="AQ40" s="99">
        <f ca="1">IF(AQ37&gt;0,IF(AP40&gt;0,'Presupuestos de Gastos'!$C$23+AP40-AQ37,'Presupuestos de Gastos'!$C$23-AQ37),0)</f>
        <v>0</v>
      </c>
      <c r="AR40" s="99">
        <f ca="1">IF(AR37&gt;0,IF(AQ40&gt;0,'Presupuestos de Gastos'!$C$23+AQ40-AR37,'Presupuestos de Gastos'!$C$23-AR37),0)</f>
        <v>0</v>
      </c>
      <c r="AS40" s="91"/>
      <c r="AT40" s="91"/>
      <c r="AU40" s="99">
        <f ca="1">IF(AU37&gt;0,IF(AT40&gt;0,'Presupuestos de Gastos'!$C$23+AT40-AU37,'Presupuestos de Gastos'!$C$23-AU37),0)</f>
        <v>0</v>
      </c>
      <c r="AV40" s="99">
        <f ca="1">IF(AV37&gt;0,IF(AU40&gt;0,'Presupuestos de Gastos'!$C$23+AU40-AV37,'Presupuestos de Gastos'!$C$23-AV37),0)</f>
        <v>0</v>
      </c>
      <c r="AW40" s="99">
        <f ca="1">IF(AW37&gt;0,IF(AV40&gt;0,'Presupuestos de Gastos'!$C$23+AV40-AW37,'Presupuestos de Gastos'!$C$23-AW37),0)</f>
        <v>0</v>
      </c>
      <c r="AX40" s="99">
        <f ca="1">IF(AX37&gt;0,IF(AW40&gt;0,'Presupuestos de Gastos'!$C$23+AW40-AX37,'Presupuestos de Gastos'!$C$23-AX37),0)</f>
        <v>0</v>
      </c>
      <c r="AY40" s="99">
        <f ca="1">IF(AY37&gt;0,IF(AX40&gt;0,'Presupuestos de Gastos'!$C$23+AX40-AY37,'Presupuestos de Gastos'!$C$23-AY37),0)</f>
        <v>0</v>
      </c>
      <c r="AZ40" s="99">
        <f ca="1">IF(AZ37&gt;0,IF(AY40&gt;0,'Presupuestos de Gastos'!$C$23+AY40-AZ37,'Presupuestos de Gastos'!$C$23-AZ37),0)</f>
        <v>0</v>
      </c>
      <c r="BA40" s="99">
        <f ca="1">IF(BA37&gt;0,IF(AZ40&gt;0,'Presupuestos de Gastos'!$C$23+AZ40-BA37,'Presupuestos de Gastos'!$C$23-BA37),0)</f>
        <v>0</v>
      </c>
      <c r="BB40" s="99">
        <f ca="1">IF(BB37&gt;0,IF(BA40&gt;0,'Presupuestos de Gastos'!$C$23+BA40-BB37,'Presupuestos de Gastos'!$C$23-BB37),0)</f>
        <v>0</v>
      </c>
      <c r="BC40" s="99">
        <f ca="1">IF(BC37&gt;0,IF(BB40&gt;0,'Presupuestos de Gastos'!$C$23+BB40-BC37,'Presupuestos de Gastos'!$C$23-BC37),0)</f>
        <v>0</v>
      </c>
      <c r="BD40" s="99">
        <f ca="1">IF(BD37&gt;0,IF(BC40&gt;0,'Presupuestos de Gastos'!$C$23+BC40-BD37,'Presupuestos de Gastos'!$C$23-BD37),0)</f>
        <v>0</v>
      </c>
      <c r="BE40" s="99">
        <f ca="1">IF(BE37&gt;0,IF(BD40&gt;0,'Presupuestos de Gastos'!$C$23+BD40-BE37,'Presupuestos de Gastos'!$C$23-BE37),0)</f>
        <v>0</v>
      </c>
      <c r="BF40" s="99">
        <f ca="1">IF(BF37&gt;0,IF(BE40&gt;0,'Presupuestos de Gastos'!$C$23+BE40-BF37,'Presupuestos de Gastos'!$C$23-BF37),0)</f>
        <v>0</v>
      </c>
      <c r="BG40" s="91"/>
      <c r="BH40" s="91"/>
      <c r="BI40" s="99">
        <f ca="1">IF(BI37&gt;0,IF(BH40&gt;0,'Presupuestos de Gastos'!$C$23+BH40-BI37,'Presupuestos de Gastos'!$C$23-BI37),0)</f>
        <v>0</v>
      </c>
      <c r="BJ40" s="99">
        <f ca="1">IF(BJ37&gt;0,IF(BI40&gt;0,'Presupuestos de Gastos'!$C$23+BI40-BJ37,'Presupuestos de Gastos'!$C$23-BJ37),0)</f>
        <v>0</v>
      </c>
      <c r="BK40" s="99">
        <f ca="1">IF(BK37&gt;0,IF(BJ40&gt;0,'Presupuestos de Gastos'!$C$23+BJ40-BK37,'Presupuestos de Gastos'!$C$23-BK37),0)</f>
        <v>0</v>
      </c>
      <c r="BL40" s="99">
        <f ca="1">IF(BL37&gt;0,IF(BK40&gt;0,'Presupuestos de Gastos'!$C$23+BK40-BL37,'Presupuestos de Gastos'!$C$23-BL37),0)</f>
        <v>0</v>
      </c>
      <c r="BM40" s="99">
        <f ca="1">IF(BM37&gt;0,IF(BL40&gt;0,'Presupuestos de Gastos'!$C$23+BL40-BM37,'Presupuestos de Gastos'!$C$23-BM37),0)</f>
        <v>0</v>
      </c>
      <c r="BN40" s="99">
        <f ca="1">IF(BN37&gt;0,IF(BM40&gt;0,'Presupuestos de Gastos'!$C$23+BM40-BN37,'Presupuestos de Gastos'!$C$23-BN37),0)</f>
        <v>0</v>
      </c>
      <c r="BO40" s="99">
        <f ca="1">IF(BO37&gt;0,IF(BN40&gt;0,'Presupuestos de Gastos'!$C$23+BN40-BO37,'Presupuestos de Gastos'!$C$23-BO37),0)</f>
        <v>0</v>
      </c>
      <c r="BP40" s="99">
        <f ca="1">IF(BP37&gt;0,IF(BO40&gt;0,'Presupuestos de Gastos'!$C$23+BO40-BP37,'Presupuestos de Gastos'!$C$23-BP37),0)</f>
        <v>0</v>
      </c>
      <c r="BQ40" s="99">
        <f ca="1">IF(BQ37&gt;0,IF(BP40&gt;0,'Presupuestos de Gastos'!$C$23+BP40-BQ37,'Presupuestos de Gastos'!$C$23-BQ37),0)</f>
        <v>0</v>
      </c>
      <c r="BR40" s="99">
        <f ca="1">IF(BR37&gt;0,IF(BQ40&gt;0,'Presupuestos de Gastos'!$C$23+BQ40-BR37,'Presupuestos de Gastos'!$C$23-BR37),0)</f>
        <v>0</v>
      </c>
      <c r="BS40" s="99">
        <f ca="1">IF(BS37&gt;0,IF(BR40&gt;0,'Presupuestos de Gastos'!$C$23+BR40-BS37,'Presupuestos de Gastos'!$C$23-BS37),0)</f>
        <v>0</v>
      </c>
      <c r="BT40" s="99">
        <f ca="1">IF(BT37&gt;0,IF(BS40&gt;0,'Presupuestos de Gastos'!$C$23+BS40-BT37,'Presupuestos de Gastos'!$C$23-BT37),0)</f>
        <v>0</v>
      </c>
      <c r="BU40" s="91"/>
      <c r="BV40" s="91"/>
      <c r="BW40" s="99">
        <f ca="1">IF(BW37&gt;0,IF(BV40&gt;0,'Presupuestos de Gastos'!$C$23+BV40-BW37,'Presupuestos de Gastos'!$C$23-BW37),0)</f>
        <v>0</v>
      </c>
      <c r="BX40" s="99">
        <f ca="1">IF(BX37&gt;0,IF(BW40&gt;0,'Presupuestos de Gastos'!$C$23+BW40-BX37,'Presupuestos de Gastos'!$C$23-BX37),0)</f>
        <v>0</v>
      </c>
      <c r="BY40" s="99">
        <f ca="1">IF(BY37&gt;0,IF(BX40&gt;0,'Presupuestos de Gastos'!$C$23+BX40-BY37,'Presupuestos de Gastos'!$C$23-BY37),0)</f>
        <v>0</v>
      </c>
      <c r="BZ40" s="99">
        <f ca="1">IF(BZ37&gt;0,IF(BY40&gt;0,'Presupuestos de Gastos'!$C$23+BY40-BZ37,'Presupuestos de Gastos'!$C$23-BZ37),0)</f>
        <v>0</v>
      </c>
      <c r="CA40" s="99">
        <f ca="1">IF(CA37&gt;0,IF(BZ40&gt;0,'Presupuestos de Gastos'!$C$23+BZ40-CA37,'Presupuestos de Gastos'!$C$23-CA37),0)</f>
        <v>0</v>
      </c>
      <c r="CB40" s="99">
        <f ca="1">IF(CB37&gt;0,IF(CA40&gt;0,'Presupuestos de Gastos'!$C$23+CA40-CB37,'Presupuestos de Gastos'!$C$23-CB37),0)</f>
        <v>0</v>
      </c>
      <c r="CC40" s="99">
        <f ca="1">IF(CC37&gt;0,IF(CB40&gt;0,'Presupuestos de Gastos'!$C$23+CB40-CC37,'Presupuestos de Gastos'!$C$23-CC37),0)</f>
        <v>0</v>
      </c>
      <c r="CD40" s="99">
        <f ca="1">IF(CD37&gt;0,IF(CC40&gt;0,'Presupuestos de Gastos'!$C$23+CC40-CD37,'Presupuestos de Gastos'!$C$23-CD37),0)</f>
        <v>0</v>
      </c>
      <c r="CE40" s="99">
        <f ca="1">IF(CE37&gt;0,IF(CD40&gt;0,'Presupuestos de Gastos'!$C$23+CD40-CE37,'Presupuestos de Gastos'!$C$23-CE37),0)</f>
        <v>0</v>
      </c>
      <c r="CF40" s="99">
        <f ca="1">IF(CF37&gt;0,IF(CE40&gt;0,'Presupuestos de Gastos'!$C$23+CE40-CF37,'Presupuestos de Gastos'!$C$23-CF37),0)</f>
        <v>0</v>
      </c>
      <c r="CG40" s="99">
        <f ca="1">IF(CG37&gt;0,IF(CF40&gt;0,'Presupuestos de Gastos'!$C$23+CF40-CG37,'Presupuestos de Gastos'!$C$23-CG37),0)</f>
        <v>0</v>
      </c>
      <c r="CH40" s="99">
        <f ca="1">IF(CH37&gt;0,IF(CG40&gt;0,'Presupuestos de Gastos'!$C$23+CG40-CH37,'Presupuestos de Gastos'!$C$23-CH37),0)</f>
        <v>0</v>
      </c>
      <c r="CI40" s="91"/>
      <c r="CJ40" s="91"/>
      <c r="CK40" s="99">
        <f ca="1">IF(CK37&gt;0,IF(CJ40&gt;0,'Presupuestos de Gastos'!$C$23+CJ40-CK37,'Presupuestos de Gastos'!$C$23-CK37),0)</f>
        <v>0</v>
      </c>
      <c r="CL40" s="99">
        <f ca="1">IF(CL37&gt;0,IF(CK40&gt;0,'Presupuestos de Gastos'!$C$23+CK40-CL37,'Presupuestos de Gastos'!$C$23-CL37),0)</f>
        <v>0</v>
      </c>
      <c r="CM40" s="99">
        <f ca="1">IF(CM37&gt;0,IF(CL40&gt;0,'Presupuestos de Gastos'!$C$23+CL40-CM37,'Presupuestos de Gastos'!$C$23-CM37),0)</f>
        <v>0</v>
      </c>
      <c r="CN40" s="99">
        <f ca="1">IF(CN37&gt;0,IF(CM40&gt;0,'Presupuestos de Gastos'!$C$23+CM40-CN37,'Presupuestos de Gastos'!$C$23-CN37),0)</f>
        <v>0</v>
      </c>
      <c r="CO40" s="99">
        <f ca="1">IF(CO37&gt;0,IF(CN40&gt;0,'Presupuestos de Gastos'!$C$23+CN40-CO37,'Presupuestos de Gastos'!$C$23-CO37),0)</f>
        <v>0</v>
      </c>
      <c r="CP40" s="99">
        <f ca="1">IF(CP37&gt;0,IF(CO40&gt;0,'Presupuestos de Gastos'!$C$23+CO40-CP37,'Presupuestos de Gastos'!$C$23-CP37),0)</f>
        <v>0</v>
      </c>
      <c r="CQ40" s="99">
        <f ca="1">IF(CQ37&gt;0,IF(CP40&gt;0,'Presupuestos de Gastos'!$C$23+CP40-CQ37,'Presupuestos de Gastos'!$C$23-CQ37),0)</f>
        <v>0</v>
      </c>
      <c r="CR40" s="99">
        <f ca="1">IF(CR37&gt;0,IF(CQ40&gt;0,'Presupuestos de Gastos'!$C$23+CQ40-CR37,'Presupuestos de Gastos'!$C$23-CR37),0)</f>
        <v>0</v>
      </c>
      <c r="CS40" s="99">
        <f ca="1">IF(CS37&gt;0,IF(CR40&gt;0,'Presupuestos de Gastos'!$C$23+CR40-CS37,'Presupuestos de Gastos'!$C$23-CS37),0)</f>
        <v>0</v>
      </c>
      <c r="CT40" s="99">
        <f ca="1">IF(CT37&gt;0,IF(CS40&gt;0,'Presupuestos de Gastos'!$C$23+CS40-CT37,'Presupuestos de Gastos'!$C$23-CT37),0)</f>
        <v>0</v>
      </c>
      <c r="CU40" s="99">
        <f ca="1">IF(CU37&gt;0,IF(CT40&gt;0,'Presupuestos de Gastos'!$C$23+CT40-CU37,'Presupuestos de Gastos'!$C$23-CU37),0)</f>
        <v>0</v>
      </c>
      <c r="CV40" s="99">
        <f ca="1">IF(CV37&gt;0,IF(CU40&gt;0,'Presupuestos de Gastos'!$C$23+CU40-CV37,'Presupuestos de Gastos'!$C$23-CV37),0)</f>
        <v>0</v>
      </c>
      <c r="CW40" s="91"/>
      <c r="CX40" s="91"/>
      <c r="CY40" s="99">
        <f ca="1">IF(CY37&gt;0,IF(CX40&gt;0,'Presupuestos de Gastos'!$C$23+CX40-CY37,'Presupuestos de Gastos'!$C$23-CY37),0)</f>
        <v>0</v>
      </c>
      <c r="CZ40" s="99">
        <f ca="1">IF(CZ37&gt;0,IF(CY40&gt;0,'Presupuestos de Gastos'!$C$23+CY40-CZ37,'Presupuestos de Gastos'!$C$23-CZ37),0)</f>
        <v>0</v>
      </c>
      <c r="DA40" s="99">
        <f ca="1">IF(DA37&gt;0,IF(CZ40&gt;0,'Presupuestos de Gastos'!$C$23+CZ40-DA37,'Presupuestos de Gastos'!$C$23-DA37),0)</f>
        <v>0</v>
      </c>
      <c r="DB40" s="99">
        <f ca="1">IF(DB37&gt;0,IF(DA40&gt;0,'Presupuestos de Gastos'!$C$23+DA40-DB37,'Presupuestos de Gastos'!$C$23-DB37),0)</f>
        <v>0</v>
      </c>
      <c r="DC40" s="99">
        <f ca="1">IF(DC37&gt;0,IF(DB40&gt;0,'Presupuestos de Gastos'!$C$23+DB40-DC37,'Presupuestos de Gastos'!$C$23-DC37),0)</f>
        <v>0</v>
      </c>
      <c r="DD40" s="99">
        <f ca="1">IF(DD37&gt;0,IF(DC40&gt;0,'Presupuestos de Gastos'!$C$23+DC40-DD37,'Presupuestos de Gastos'!$C$23-DD37),0)</f>
        <v>0</v>
      </c>
      <c r="DE40" s="99">
        <f ca="1">IF(DE37&gt;0,IF(DD40&gt;0,'Presupuestos de Gastos'!$C$23+DD40-DE37,'Presupuestos de Gastos'!$C$23-DE37),0)</f>
        <v>0</v>
      </c>
      <c r="DF40" s="99">
        <f ca="1">IF(DF37&gt;0,IF(DE40&gt;0,'Presupuestos de Gastos'!$C$23+DE40-DF37,'Presupuestos de Gastos'!$C$23-DF37),0)</f>
        <v>0</v>
      </c>
      <c r="DG40" s="99">
        <f ca="1">IF(DG37&gt;0,IF(DF40&gt;0,'Presupuestos de Gastos'!$C$23+DF40-DG37,'Presupuestos de Gastos'!$C$23-DG37),0)</f>
        <v>0</v>
      </c>
      <c r="DH40" s="99">
        <f ca="1">IF(DH37&gt;0,IF(DG40&gt;0,'Presupuestos de Gastos'!$C$23+DG40-DH37,'Presupuestos de Gastos'!$C$23-DH37),0)</f>
        <v>0</v>
      </c>
      <c r="DI40" s="99">
        <f ca="1">IF(DI37&gt;0,IF(DH40&gt;0,'Presupuestos de Gastos'!$C$23+DH40-DI37,'Presupuestos de Gastos'!$C$23-DI37),0)</f>
        <v>0</v>
      </c>
      <c r="DJ40" s="99">
        <f ca="1">IF(DJ37&gt;0,IF(DI40&gt;0,'Presupuestos de Gastos'!$C$23+DI40-DJ37,'Presupuestos de Gastos'!$C$23-DJ37),0)</f>
        <v>0</v>
      </c>
      <c r="DK40" s="91"/>
      <c r="DL40" s="91"/>
      <c r="DM40" s="99">
        <f ca="1">IF(DM37&gt;0,IF(DL40&gt;0,'Presupuestos de Gastos'!$C$23+DL40-DM37,'Presupuestos de Gastos'!$C$23-DM37),0)</f>
        <v>0</v>
      </c>
      <c r="DN40" s="99">
        <f ca="1">IF(DN37&gt;0,IF(DM40&gt;0,'Presupuestos de Gastos'!$C$23+DM40-DN37,'Presupuestos de Gastos'!$C$23-DN37),0)</f>
        <v>0</v>
      </c>
      <c r="DO40" s="99">
        <f ca="1">IF(DO37&gt;0,IF(DN40&gt;0,'Presupuestos de Gastos'!$C$23+DN40-DO37,'Presupuestos de Gastos'!$C$23-DO37),0)</f>
        <v>0</v>
      </c>
      <c r="DP40" s="99">
        <f ca="1">IF(DP37&gt;0,IF(DO40&gt;0,'Presupuestos de Gastos'!$C$23+DO40-DP37,'Presupuestos de Gastos'!$C$23-DP37),0)</f>
        <v>0</v>
      </c>
      <c r="DQ40" s="99">
        <f ca="1">IF(DQ37&gt;0,IF(DP40&gt;0,'Presupuestos de Gastos'!$C$23+DP40-DQ37,'Presupuestos de Gastos'!$C$23-DQ37),0)</f>
        <v>0</v>
      </c>
      <c r="DR40" s="99">
        <f ca="1">IF(DR37&gt;0,IF(DQ40&gt;0,'Presupuestos de Gastos'!$C$23+DQ40-DR37,'Presupuestos de Gastos'!$C$23-DR37),0)</f>
        <v>0</v>
      </c>
      <c r="DS40" s="99">
        <f ca="1">IF(DS37&gt;0,IF(DR40&gt;0,'Presupuestos de Gastos'!$C$23+DR40-DS37,'Presupuestos de Gastos'!$C$23-DS37),0)</f>
        <v>0</v>
      </c>
      <c r="DT40" s="99">
        <f ca="1">IF(DT37&gt;0,IF(DS40&gt;0,'Presupuestos de Gastos'!$C$23+DS40-DT37,'Presupuestos de Gastos'!$C$23-DT37),0)</f>
        <v>0</v>
      </c>
      <c r="DU40" s="99">
        <f ca="1">IF(DU37&gt;0,IF(DT40&gt;0,'Presupuestos de Gastos'!$C$23+DT40-DU37,'Presupuestos de Gastos'!$C$23-DU37),0)</f>
        <v>0</v>
      </c>
      <c r="DV40" s="99">
        <f ca="1">IF(DV37&gt;0,IF(DU40&gt;0,'Presupuestos de Gastos'!$C$23+DU40-DV37,'Presupuestos de Gastos'!$C$23-DV37),0)</f>
        <v>0</v>
      </c>
      <c r="DW40" s="99">
        <f ca="1">IF(DW37&gt;0,IF(DV40&gt;0,'Presupuestos de Gastos'!$C$23+DV40-DW37,'Presupuestos de Gastos'!$C$23-DW37),0)</f>
        <v>0</v>
      </c>
      <c r="DX40" s="99">
        <f ca="1">IF(DX37&gt;0,IF(DW40&gt;0,'Presupuestos de Gastos'!$C$23+DW40-DX37,'Presupuestos de Gastos'!$C$23-DX37),0)</f>
        <v>0</v>
      </c>
      <c r="DY40" s="91"/>
      <c r="DZ40" s="91"/>
      <c r="EA40" s="99">
        <f ca="1">IF(EA37&gt;0,IF(DZ40&gt;0,'Presupuestos de Gastos'!$C$23+DZ40-EA37,'Presupuestos de Gastos'!$C$23-EA37),0)</f>
        <v>0</v>
      </c>
      <c r="EB40" s="99">
        <f ca="1">IF(EB37&gt;0,IF(EA40&gt;0,'Presupuestos de Gastos'!$C$23+EA40-EB37,'Presupuestos de Gastos'!$C$23-EB37),0)</f>
        <v>0</v>
      </c>
      <c r="EC40" s="99">
        <f ca="1">IF(EC37&gt;0,IF(EB40&gt;0,'Presupuestos de Gastos'!$C$23+EB40-EC37,'Presupuestos de Gastos'!$C$23-EC37),0)</f>
        <v>0</v>
      </c>
      <c r="ED40" s="99">
        <f ca="1">IF(ED37&gt;0,IF(EC40&gt;0,'Presupuestos de Gastos'!$C$23+EC40-ED37,'Presupuestos de Gastos'!$C$23-ED37),0)</f>
        <v>0</v>
      </c>
      <c r="EE40" s="99">
        <f ca="1">IF(EE37&gt;0,IF(ED40&gt;0,'Presupuestos de Gastos'!$C$23+ED40-EE37,'Presupuestos de Gastos'!$C$23-EE37),0)</f>
        <v>0</v>
      </c>
      <c r="EF40" s="99">
        <f ca="1">IF(EF37&gt;0,IF(EE40&gt;0,'Presupuestos de Gastos'!$C$23+EE40-EF37,'Presupuestos de Gastos'!$C$23-EF37),0)</f>
        <v>0</v>
      </c>
      <c r="EG40" s="99">
        <f ca="1">IF(EG37&gt;0,IF(EF40&gt;0,'Presupuestos de Gastos'!$C$23+EF40-EG37,'Presupuestos de Gastos'!$C$23-EG37),0)</f>
        <v>0</v>
      </c>
      <c r="EH40" s="99">
        <f ca="1">IF(EH37&gt;0,IF(EG40&gt;0,'Presupuestos de Gastos'!$C$23+EG40-EH37,'Presupuestos de Gastos'!$C$23-EH37),0)</f>
        <v>0</v>
      </c>
      <c r="EI40" s="99">
        <f ca="1">IF(EI37&gt;0,IF(EH40&gt;0,'Presupuestos de Gastos'!$C$23+EH40-EI37,'Presupuestos de Gastos'!$C$23-EI37),0)</f>
        <v>0</v>
      </c>
      <c r="EJ40" s="99">
        <f ca="1">IF(EJ37&gt;0,IF(EI40&gt;0,'Presupuestos de Gastos'!$C$23+EI40-EJ37,'Presupuestos de Gastos'!$C$23-EJ37),0)</f>
        <v>0</v>
      </c>
      <c r="EK40" s="99">
        <f ca="1">IF(EK37&gt;0,IF(EJ40&gt;0,'Presupuestos de Gastos'!$C$23+EJ40-EK37,'Presupuestos de Gastos'!$C$23-EK37),0)</f>
        <v>0</v>
      </c>
      <c r="EL40" s="99">
        <f ca="1">IF(EL37&gt;0,IF(EK40&gt;0,'Presupuestos de Gastos'!$C$23+EK40-EL37,'Presupuestos de Gastos'!$C$23-EL37),0)</f>
        <v>0</v>
      </c>
      <c r="EM40" s="91"/>
      <c r="EN40" s="91"/>
      <c r="EO40" s="99">
        <f ca="1">IF(EO37&gt;0,IF(EN40&gt;0,'Presupuestos de Gastos'!$C$23+EN40-EO37,'Presupuestos de Gastos'!$C$23-EO37),0)</f>
        <v>0</v>
      </c>
      <c r="EP40" s="99">
        <f ca="1">IF(EP37&gt;0,IF(EO40&gt;0,'Presupuestos de Gastos'!$C$23+EO40-EP37,'Presupuestos de Gastos'!$C$23-EP37),0)</f>
        <v>0</v>
      </c>
      <c r="EQ40" s="99">
        <f ca="1">IF(EQ37&gt;0,IF(EP40&gt;0,'Presupuestos de Gastos'!$C$23+EP40-EQ37,'Presupuestos de Gastos'!$C$23-EQ37),0)</f>
        <v>0</v>
      </c>
      <c r="ER40" s="99">
        <f ca="1">IF(ER37&gt;0,IF(EQ40&gt;0,'Presupuestos de Gastos'!$C$23+EQ40-ER37,'Presupuestos de Gastos'!$C$23-ER37),0)</f>
        <v>0</v>
      </c>
      <c r="ES40" s="99">
        <f ca="1">IF(ES37&gt;0,IF(ER40&gt;0,'Presupuestos de Gastos'!$C$23+ER40-ES37,'Presupuestos de Gastos'!$C$23-ES37),0)</f>
        <v>0</v>
      </c>
      <c r="ET40" s="99">
        <f ca="1">IF(ET37&gt;0,IF(ES40&gt;0,'Presupuestos de Gastos'!$C$23+ES40-ET37,'Presupuestos de Gastos'!$C$23-ET37),0)</f>
        <v>0</v>
      </c>
      <c r="EU40" s="99">
        <f ca="1">IF(EU37&gt;0,IF(ET40&gt;0,'Presupuestos de Gastos'!$C$23+ET40-EU37,'Presupuestos de Gastos'!$C$23-EU37),0)</f>
        <v>0</v>
      </c>
      <c r="EV40" s="99">
        <f ca="1">IF(EV37&gt;0,IF(EU40&gt;0,'Presupuestos de Gastos'!$C$23+EU40-EV37,'Presupuestos de Gastos'!$C$23-EV37),0)</f>
        <v>0</v>
      </c>
      <c r="EW40" s="99">
        <f ca="1">IF(EW37&gt;0,IF(EV40&gt;0,'Presupuestos de Gastos'!$C$23+EV40-EW37,'Presupuestos de Gastos'!$C$23-EW37),0)</f>
        <v>0</v>
      </c>
      <c r="EX40" s="99">
        <f ca="1">IF(EX37&gt;0,IF(EW40&gt;0,'Presupuestos de Gastos'!$C$23+EW40-EX37,'Presupuestos de Gastos'!$C$23-EX37),0)</f>
        <v>0</v>
      </c>
      <c r="EY40" s="99">
        <f ca="1">IF(EY37&gt;0,IF(EX40&gt;0,'Presupuestos de Gastos'!$C$23+EX40-EY37,'Presupuestos de Gastos'!$C$23-EY37),0)</f>
        <v>0</v>
      </c>
      <c r="EZ40" s="99">
        <f ca="1">IF(EZ37&gt;0,IF(EY40&gt;0,'Presupuestos de Gastos'!$C$23+EY40-EZ37,'Presupuestos de Gastos'!$C$23-EZ37),0)</f>
        <v>0</v>
      </c>
    </row>
    <row r="41" spans="3:157" x14ac:dyDescent="0.3">
      <c r="X41" s="49"/>
      <c r="Y41" s="49"/>
    </row>
    <row r="42" spans="3:157" x14ac:dyDescent="0.3">
      <c r="C42" s="27" t="s">
        <v>15</v>
      </c>
      <c r="E42" s="30">
        <f>DATE(E$5,1,1)</f>
        <v>44927</v>
      </c>
      <c r="F42" s="30">
        <f>DATE(E$5,2,1)</f>
        <v>44958</v>
      </c>
      <c r="G42" s="30">
        <f>DATE(E$5,3,1)</f>
        <v>44986</v>
      </c>
      <c r="H42" s="30">
        <f>DATE(E$5,4,1)</f>
        <v>45017</v>
      </c>
      <c r="I42" s="30">
        <f>DATE(E$5,5,1)</f>
        <v>45047</v>
      </c>
      <c r="J42" s="30">
        <f>DATE(E$5,6,1)</f>
        <v>45078</v>
      </c>
      <c r="K42" s="30">
        <f>DATE(E$5,7,1)</f>
        <v>45108</v>
      </c>
      <c r="L42" s="30">
        <f>DATE(E$5,8,1)</f>
        <v>45139</v>
      </c>
      <c r="M42" s="30">
        <f>DATE(E$5,9,1)</f>
        <v>45170</v>
      </c>
      <c r="N42" s="30">
        <f>DATE(E$5,10,1)</f>
        <v>45200</v>
      </c>
      <c r="O42" s="30">
        <f>DATE(E$5,11,1)</f>
        <v>45231</v>
      </c>
      <c r="P42" s="30">
        <f>DATE(E$5,12,1)</f>
        <v>45261</v>
      </c>
      <c r="Q42" s="31">
        <f>E5</f>
        <v>2023</v>
      </c>
      <c r="S42" s="30">
        <f>DATE(S$5,1,1)</f>
        <v>45292</v>
      </c>
      <c r="T42" s="30">
        <f>DATE(S$5,2,1)</f>
        <v>45323</v>
      </c>
      <c r="U42" s="30">
        <f>DATE(S$5,3,1)</f>
        <v>45352</v>
      </c>
      <c r="V42" s="30">
        <f>DATE(S$5,4,1)</f>
        <v>45383</v>
      </c>
      <c r="W42" s="30">
        <f>DATE(S$5,5,1)</f>
        <v>45413</v>
      </c>
      <c r="X42" s="30">
        <f>DATE(S$5,6,1)</f>
        <v>45444</v>
      </c>
      <c r="Y42" s="30">
        <f>DATE(S$5,7,1)</f>
        <v>45474</v>
      </c>
      <c r="Z42" s="30">
        <f>DATE(S$5,8,1)</f>
        <v>45505</v>
      </c>
      <c r="AA42" s="30">
        <f>DATE(S$5,9,1)</f>
        <v>45536</v>
      </c>
      <c r="AB42" s="30">
        <f>DATE(S$5,10,1)</f>
        <v>45566</v>
      </c>
      <c r="AC42" s="30">
        <f>DATE(S$5,11,1)</f>
        <v>45597</v>
      </c>
      <c r="AD42" s="30">
        <f>DATE(S$5,12,1)</f>
        <v>45627</v>
      </c>
      <c r="AE42" s="31">
        <f>S5</f>
        <v>2024</v>
      </c>
      <c r="AG42" s="30">
        <f>DATE(AG$5,1,1)</f>
        <v>45658</v>
      </c>
      <c r="AH42" s="30">
        <f>DATE(AG$5,2,1)</f>
        <v>45689</v>
      </c>
      <c r="AI42" s="30">
        <f>DATE(AG$5,3,1)</f>
        <v>45717</v>
      </c>
      <c r="AJ42" s="30">
        <f>DATE(AG$5,4,1)</f>
        <v>45748</v>
      </c>
      <c r="AK42" s="30">
        <f>DATE(AG$5,5,1)</f>
        <v>45778</v>
      </c>
      <c r="AL42" s="30">
        <f>DATE(AG$5,6,1)</f>
        <v>45809</v>
      </c>
      <c r="AM42" s="30">
        <f>DATE(AG$5,7,1)</f>
        <v>45839</v>
      </c>
      <c r="AN42" s="30">
        <f>DATE(AG$5,8,1)</f>
        <v>45870</v>
      </c>
      <c r="AO42" s="30">
        <f>DATE(AG$5,9,1)</f>
        <v>45901</v>
      </c>
      <c r="AP42" s="30">
        <f>DATE(AG$5,10,1)</f>
        <v>45931</v>
      </c>
      <c r="AQ42" s="30">
        <f>DATE(AG$5,11,1)</f>
        <v>45962</v>
      </c>
      <c r="AR42" s="30">
        <f>DATE(AG$5,12,1)</f>
        <v>45992</v>
      </c>
      <c r="AS42" s="31">
        <f>AG5</f>
        <v>2025</v>
      </c>
      <c r="AU42" s="30">
        <f>DATE(AU$5,1,1)</f>
        <v>46023</v>
      </c>
      <c r="AV42" s="30">
        <f>DATE(AU$5,2,1)</f>
        <v>46054</v>
      </c>
      <c r="AW42" s="30">
        <f>DATE(AU$5,3,1)</f>
        <v>46082</v>
      </c>
      <c r="AX42" s="30">
        <f>DATE(AU$5,4,1)</f>
        <v>46113</v>
      </c>
      <c r="AY42" s="30">
        <f>DATE(AU$5,5,1)</f>
        <v>46143</v>
      </c>
      <c r="AZ42" s="30">
        <f>DATE(AU$5,6,1)</f>
        <v>46174</v>
      </c>
      <c r="BA42" s="30">
        <f>DATE(AU$5,7,1)</f>
        <v>46204</v>
      </c>
      <c r="BB42" s="30">
        <f>DATE(AU$5,8,1)</f>
        <v>46235</v>
      </c>
      <c r="BC42" s="30">
        <f>DATE(AU$5,9,1)</f>
        <v>46266</v>
      </c>
      <c r="BD42" s="30">
        <f>DATE(AU$5,10,1)</f>
        <v>46296</v>
      </c>
      <c r="BE42" s="30">
        <f>DATE(AU$5,11,1)</f>
        <v>46327</v>
      </c>
      <c r="BF42" s="30">
        <f>DATE(AU$5,12,1)</f>
        <v>46357</v>
      </c>
      <c r="BG42" s="31">
        <f>AU5</f>
        <v>2026</v>
      </c>
      <c r="BI42" s="30">
        <f>DATE(BI$5,1,1)</f>
        <v>46388</v>
      </c>
      <c r="BJ42" s="30">
        <f>DATE(BI$5,2,1)</f>
        <v>46419</v>
      </c>
      <c r="BK42" s="30">
        <f>DATE(BI$5,3,1)</f>
        <v>46447</v>
      </c>
      <c r="BL42" s="30">
        <f>DATE(BI$5,4,1)</f>
        <v>46478</v>
      </c>
      <c r="BM42" s="30">
        <f>DATE(BI$5,5,1)</f>
        <v>46508</v>
      </c>
      <c r="BN42" s="30">
        <f>DATE(BI$5,6,1)</f>
        <v>46539</v>
      </c>
      <c r="BO42" s="30">
        <f>DATE(BI$5,7,1)</f>
        <v>46569</v>
      </c>
      <c r="BP42" s="30">
        <f>DATE(BI$5,8,1)</f>
        <v>46600</v>
      </c>
      <c r="BQ42" s="30">
        <f>DATE(BI$5,9,1)</f>
        <v>46631</v>
      </c>
      <c r="BR42" s="30">
        <f>DATE(BI$5,10,1)</f>
        <v>46661</v>
      </c>
      <c r="BS42" s="30">
        <f>DATE(BI$5,11,1)</f>
        <v>46692</v>
      </c>
      <c r="BT42" s="30">
        <f>DATE(BI$5,12,1)</f>
        <v>46722</v>
      </c>
      <c r="BU42" s="31">
        <f>BI5</f>
        <v>2027</v>
      </c>
      <c r="BW42" s="30">
        <f>DATE(BW$5,1,1)</f>
        <v>46753</v>
      </c>
      <c r="BX42" s="30">
        <f>DATE(BW$5,2,1)</f>
        <v>46784</v>
      </c>
      <c r="BY42" s="30">
        <f>DATE(BW$5,3,1)</f>
        <v>46813</v>
      </c>
      <c r="BZ42" s="30">
        <f>DATE(BW$5,4,1)</f>
        <v>46844</v>
      </c>
      <c r="CA42" s="30">
        <f>DATE(BW$5,5,1)</f>
        <v>46874</v>
      </c>
      <c r="CB42" s="30">
        <f>DATE(BW$5,6,1)</f>
        <v>46905</v>
      </c>
      <c r="CC42" s="30">
        <f>DATE(BW$5,7,1)</f>
        <v>46935</v>
      </c>
      <c r="CD42" s="30">
        <f>DATE(BW$5,8,1)</f>
        <v>46966</v>
      </c>
      <c r="CE42" s="30">
        <f>DATE(BW$5,9,1)</f>
        <v>46997</v>
      </c>
      <c r="CF42" s="30">
        <f>DATE(BW$5,10,1)</f>
        <v>47027</v>
      </c>
      <c r="CG42" s="30">
        <f>DATE(BW$5,11,1)</f>
        <v>47058</v>
      </c>
      <c r="CH42" s="30">
        <f>DATE(BW$5,12,1)</f>
        <v>47088</v>
      </c>
      <c r="CI42" s="31">
        <f>BW5</f>
        <v>2028</v>
      </c>
      <c r="CK42" s="30">
        <f>DATE(CK$5,1,1)</f>
        <v>47119</v>
      </c>
      <c r="CL42" s="30">
        <f>DATE(CK$5,2,1)</f>
        <v>47150</v>
      </c>
      <c r="CM42" s="30">
        <f>DATE(CK$5,3,1)</f>
        <v>47178</v>
      </c>
      <c r="CN42" s="30">
        <f>DATE(CK$5,4,1)</f>
        <v>47209</v>
      </c>
      <c r="CO42" s="30">
        <f>DATE(CK$5,5,1)</f>
        <v>47239</v>
      </c>
      <c r="CP42" s="30">
        <f>DATE(CK$5,6,1)</f>
        <v>47270</v>
      </c>
      <c r="CQ42" s="30">
        <f>DATE(CK$5,7,1)</f>
        <v>47300</v>
      </c>
      <c r="CR42" s="30">
        <f>DATE(CK$5,8,1)</f>
        <v>47331</v>
      </c>
      <c r="CS42" s="30">
        <f>DATE(CK$5,9,1)</f>
        <v>47362</v>
      </c>
      <c r="CT42" s="30">
        <f>DATE(CK$5,10,1)</f>
        <v>47392</v>
      </c>
      <c r="CU42" s="30">
        <f>DATE(CK$5,11,1)</f>
        <v>47423</v>
      </c>
      <c r="CV42" s="30">
        <f>DATE(CK$5,12,1)</f>
        <v>47453</v>
      </c>
      <c r="CW42" s="31">
        <f>CK5</f>
        <v>2029</v>
      </c>
      <c r="CY42" s="30">
        <f>DATE(CY$5,1,1)</f>
        <v>47484</v>
      </c>
      <c r="CZ42" s="30">
        <f>DATE(CY$5,2,1)</f>
        <v>47515</v>
      </c>
      <c r="DA42" s="30">
        <f>DATE(CY$5,3,1)</f>
        <v>47543</v>
      </c>
      <c r="DB42" s="30">
        <f>DATE(CY$5,4,1)</f>
        <v>47574</v>
      </c>
      <c r="DC42" s="30">
        <f>DATE(CY$5,5,1)</f>
        <v>47604</v>
      </c>
      <c r="DD42" s="30">
        <f>DATE(CY$5,6,1)</f>
        <v>47635</v>
      </c>
      <c r="DE42" s="30">
        <f>DATE(CY$5,7,1)</f>
        <v>47665</v>
      </c>
      <c r="DF42" s="30">
        <f>DATE(CY$5,8,1)</f>
        <v>47696</v>
      </c>
      <c r="DG42" s="30">
        <f>DATE(CY$5,9,1)</f>
        <v>47727</v>
      </c>
      <c r="DH42" s="30">
        <f>DATE(CY$5,10,1)</f>
        <v>47757</v>
      </c>
      <c r="DI42" s="30">
        <f>DATE(CY$5,11,1)</f>
        <v>47788</v>
      </c>
      <c r="DJ42" s="30">
        <f>DATE(CY$5,12,1)</f>
        <v>47818</v>
      </c>
      <c r="DK42" s="31">
        <f>CY5</f>
        <v>2030</v>
      </c>
      <c r="DM42" s="30">
        <f>DATE(DM$5,1,1)</f>
        <v>47849</v>
      </c>
      <c r="DN42" s="30">
        <f>DATE(DM$5,2,1)</f>
        <v>47880</v>
      </c>
      <c r="DO42" s="30">
        <f>DATE(DM$5,3,1)</f>
        <v>47908</v>
      </c>
      <c r="DP42" s="30">
        <f>DATE(DM$5,4,1)</f>
        <v>47939</v>
      </c>
      <c r="DQ42" s="30">
        <f>DATE(DM$5,5,1)</f>
        <v>47969</v>
      </c>
      <c r="DR42" s="30">
        <f>DATE(DM$5,6,1)</f>
        <v>48000</v>
      </c>
      <c r="DS42" s="30">
        <f>DATE(DM$5,7,1)</f>
        <v>48030</v>
      </c>
      <c r="DT42" s="30">
        <f>DATE(DM$5,8,1)</f>
        <v>48061</v>
      </c>
      <c r="DU42" s="30">
        <f>DATE(DM$5,9,1)</f>
        <v>48092</v>
      </c>
      <c r="DV42" s="30">
        <f>DATE(DM$5,10,1)</f>
        <v>48122</v>
      </c>
      <c r="DW42" s="30">
        <f>DATE(DM$5,11,1)</f>
        <v>48153</v>
      </c>
      <c r="DX42" s="30">
        <f>DATE(DM$5,12,1)</f>
        <v>48183</v>
      </c>
      <c r="DY42" s="31">
        <f>DM5</f>
        <v>2031</v>
      </c>
      <c r="EA42" s="30">
        <f>DATE(EA$5,1,1)</f>
        <v>48214</v>
      </c>
      <c r="EB42" s="30">
        <f>DATE(EA$5,2,1)</f>
        <v>48245</v>
      </c>
      <c r="EC42" s="30">
        <f>DATE(EA$5,3,1)</f>
        <v>48274</v>
      </c>
      <c r="ED42" s="30">
        <f>DATE(EA$5,4,1)</f>
        <v>48305</v>
      </c>
      <c r="EE42" s="30">
        <f>DATE(EA$5,5,1)</f>
        <v>48335</v>
      </c>
      <c r="EF42" s="30">
        <f>DATE(EA$5,6,1)</f>
        <v>48366</v>
      </c>
      <c r="EG42" s="30">
        <f>DATE(EA$5,7,1)</f>
        <v>48396</v>
      </c>
      <c r="EH42" s="30">
        <f>DATE(EA$5,8,1)</f>
        <v>48427</v>
      </c>
      <c r="EI42" s="30">
        <f>DATE(EA$5,9,1)</f>
        <v>48458</v>
      </c>
      <c r="EJ42" s="30">
        <f>DATE(EA$5,10,1)</f>
        <v>48488</v>
      </c>
      <c r="EK42" s="30">
        <f>DATE(EA$5,11,1)</f>
        <v>48519</v>
      </c>
      <c r="EL42" s="30">
        <f>DATE(EA$5,12,1)</f>
        <v>48549</v>
      </c>
      <c r="EM42" s="31">
        <f>EA5</f>
        <v>2032</v>
      </c>
      <c r="EO42" s="30">
        <f>DATE(EO$5,1,1)</f>
        <v>48580</v>
      </c>
      <c r="EP42" s="30">
        <f>DATE(EO$5,2,1)</f>
        <v>48611</v>
      </c>
      <c r="EQ42" s="30">
        <f>DATE(EO$5,3,1)</f>
        <v>48639</v>
      </c>
      <c r="ER42" s="30">
        <f>DATE(EO$5,4,1)</f>
        <v>48670</v>
      </c>
      <c r="ES42" s="30">
        <f>DATE(EO$5,5,1)</f>
        <v>48700</v>
      </c>
      <c r="ET42" s="30">
        <f>DATE(EO$5,6,1)</f>
        <v>48731</v>
      </c>
      <c r="EU42" s="30">
        <f>DATE(EO$5,7,1)</f>
        <v>48761</v>
      </c>
      <c r="EV42" s="30">
        <f>DATE(EO$5,8,1)</f>
        <v>48792</v>
      </c>
      <c r="EW42" s="30">
        <f>DATE(EO$5,9,1)</f>
        <v>48823</v>
      </c>
      <c r="EX42" s="30">
        <f>DATE(EO$5,10,1)</f>
        <v>48853</v>
      </c>
      <c r="EY42" s="30">
        <f>DATE(EO$5,11,1)</f>
        <v>48884</v>
      </c>
      <c r="EZ42" s="30">
        <f>DATE(EO$5,12,1)</f>
        <v>48914</v>
      </c>
      <c r="FA42" s="31">
        <f>EO5</f>
        <v>2033</v>
      </c>
    </row>
    <row r="43" spans="3:157" x14ac:dyDescent="0.3">
      <c r="C43" s="16" t="s">
        <v>107</v>
      </c>
      <c r="D43" s="23"/>
      <c r="E43" s="93">
        <f ca="1">IF(E37&gt;0,IF((E20-E37)&gt;0,(E20-E37)*0.9,E40),0)</f>
        <v>0</v>
      </c>
      <c r="F43" s="93">
        <f t="shared" ref="F43:AA43" ca="1" si="66">IF(F37&gt;0,IF((F20-F37)&gt;0,(F20-F37)*0.9,F40),0)</f>
        <v>0</v>
      </c>
      <c r="G43" s="93">
        <f t="shared" ca="1" si="66"/>
        <v>0</v>
      </c>
      <c r="H43" s="93">
        <f t="shared" ca="1" si="66"/>
        <v>0</v>
      </c>
      <c r="I43" s="93">
        <f t="shared" ca="1" si="66"/>
        <v>0</v>
      </c>
      <c r="J43" s="93">
        <f t="shared" ca="1" si="66"/>
        <v>0</v>
      </c>
      <c r="K43" s="93">
        <f t="shared" ca="1" si="66"/>
        <v>0</v>
      </c>
      <c r="L43" s="93">
        <f t="shared" ca="1" si="66"/>
        <v>0</v>
      </c>
      <c r="M43" s="93">
        <f t="shared" ca="1" si="66"/>
        <v>0</v>
      </c>
      <c r="N43" s="93">
        <f t="shared" ca="1" si="66"/>
        <v>0</v>
      </c>
      <c r="O43" s="93">
        <f t="shared" ca="1" si="66"/>
        <v>0</v>
      </c>
      <c r="P43" s="93">
        <f t="shared" ca="1" si="66"/>
        <v>0</v>
      </c>
      <c r="Q43" s="93">
        <f ca="1">SUM(E43:P43)</f>
        <v>0</v>
      </c>
      <c r="S43" s="93">
        <f t="shared" ca="1" si="66"/>
        <v>0</v>
      </c>
      <c r="T43" s="93">
        <f t="shared" ca="1" si="66"/>
        <v>0</v>
      </c>
      <c r="U43" s="93">
        <f t="shared" ca="1" si="66"/>
        <v>0</v>
      </c>
      <c r="V43" s="93">
        <f t="shared" ca="1" si="66"/>
        <v>0</v>
      </c>
      <c r="W43" s="93">
        <f t="shared" ca="1" si="66"/>
        <v>0</v>
      </c>
      <c r="X43" s="93">
        <f t="shared" ca="1" si="66"/>
        <v>0</v>
      </c>
      <c r="Y43" s="93">
        <f t="shared" ca="1" si="66"/>
        <v>0</v>
      </c>
      <c r="Z43" s="93">
        <f t="shared" ca="1" si="66"/>
        <v>0</v>
      </c>
      <c r="AA43" s="93">
        <f t="shared" ca="1" si="66"/>
        <v>0</v>
      </c>
      <c r="AB43" s="93">
        <f ca="1">IF(AB37&gt;0,IF((AB20-AB37)&gt;0,(AB20-(AB37+AB40))*0.5,AB40),0)</f>
        <v>0</v>
      </c>
      <c r="AC43" s="93">
        <f ca="1">IF(AC37&gt;0,IF((AC20-AC37)&gt;0,(AC20-(AC37+AC40))*0.5,AC40),0)</f>
        <v>0</v>
      </c>
      <c r="AD43" s="93">
        <f t="shared" ref="AD43:CN43" ca="1" si="67">IF(AD37&gt;0,IF((AD20-AD37)&gt;0,(AD20-(AD37+AD40))*0.5,AD40),0)</f>
        <v>0</v>
      </c>
      <c r="AE43" s="93">
        <f ca="1">SUM(S43:AD43)</f>
        <v>0</v>
      </c>
      <c r="AG43" s="93">
        <f t="shared" ca="1" si="67"/>
        <v>0</v>
      </c>
      <c r="AH43" s="93">
        <f t="shared" ca="1" si="67"/>
        <v>0</v>
      </c>
      <c r="AI43" s="93">
        <f t="shared" ca="1" si="67"/>
        <v>0</v>
      </c>
      <c r="AJ43" s="93">
        <f t="shared" ca="1" si="67"/>
        <v>0</v>
      </c>
      <c r="AK43" s="93">
        <f t="shared" ca="1" si="67"/>
        <v>0</v>
      </c>
      <c r="AL43" s="93">
        <f t="shared" ca="1" si="67"/>
        <v>0</v>
      </c>
      <c r="AM43" s="93">
        <f t="shared" ca="1" si="67"/>
        <v>0</v>
      </c>
      <c r="AN43" s="93">
        <f t="shared" ca="1" si="67"/>
        <v>0</v>
      </c>
      <c r="AO43" s="93">
        <f t="shared" ca="1" si="67"/>
        <v>0</v>
      </c>
      <c r="AP43" s="93">
        <f t="shared" ca="1" si="67"/>
        <v>0</v>
      </c>
      <c r="AQ43" s="93">
        <f t="shared" ca="1" si="67"/>
        <v>0</v>
      </c>
      <c r="AR43" s="93">
        <f t="shared" ca="1" si="67"/>
        <v>0</v>
      </c>
      <c r="AS43" s="93">
        <f ca="1">SUM(AG43:AR43)</f>
        <v>0</v>
      </c>
      <c r="AU43" s="93">
        <f t="shared" ca="1" si="67"/>
        <v>0</v>
      </c>
      <c r="AV43" s="93">
        <f t="shared" ca="1" si="67"/>
        <v>0</v>
      </c>
      <c r="AW43" s="93">
        <f t="shared" ca="1" si="67"/>
        <v>0</v>
      </c>
      <c r="AX43" s="93">
        <f t="shared" ca="1" si="67"/>
        <v>0</v>
      </c>
      <c r="AY43" s="93">
        <f t="shared" ca="1" si="67"/>
        <v>0</v>
      </c>
      <c r="AZ43" s="93">
        <f t="shared" ca="1" si="67"/>
        <v>0</v>
      </c>
      <c r="BA43" s="93">
        <f t="shared" ca="1" si="67"/>
        <v>0</v>
      </c>
      <c r="BB43" s="93">
        <f t="shared" ca="1" si="67"/>
        <v>0</v>
      </c>
      <c r="BC43" s="93">
        <f t="shared" ca="1" si="67"/>
        <v>0</v>
      </c>
      <c r="BD43" s="93">
        <f t="shared" ca="1" si="67"/>
        <v>0</v>
      </c>
      <c r="BE43" s="93">
        <f t="shared" ca="1" si="67"/>
        <v>0</v>
      </c>
      <c r="BF43" s="93">
        <f t="shared" ca="1" si="67"/>
        <v>0</v>
      </c>
      <c r="BG43" s="93">
        <f ca="1">SUM(AU43:BF43)</f>
        <v>0</v>
      </c>
      <c r="BI43" s="93">
        <f t="shared" ca="1" si="67"/>
        <v>0</v>
      </c>
      <c r="BJ43" s="93">
        <f t="shared" ca="1" si="67"/>
        <v>0</v>
      </c>
      <c r="BK43" s="93">
        <f t="shared" ca="1" si="67"/>
        <v>0</v>
      </c>
      <c r="BL43" s="93">
        <f t="shared" ca="1" si="67"/>
        <v>0</v>
      </c>
      <c r="BM43" s="93">
        <f t="shared" ca="1" si="67"/>
        <v>0</v>
      </c>
      <c r="BN43" s="93">
        <f t="shared" ca="1" si="67"/>
        <v>0</v>
      </c>
      <c r="BO43" s="93">
        <f t="shared" ca="1" si="67"/>
        <v>0</v>
      </c>
      <c r="BP43" s="93">
        <f t="shared" ca="1" si="67"/>
        <v>0</v>
      </c>
      <c r="BQ43" s="93">
        <f t="shared" ca="1" si="67"/>
        <v>0</v>
      </c>
      <c r="BR43" s="93">
        <f t="shared" ca="1" si="67"/>
        <v>0</v>
      </c>
      <c r="BS43" s="93">
        <f t="shared" ca="1" si="67"/>
        <v>0</v>
      </c>
      <c r="BT43" s="93">
        <f t="shared" ca="1" si="67"/>
        <v>0</v>
      </c>
      <c r="BU43" s="93">
        <f ca="1">SUM(BI43:BT43)</f>
        <v>0</v>
      </c>
      <c r="BW43" s="93">
        <f t="shared" ca="1" si="67"/>
        <v>0</v>
      </c>
      <c r="BX43" s="93">
        <f t="shared" ca="1" si="67"/>
        <v>0</v>
      </c>
      <c r="BY43" s="93">
        <f t="shared" ca="1" si="67"/>
        <v>0</v>
      </c>
      <c r="BZ43" s="93">
        <f t="shared" ca="1" si="67"/>
        <v>0</v>
      </c>
      <c r="CA43" s="93">
        <f t="shared" ca="1" si="67"/>
        <v>0</v>
      </c>
      <c r="CB43" s="93">
        <f t="shared" ca="1" si="67"/>
        <v>0</v>
      </c>
      <c r="CC43" s="93">
        <f t="shared" ca="1" si="67"/>
        <v>0</v>
      </c>
      <c r="CD43" s="93">
        <f t="shared" ca="1" si="67"/>
        <v>0</v>
      </c>
      <c r="CE43" s="93">
        <f t="shared" ca="1" si="67"/>
        <v>0</v>
      </c>
      <c r="CF43" s="93">
        <f t="shared" ca="1" si="67"/>
        <v>0</v>
      </c>
      <c r="CG43" s="93">
        <f t="shared" ca="1" si="67"/>
        <v>0</v>
      </c>
      <c r="CH43" s="93">
        <f t="shared" ca="1" si="67"/>
        <v>0</v>
      </c>
      <c r="CI43" s="93">
        <f ca="1">SUM(BW43:CH43)</f>
        <v>0</v>
      </c>
      <c r="CK43" s="93">
        <f t="shared" ca="1" si="67"/>
        <v>0</v>
      </c>
      <c r="CL43" s="93">
        <f t="shared" ca="1" si="67"/>
        <v>0</v>
      </c>
      <c r="CM43" s="93">
        <f t="shared" ca="1" si="67"/>
        <v>0</v>
      </c>
      <c r="CN43" s="93">
        <f t="shared" ca="1" si="67"/>
        <v>0</v>
      </c>
      <c r="CO43" s="93">
        <f t="shared" ref="CO43:EZ43" ca="1" si="68">IF(CO37&gt;0,IF((CO20-CO37)&gt;0,(CO20-(CO37+CO40))*0.5,CO40),0)</f>
        <v>0</v>
      </c>
      <c r="CP43" s="93">
        <f t="shared" ca="1" si="68"/>
        <v>0</v>
      </c>
      <c r="CQ43" s="93">
        <f t="shared" ca="1" si="68"/>
        <v>0</v>
      </c>
      <c r="CR43" s="93">
        <f t="shared" ca="1" si="68"/>
        <v>0</v>
      </c>
      <c r="CS43" s="93">
        <f t="shared" ca="1" si="68"/>
        <v>0</v>
      </c>
      <c r="CT43" s="93">
        <f t="shared" ca="1" si="68"/>
        <v>0</v>
      </c>
      <c r="CU43" s="93">
        <f t="shared" ca="1" si="68"/>
        <v>0</v>
      </c>
      <c r="CV43" s="93">
        <f t="shared" ca="1" si="68"/>
        <v>0</v>
      </c>
      <c r="CW43" s="93">
        <f ca="1">SUM(CK43:CV43)</f>
        <v>0</v>
      </c>
      <c r="CY43" s="93">
        <f t="shared" ca="1" si="68"/>
        <v>0</v>
      </c>
      <c r="CZ43" s="93">
        <f t="shared" ca="1" si="68"/>
        <v>0</v>
      </c>
      <c r="DA43" s="93">
        <f t="shared" ca="1" si="68"/>
        <v>0</v>
      </c>
      <c r="DB43" s="93">
        <f t="shared" ca="1" si="68"/>
        <v>0</v>
      </c>
      <c r="DC43" s="93">
        <f t="shared" ca="1" si="68"/>
        <v>0</v>
      </c>
      <c r="DD43" s="93">
        <f t="shared" ca="1" si="68"/>
        <v>0</v>
      </c>
      <c r="DE43" s="93">
        <f t="shared" ca="1" si="68"/>
        <v>0</v>
      </c>
      <c r="DF43" s="93">
        <f t="shared" ca="1" si="68"/>
        <v>0</v>
      </c>
      <c r="DG43" s="93">
        <f t="shared" ca="1" si="68"/>
        <v>0</v>
      </c>
      <c r="DH43" s="93">
        <f t="shared" ca="1" si="68"/>
        <v>0</v>
      </c>
      <c r="DI43" s="93">
        <f t="shared" ca="1" si="68"/>
        <v>0</v>
      </c>
      <c r="DJ43" s="93">
        <f t="shared" ca="1" si="68"/>
        <v>0</v>
      </c>
      <c r="DK43" s="93">
        <f ca="1">SUM(CY43:DJ43)</f>
        <v>0</v>
      </c>
      <c r="DM43" s="93">
        <f t="shared" ca="1" si="68"/>
        <v>0</v>
      </c>
      <c r="DN43" s="93">
        <f t="shared" ca="1" si="68"/>
        <v>0</v>
      </c>
      <c r="DO43" s="93">
        <f t="shared" ca="1" si="68"/>
        <v>0</v>
      </c>
      <c r="DP43" s="93">
        <f t="shared" ca="1" si="68"/>
        <v>0</v>
      </c>
      <c r="DQ43" s="93">
        <f t="shared" ca="1" si="68"/>
        <v>0</v>
      </c>
      <c r="DR43" s="93">
        <f t="shared" ca="1" si="68"/>
        <v>0</v>
      </c>
      <c r="DS43" s="93">
        <f t="shared" ca="1" si="68"/>
        <v>0</v>
      </c>
      <c r="DT43" s="93">
        <f t="shared" ca="1" si="68"/>
        <v>0</v>
      </c>
      <c r="DU43" s="93">
        <f t="shared" ca="1" si="68"/>
        <v>0</v>
      </c>
      <c r="DV43" s="93">
        <f t="shared" ca="1" si="68"/>
        <v>0</v>
      </c>
      <c r="DW43" s="93">
        <f t="shared" ca="1" si="68"/>
        <v>0</v>
      </c>
      <c r="DX43" s="93">
        <f t="shared" ca="1" si="68"/>
        <v>0</v>
      </c>
      <c r="DY43" s="93">
        <f ca="1">SUM(DM43:DX43)</f>
        <v>0</v>
      </c>
      <c r="EA43" s="93">
        <f t="shared" ca="1" si="68"/>
        <v>0</v>
      </c>
      <c r="EB43" s="93">
        <f t="shared" ca="1" si="68"/>
        <v>0</v>
      </c>
      <c r="EC43" s="93">
        <f t="shared" ca="1" si="68"/>
        <v>0</v>
      </c>
      <c r="ED43" s="93">
        <f t="shared" ca="1" si="68"/>
        <v>0</v>
      </c>
      <c r="EE43" s="93">
        <f t="shared" ca="1" si="68"/>
        <v>0</v>
      </c>
      <c r="EF43" s="93">
        <f t="shared" ca="1" si="68"/>
        <v>0</v>
      </c>
      <c r="EG43" s="93">
        <f t="shared" ca="1" si="68"/>
        <v>0</v>
      </c>
      <c r="EH43" s="93">
        <f t="shared" ca="1" si="68"/>
        <v>0</v>
      </c>
      <c r="EI43" s="93">
        <f t="shared" ca="1" si="68"/>
        <v>0</v>
      </c>
      <c r="EJ43" s="93">
        <f t="shared" ca="1" si="68"/>
        <v>0</v>
      </c>
      <c r="EK43" s="93">
        <f t="shared" ca="1" si="68"/>
        <v>0</v>
      </c>
      <c r="EL43" s="93">
        <f t="shared" ca="1" si="68"/>
        <v>0</v>
      </c>
      <c r="EM43" s="93">
        <f ca="1">SUM(EA43:EL43)</f>
        <v>0</v>
      </c>
      <c r="EO43" s="93">
        <f t="shared" ca="1" si="68"/>
        <v>0</v>
      </c>
      <c r="EP43" s="93">
        <f t="shared" ca="1" si="68"/>
        <v>0</v>
      </c>
      <c r="EQ43" s="93">
        <f t="shared" ca="1" si="68"/>
        <v>0</v>
      </c>
      <c r="ER43" s="93">
        <f t="shared" ca="1" si="68"/>
        <v>0</v>
      </c>
      <c r="ES43" s="93">
        <f t="shared" ca="1" si="68"/>
        <v>0</v>
      </c>
      <c r="ET43" s="93">
        <f t="shared" ca="1" si="68"/>
        <v>0</v>
      </c>
      <c r="EU43" s="93">
        <f t="shared" ca="1" si="68"/>
        <v>0</v>
      </c>
      <c r="EV43" s="93">
        <f t="shared" ca="1" si="68"/>
        <v>0</v>
      </c>
      <c r="EW43" s="93">
        <f t="shared" ca="1" si="68"/>
        <v>0</v>
      </c>
      <c r="EX43" s="93">
        <f t="shared" ca="1" si="68"/>
        <v>0</v>
      </c>
      <c r="EY43" s="93">
        <f t="shared" ca="1" si="68"/>
        <v>0</v>
      </c>
      <c r="EZ43" s="93">
        <f t="shared" ca="1" si="68"/>
        <v>0</v>
      </c>
      <c r="FA43" s="93">
        <f ca="1">SUM(EO43:EZ43)</f>
        <v>0</v>
      </c>
    </row>
    <row r="44" spans="3:157" ht="13.95" customHeight="1" x14ac:dyDescent="0.3">
      <c r="C44" s="17" t="s">
        <v>16</v>
      </c>
      <c r="D44" s="23"/>
      <c r="E44" s="93">
        <f ca="1">IF(E37&gt;0,IF((E20-E37)&gt;0,(E20-E37)*0.1,0),0)</f>
        <v>0</v>
      </c>
      <c r="F44" s="93">
        <f t="shared" ref="F44:AA44" ca="1" si="69">IF(F37&gt;0,IF((F20-F37)&gt;0,(F20-F37)*0.1,0),0)</f>
        <v>0</v>
      </c>
      <c r="G44" s="93">
        <f t="shared" ca="1" si="69"/>
        <v>0</v>
      </c>
      <c r="H44" s="93">
        <f t="shared" ca="1" si="69"/>
        <v>0</v>
      </c>
      <c r="I44" s="93">
        <f t="shared" ca="1" si="69"/>
        <v>0</v>
      </c>
      <c r="J44" s="93">
        <f t="shared" ca="1" si="69"/>
        <v>0</v>
      </c>
      <c r="K44" s="93">
        <f t="shared" ca="1" si="69"/>
        <v>0</v>
      </c>
      <c r="L44" s="93">
        <f t="shared" ca="1" si="69"/>
        <v>0</v>
      </c>
      <c r="M44" s="93">
        <f t="shared" ca="1" si="69"/>
        <v>0</v>
      </c>
      <c r="N44" s="93">
        <f t="shared" ca="1" si="69"/>
        <v>0</v>
      </c>
      <c r="O44" s="93">
        <f t="shared" ca="1" si="69"/>
        <v>0</v>
      </c>
      <c r="P44" s="93">
        <f t="shared" ca="1" si="69"/>
        <v>0</v>
      </c>
      <c r="Q44" s="93">
        <f ca="1">SUM(E44:P44)</f>
        <v>0</v>
      </c>
      <c r="S44" s="93">
        <f t="shared" ca="1" si="69"/>
        <v>0</v>
      </c>
      <c r="T44" s="93">
        <f t="shared" ca="1" si="69"/>
        <v>0</v>
      </c>
      <c r="U44" s="93">
        <f t="shared" ca="1" si="69"/>
        <v>0</v>
      </c>
      <c r="V44" s="93">
        <f t="shared" ca="1" si="69"/>
        <v>0</v>
      </c>
      <c r="W44" s="93">
        <f t="shared" ca="1" si="69"/>
        <v>0</v>
      </c>
      <c r="X44" s="93">
        <f t="shared" ca="1" si="69"/>
        <v>0</v>
      </c>
      <c r="Y44" s="93">
        <f t="shared" ca="1" si="69"/>
        <v>0</v>
      </c>
      <c r="Z44" s="93">
        <f t="shared" ca="1" si="69"/>
        <v>0</v>
      </c>
      <c r="AA44" s="93">
        <f t="shared" ca="1" si="69"/>
        <v>0</v>
      </c>
      <c r="AB44" s="93">
        <f ca="1">IF(AB37&gt;0,(AB20-'Presupuestos de Gastos'!$C$23)*0.5,0)</f>
        <v>0</v>
      </c>
      <c r="AC44" s="93">
        <f ca="1">IF(AC37&gt;0,(AC20-'Presupuestos de Gastos'!$C$23)*0.5,0)</f>
        <v>0</v>
      </c>
      <c r="AD44" s="93">
        <f ca="1">IF(AD37&gt;0,(AD20-'Presupuestos de Gastos'!$C$23)*0.5,0)</f>
        <v>0</v>
      </c>
      <c r="AE44" s="93">
        <f ca="1">SUM(S44:AD44)</f>
        <v>0</v>
      </c>
      <c r="AG44" s="93">
        <f ca="1">IF(AG37&gt;0,(AG20-'Presupuestos de Gastos'!$C$23)*0.5,0)</f>
        <v>0</v>
      </c>
      <c r="AH44" s="93">
        <f ca="1">IF(AH37&gt;0,(AH20-'Presupuestos de Gastos'!$C$23)*0.5,0)</f>
        <v>0</v>
      </c>
      <c r="AI44" s="93">
        <f ca="1">IF(AI37&gt;0,(AI20-'Presupuestos de Gastos'!$C$23)*0.5,0)</f>
        <v>0</v>
      </c>
      <c r="AJ44" s="93">
        <f ca="1">IF(AJ37&gt;0,(AJ20-'Presupuestos de Gastos'!$C$23)*0.5,0)</f>
        <v>0</v>
      </c>
      <c r="AK44" s="93">
        <f ca="1">IF(AK37&gt;0,(AK20-'Presupuestos de Gastos'!$C$23)*0.5,0)</f>
        <v>0</v>
      </c>
      <c r="AL44" s="93">
        <f ca="1">IF(AL37&gt;0,(AL20-'Presupuestos de Gastos'!$C$23)*0.5,0)</f>
        <v>0</v>
      </c>
      <c r="AM44" s="93">
        <f ca="1">IF(AM37&gt;0,(AM20-'Presupuestos de Gastos'!$C$23)*0.5,0)</f>
        <v>0</v>
      </c>
      <c r="AN44" s="93">
        <f ca="1">IF(AN37&gt;0,(AN20-'Presupuestos de Gastos'!$C$23)*0.5,0)</f>
        <v>0</v>
      </c>
      <c r="AO44" s="93">
        <f ca="1">IF(AO37&gt;0,(AO20-'Presupuestos de Gastos'!$C$23)*0.5,0)</f>
        <v>0</v>
      </c>
      <c r="AP44" s="93">
        <f ca="1">IF(AP37&gt;0,(AP20-'Presupuestos de Gastos'!$C$23)*0.5,0)</f>
        <v>0</v>
      </c>
      <c r="AQ44" s="93">
        <f ca="1">IF(AQ37&gt;0,(AQ20-'Presupuestos de Gastos'!$C$23)*0.5,0)</f>
        <v>0</v>
      </c>
      <c r="AR44" s="93">
        <f ca="1">IF(AR37&gt;0,(AR20-'Presupuestos de Gastos'!$C$23)*0.5,0)</f>
        <v>0</v>
      </c>
      <c r="AS44" s="93">
        <f ca="1">SUM(AG44:AR44)</f>
        <v>0</v>
      </c>
      <c r="AU44" s="93">
        <f ca="1">IF(AU37&gt;0,(AU20-'Presupuestos de Gastos'!$C$23)*0.5,0)</f>
        <v>0</v>
      </c>
      <c r="AV44" s="93">
        <f ca="1">IF(AV37&gt;0,(AV20-'Presupuestos de Gastos'!$C$23)*0.5,0)</f>
        <v>0</v>
      </c>
      <c r="AW44" s="93">
        <f ca="1">IF(AW37&gt;0,(AW20-'Presupuestos de Gastos'!$C$23)*0.5,0)</f>
        <v>0</v>
      </c>
      <c r="AX44" s="93">
        <f ca="1">IF(AX37&gt;0,(AX20-'Presupuestos de Gastos'!$C$23)*0.5,0)</f>
        <v>0</v>
      </c>
      <c r="AY44" s="93">
        <f ca="1">IF(AY37&gt;0,(AY20-'Presupuestos de Gastos'!$C$23)*0.5,0)</f>
        <v>0</v>
      </c>
      <c r="AZ44" s="93">
        <f ca="1">IF(AZ37&gt;0,(AZ20-'Presupuestos de Gastos'!$C$23)*0.5,0)</f>
        <v>0</v>
      </c>
      <c r="BA44" s="93">
        <f ca="1">IF(BA37&gt;0,(BA20-'Presupuestos de Gastos'!$C$23)*0.5,0)</f>
        <v>0</v>
      </c>
      <c r="BB44" s="93">
        <f ca="1">IF(BB37&gt;0,(BB20-'Presupuestos de Gastos'!$C$23)*0.5,0)</f>
        <v>0</v>
      </c>
      <c r="BC44" s="93">
        <f ca="1">IF(BC37&gt;0,(BC20-'Presupuestos de Gastos'!$C$23)*0.5,0)</f>
        <v>0</v>
      </c>
      <c r="BD44" s="93">
        <f ca="1">IF(BD37&gt;0,(BD20-'Presupuestos de Gastos'!$C$23)*0.5,0)</f>
        <v>0</v>
      </c>
      <c r="BE44" s="93">
        <f ca="1">IF(BE37&gt;0,(BE20-'Presupuestos de Gastos'!$C$23)*0.5,0)</f>
        <v>0</v>
      </c>
      <c r="BF44" s="93">
        <f ca="1">IF(BF37&gt;0,(BF20-'Presupuestos de Gastos'!$C$23)*0.5,0)</f>
        <v>0</v>
      </c>
      <c r="BG44" s="93">
        <f t="shared" ref="BG44:BG51" ca="1" si="70">SUM(AU44:BF44)</f>
        <v>0</v>
      </c>
      <c r="BI44" s="93">
        <f ca="1">IF(BI37&gt;0,(BI20-'Presupuestos de Gastos'!$C$23)*0.5,0)</f>
        <v>0</v>
      </c>
      <c r="BJ44" s="93">
        <f ca="1">IF(BJ37&gt;0,(BJ20-'Presupuestos de Gastos'!$C$23)*0.5,0)</f>
        <v>0</v>
      </c>
      <c r="BK44" s="93">
        <f ca="1">IF(BK37&gt;0,(BK20-'Presupuestos de Gastos'!$C$23)*0.5,0)</f>
        <v>0</v>
      </c>
      <c r="BL44" s="93">
        <f ca="1">IF(BL37&gt;0,(BL20-'Presupuestos de Gastos'!$C$23)*0.5,0)</f>
        <v>0</v>
      </c>
      <c r="BM44" s="93">
        <f ca="1">IF(BM37&gt;0,(BM20-'Presupuestos de Gastos'!$C$23)*0.5,0)</f>
        <v>0</v>
      </c>
      <c r="BN44" s="93">
        <f ca="1">IF(BN37&gt;0,(BN20-'Presupuestos de Gastos'!$C$23)*0.5,0)</f>
        <v>0</v>
      </c>
      <c r="BO44" s="93">
        <f ca="1">IF(BO37&gt;0,(BO20-'Presupuestos de Gastos'!$C$23)*0.5,0)</f>
        <v>0</v>
      </c>
      <c r="BP44" s="93">
        <f ca="1">IF(BP37&gt;0,(BP20-'Presupuestos de Gastos'!$C$23)*0.5,0)</f>
        <v>0</v>
      </c>
      <c r="BQ44" s="93">
        <f ca="1">IF(BQ37&gt;0,(BQ20-'Presupuestos de Gastos'!$C$23)*0.5,0)</f>
        <v>0</v>
      </c>
      <c r="BR44" s="93">
        <f ca="1">IF(BR37&gt;0,(BR20-'Presupuestos de Gastos'!$C$23)*0.5,0)</f>
        <v>0</v>
      </c>
      <c r="BS44" s="93">
        <f ca="1">IF(BS37&gt;0,(BS20-'Presupuestos de Gastos'!$C$23)*0.5,0)</f>
        <v>0</v>
      </c>
      <c r="BT44" s="93">
        <f ca="1">IF(BT37&gt;0,(BT20-'Presupuestos de Gastos'!$C$23)*0.5,0)</f>
        <v>0</v>
      </c>
      <c r="BU44" s="93">
        <f ca="1">SUM(BI44:BT44)</f>
        <v>0</v>
      </c>
      <c r="BW44" s="93">
        <f ca="1">IF(BW37&gt;0,(BW20-'Presupuestos de Gastos'!$C$23)*0.5,0)</f>
        <v>0</v>
      </c>
      <c r="BX44" s="93">
        <f ca="1">IF(BX37&gt;0,(BX20-'Presupuestos de Gastos'!$C$23)*0.5,0)</f>
        <v>0</v>
      </c>
      <c r="BY44" s="93">
        <f ca="1">IF(BY37&gt;0,(BY20-'Presupuestos de Gastos'!$C$23)*0.5,0)</f>
        <v>0</v>
      </c>
      <c r="BZ44" s="93">
        <f ca="1">IF(BZ37&gt;0,(BZ20-'Presupuestos de Gastos'!$C$23)*0.5,0)</f>
        <v>0</v>
      </c>
      <c r="CA44" s="93">
        <f ca="1">IF(CA37&gt;0,(CA20-'Presupuestos de Gastos'!$C$23)*0.5,0)</f>
        <v>0</v>
      </c>
      <c r="CB44" s="93">
        <f ca="1">IF(CB37&gt;0,(CB20-'Presupuestos de Gastos'!$C$23)*0.5,0)</f>
        <v>0</v>
      </c>
      <c r="CC44" s="93">
        <f ca="1">IF(CC37&gt;0,(CC20-'Presupuestos de Gastos'!$C$23)*0.5,0)</f>
        <v>0</v>
      </c>
      <c r="CD44" s="93">
        <f ca="1">IF(CD37&gt;0,(CD20-'Presupuestos de Gastos'!$C$23)*0.5,0)</f>
        <v>0</v>
      </c>
      <c r="CE44" s="93">
        <f ca="1">IF(CE37&gt;0,(CE20-'Presupuestos de Gastos'!$C$23)*0.5,0)</f>
        <v>0</v>
      </c>
      <c r="CF44" s="93">
        <f ca="1">IF(CF37&gt;0,(CF20-'Presupuestos de Gastos'!$C$23)*0.5,0)</f>
        <v>0</v>
      </c>
      <c r="CG44" s="93">
        <f ca="1">IF(CG37&gt;0,(CG20-'Presupuestos de Gastos'!$C$23)*0.5,0)</f>
        <v>0</v>
      </c>
      <c r="CH44" s="93">
        <f ca="1">IF(CH37&gt;0,(CH20-'Presupuestos de Gastos'!$C$23)*0.5,0)</f>
        <v>0</v>
      </c>
      <c r="CI44" s="93">
        <f ca="1">SUM(BW44:CH44)</f>
        <v>0</v>
      </c>
      <c r="CK44" s="93">
        <f ca="1">IF(CK37&gt;0,(CK20-'Presupuestos de Gastos'!$C$23)*0.5,0)</f>
        <v>0</v>
      </c>
      <c r="CL44" s="93">
        <f ca="1">IF(CL37&gt;0,(CL20-'Presupuestos de Gastos'!$C$23)*0.5,0)</f>
        <v>0</v>
      </c>
      <c r="CM44" s="93">
        <f ca="1">IF(CM37&gt;0,(CM20-'Presupuestos de Gastos'!$C$23)*0.5,0)</f>
        <v>0</v>
      </c>
      <c r="CN44" s="93">
        <f ca="1">IF(CN37&gt;0,(CN20-'Presupuestos de Gastos'!$C$23)*0.5,0)</f>
        <v>0</v>
      </c>
      <c r="CO44" s="93">
        <f ca="1">IF(CO37&gt;0,(CO20-'Presupuestos de Gastos'!$C$23)*0.5,0)</f>
        <v>0</v>
      </c>
      <c r="CP44" s="93">
        <f ca="1">IF(CP37&gt;0,(CP20-'Presupuestos de Gastos'!$C$23)*0.5,0)</f>
        <v>0</v>
      </c>
      <c r="CQ44" s="93">
        <f ca="1">IF(CQ37&gt;0,(CQ20-'Presupuestos de Gastos'!$C$23)*0.5,0)</f>
        <v>0</v>
      </c>
      <c r="CR44" s="93">
        <f ca="1">IF(CR37&gt;0,(CR20-'Presupuestos de Gastos'!$C$23)*0.5,0)</f>
        <v>0</v>
      </c>
      <c r="CS44" s="93">
        <f ca="1">IF(CS37&gt;0,(CS20-'Presupuestos de Gastos'!$C$23)*0.5,0)</f>
        <v>0</v>
      </c>
      <c r="CT44" s="93">
        <f ca="1">IF(CT37&gt;0,(CT20-'Presupuestos de Gastos'!$C$23)*0.5,0)</f>
        <v>0</v>
      </c>
      <c r="CU44" s="93">
        <f ca="1">IF(CU37&gt;0,(CU20-'Presupuestos de Gastos'!$C$23)*0.5,0)</f>
        <v>0</v>
      </c>
      <c r="CV44" s="93">
        <f ca="1">IF(CV37&gt;0,(CV20-'Presupuestos de Gastos'!$C$23)*0.5,0)</f>
        <v>0</v>
      </c>
      <c r="CW44" s="93">
        <f ca="1">SUM(CK44:CV44)</f>
        <v>0</v>
      </c>
      <c r="CY44" s="93">
        <f ca="1">IF(CY37&gt;0,(CY20-'Presupuestos de Gastos'!$C$23)*0.5,0)</f>
        <v>0</v>
      </c>
      <c r="CZ44" s="93">
        <f ca="1">IF(CZ37&gt;0,(CZ20-'Presupuestos de Gastos'!$C$23)*0.5,0)</f>
        <v>0</v>
      </c>
      <c r="DA44" s="93">
        <f ca="1">IF(DA37&gt;0,(DA20-'Presupuestos de Gastos'!$C$23)*0.5,0)</f>
        <v>0</v>
      </c>
      <c r="DB44" s="93">
        <f ca="1">IF(DB37&gt;0,(DB20-'Presupuestos de Gastos'!$C$23)*0.5,0)</f>
        <v>0</v>
      </c>
      <c r="DC44" s="93">
        <f ca="1">IF(DC37&gt;0,(DC20-'Presupuestos de Gastos'!$C$23)*0.5,0)</f>
        <v>0</v>
      </c>
      <c r="DD44" s="93">
        <f ca="1">IF(DD37&gt;0,(DD20-'Presupuestos de Gastos'!$C$23)*0.5,0)</f>
        <v>0</v>
      </c>
      <c r="DE44" s="93">
        <f ca="1">IF(DE37&gt;0,(DE20-'Presupuestos de Gastos'!$C$23)*0.5,0)</f>
        <v>0</v>
      </c>
      <c r="DF44" s="93">
        <f ca="1">IF(DF37&gt;0,(DF20-'Presupuestos de Gastos'!$C$23)*0.5,0)</f>
        <v>0</v>
      </c>
      <c r="DG44" s="93">
        <f ca="1">IF(DG37&gt;0,(DG20-'Presupuestos de Gastos'!$C$23)*0.5,0)</f>
        <v>0</v>
      </c>
      <c r="DH44" s="93">
        <f ca="1">IF(DH37&gt;0,(DH20-'Presupuestos de Gastos'!$C$23)*0.5,0)</f>
        <v>0</v>
      </c>
      <c r="DI44" s="93">
        <f ca="1">IF(DI37&gt;0,(DI20-'Presupuestos de Gastos'!$C$23)*0.5,0)</f>
        <v>0</v>
      </c>
      <c r="DJ44" s="93">
        <f ca="1">IF(DJ37&gt;0,(DJ20-'Presupuestos de Gastos'!$C$23)*0.5,0)</f>
        <v>0</v>
      </c>
      <c r="DK44" s="93">
        <f ca="1">SUM(CY44:DJ44)</f>
        <v>0</v>
      </c>
      <c r="DM44" s="93">
        <f ca="1">IF(DM37&gt;0,(DM20-'Presupuestos de Gastos'!$C$23)*0.5,0)</f>
        <v>0</v>
      </c>
      <c r="DN44" s="93">
        <f ca="1">IF(DN37&gt;0,(DN20-'Presupuestos de Gastos'!$C$23)*0.5,0)</f>
        <v>0</v>
      </c>
      <c r="DO44" s="93">
        <f ca="1">IF(DO37&gt;0,(DO20-'Presupuestos de Gastos'!$C$23)*0.5,0)</f>
        <v>0</v>
      </c>
      <c r="DP44" s="93">
        <f ca="1">IF(DP37&gt;0,(DP20-'Presupuestos de Gastos'!$C$23)*0.5,0)</f>
        <v>0</v>
      </c>
      <c r="DQ44" s="93">
        <f ca="1">IF(DQ37&gt;0,(DQ20-'Presupuestos de Gastos'!$C$23)*0.5,0)</f>
        <v>0</v>
      </c>
      <c r="DR44" s="93">
        <f ca="1">IF(DR37&gt;0,(DR20-'Presupuestos de Gastos'!$C$23)*0.5,0)</f>
        <v>0</v>
      </c>
      <c r="DS44" s="93">
        <f ca="1">IF(DS37&gt;0,(DS20-'Presupuestos de Gastos'!$C$23)*0.5,0)</f>
        <v>0</v>
      </c>
      <c r="DT44" s="93">
        <f ca="1">IF(DT37&gt;0,(DT20-'Presupuestos de Gastos'!$C$23)*0.5,0)</f>
        <v>0</v>
      </c>
      <c r="DU44" s="93">
        <f ca="1">IF(DU37&gt;0,(DU20-'Presupuestos de Gastos'!$C$23)*0.5,0)</f>
        <v>0</v>
      </c>
      <c r="DV44" s="93">
        <f ca="1">IF(DV37&gt;0,(DV20-'Presupuestos de Gastos'!$C$23)*0.5,0)</f>
        <v>0</v>
      </c>
      <c r="DW44" s="93">
        <f ca="1">IF(DW37&gt;0,(DW20-'Presupuestos de Gastos'!$C$23)*0.5,0)</f>
        <v>0</v>
      </c>
      <c r="DX44" s="93">
        <f ca="1">IF(DX37&gt;0,(DX20-'Presupuestos de Gastos'!$C$23)*0.5,0)</f>
        <v>0</v>
      </c>
      <c r="DY44" s="93">
        <f ca="1">SUM(DM44:DX44)</f>
        <v>0</v>
      </c>
      <c r="EA44" s="93">
        <f ca="1">IF(EA37&gt;0,(EA20-'Presupuestos de Gastos'!$C$23)*0.5,0)</f>
        <v>0</v>
      </c>
      <c r="EB44" s="93">
        <f ca="1">IF(EB37&gt;0,(EB20-'Presupuestos de Gastos'!$C$23)*0.5,0)</f>
        <v>0</v>
      </c>
      <c r="EC44" s="93">
        <f ca="1">IF(EC37&gt;0,(EC20-'Presupuestos de Gastos'!$C$23)*0.5,0)</f>
        <v>0</v>
      </c>
      <c r="ED44" s="93">
        <f ca="1">IF(ED37&gt;0,(ED20-'Presupuestos de Gastos'!$C$23)*0.5,0)</f>
        <v>0</v>
      </c>
      <c r="EE44" s="93">
        <f ca="1">IF(EE37&gt;0,(EE20-'Presupuestos de Gastos'!$C$23)*0.5,0)</f>
        <v>0</v>
      </c>
      <c r="EF44" s="93">
        <f ca="1">IF(EF37&gt;0,(EF20-'Presupuestos de Gastos'!$C$23)*0.5,0)</f>
        <v>0</v>
      </c>
      <c r="EG44" s="93">
        <f ca="1">IF(EG37&gt;0,(EG20-'Presupuestos de Gastos'!$C$23)*0.5,0)</f>
        <v>0</v>
      </c>
      <c r="EH44" s="93">
        <f ca="1">IF(EH37&gt;0,(EH20-'Presupuestos de Gastos'!$C$23)*0.5,0)</f>
        <v>0</v>
      </c>
      <c r="EI44" s="93">
        <f ca="1">IF(EI37&gt;0,(EI20-'Presupuestos de Gastos'!$C$23)*0.5,0)</f>
        <v>0</v>
      </c>
      <c r="EJ44" s="93">
        <f ca="1">IF(EJ37&gt;0,(EJ20-'Presupuestos de Gastos'!$C$23)*0.5,0)</f>
        <v>0</v>
      </c>
      <c r="EK44" s="93">
        <f ca="1">IF(EK37&gt;0,(EK20-'Presupuestos de Gastos'!$C$23)*0.5,0)</f>
        <v>0</v>
      </c>
      <c r="EL44" s="93">
        <f ca="1">IF(EL37&gt;0,(EL20-'Presupuestos de Gastos'!$C$23)*0.5,0)</f>
        <v>0</v>
      </c>
      <c r="EM44" s="93">
        <f ca="1">SUM(EA44:EL44)</f>
        <v>0</v>
      </c>
      <c r="EO44" s="93">
        <f ca="1">IF(EO37&gt;0,(EO20-'Presupuestos de Gastos'!$C$23)*0.5,0)</f>
        <v>0</v>
      </c>
      <c r="EP44" s="93">
        <f ca="1">IF(EP37&gt;0,(EP20-'Presupuestos de Gastos'!$C$23)*0.5,0)</f>
        <v>0</v>
      </c>
      <c r="EQ44" s="93">
        <f ca="1">IF(EQ37&gt;0,(EQ20-'Presupuestos de Gastos'!$C$23)*0.5,0)</f>
        <v>0</v>
      </c>
      <c r="ER44" s="93">
        <f ca="1">IF(ER37&gt;0,(ER20-'Presupuestos de Gastos'!$C$23)*0.5,0)</f>
        <v>0</v>
      </c>
      <c r="ES44" s="93">
        <f ca="1">IF(ES37&gt;0,(ES20-'Presupuestos de Gastos'!$C$23)*0.5,0)</f>
        <v>0</v>
      </c>
      <c r="ET44" s="93">
        <f ca="1">IF(ET37&gt;0,(ET20-'Presupuestos de Gastos'!$C$23)*0.5,0)</f>
        <v>0</v>
      </c>
      <c r="EU44" s="93">
        <f ca="1">IF(EU37&gt;0,(EU20-'Presupuestos de Gastos'!$C$23)*0.5,0)</f>
        <v>0</v>
      </c>
      <c r="EV44" s="93">
        <f ca="1">IF(EV37&gt;0,(EV20-'Presupuestos de Gastos'!$C$23)*0.5,0)</f>
        <v>0</v>
      </c>
      <c r="EW44" s="93">
        <f ca="1">IF(EW37&gt;0,(EW20-'Presupuestos de Gastos'!$C$23)*0.5,0)</f>
        <v>0</v>
      </c>
      <c r="EX44" s="93">
        <f ca="1">IF(EX37&gt;0,(EX20-'Presupuestos de Gastos'!$C$23)*0.5,0)</f>
        <v>0</v>
      </c>
      <c r="EY44" s="93">
        <f ca="1">IF(EY37&gt;0,(EY20-'Presupuestos de Gastos'!$C$23)*0.5,0)</f>
        <v>0</v>
      </c>
      <c r="EZ44" s="93">
        <f ca="1">IF(EZ37&gt;0,(EZ20-'Presupuestos de Gastos'!$C$23)*0.5,0)</f>
        <v>0</v>
      </c>
      <c r="FA44" s="93">
        <f ca="1">SUM(EO44:EZ44)</f>
        <v>0</v>
      </c>
    </row>
    <row r="45" spans="3:157" hidden="1" x14ac:dyDescent="0.3">
      <c r="C45" s="22" t="s">
        <v>6</v>
      </c>
      <c r="D45" s="2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4">
        <f t="shared" ref="Q45:Q51" si="71">SUM(E45:P45)</f>
        <v>0</v>
      </c>
      <c r="R45" s="51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>
        <f t="shared" ref="AE45:AE51" si="72">SUM(S45:AD45)</f>
        <v>0</v>
      </c>
      <c r="AF45" s="51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4">
        <f t="shared" ref="AS45:AS51" si="73">SUM(AG45:AR45)</f>
        <v>0</v>
      </c>
      <c r="AT45" s="51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>
        <f t="shared" si="70"/>
        <v>0</v>
      </c>
      <c r="BH45" s="51"/>
      <c r="BI45" s="93"/>
      <c r="BJ45" s="93"/>
      <c r="BK45" s="93"/>
      <c r="BL45" s="93"/>
      <c r="BM45" s="93"/>
      <c r="BN45" s="93"/>
      <c r="BO45" s="93"/>
      <c r="BP45" s="93"/>
      <c r="BQ45" s="93"/>
      <c r="BR45" s="93"/>
      <c r="BS45" s="93"/>
      <c r="BT45" s="93"/>
      <c r="BU45" s="94">
        <f t="shared" ref="BU45:BU51" si="74">SUM(BI45:BT45)</f>
        <v>0</v>
      </c>
      <c r="BV45" s="51"/>
      <c r="BW45" s="93"/>
      <c r="BX45" s="93"/>
      <c r="BY45" s="93"/>
      <c r="BZ45" s="93"/>
      <c r="CA45" s="93"/>
      <c r="CB45" s="93"/>
      <c r="CC45" s="93"/>
      <c r="CD45" s="93"/>
      <c r="CE45" s="93"/>
      <c r="CF45" s="93"/>
      <c r="CG45" s="93"/>
      <c r="CH45" s="93"/>
      <c r="CI45" s="94">
        <f t="shared" ref="CI45:CI51" si="75">SUM(BW45:CH45)</f>
        <v>0</v>
      </c>
      <c r="CJ45" s="51"/>
      <c r="CK45" s="93"/>
      <c r="CL45" s="93"/>
      <c r="CM45" s="93"/>
      <c r="CN45" s="93"/>
      <c r="CO45" s="93"/>
      <c r="CP45" s="93"/>
      <c r="CQ45" s="93"/>
      <c r="CR45" s="93"/>
      <c r="CS45" s="93"/>
      <c r="CT45" s="93"/>
      <c r="CU45" s="93"/>
      <c r="CV45" s="93"/>
      <c r="CW45" s="94">
        <f t="shared" ref="CW45:CW51" si="76">SUM(CK45:CV45)</f>
        <v>0</v>
      </c>
      <c r="CX45" s="51"/>
      <c r="CY45" s="93"/>
      <c r="CZ45" s="93"/>
      <c r="DA45" s="93"/>
      <c r="DB45" s="93"/>
      <c r="DC45" s="93"/>
      <c r="DD45" s="93"/>
      <c r="DE45" s="93"/>
      <c r="DF45" s="93"/>
      <c r="DG45" s="93"/>
      <c r="DH45" s="93"/>
      <c r="DI45" s="93"/>
      <c r="DJ45" s="93"/>
      <c r="DK45" s="94">
        <f t="shared" ref="DK45:DK51" si="77">SUM(CY45:DJ45)</f>
        <v>0</v>
      </c>
      <c r="DL45" s="51"/>
      <c r="DM45" s="93"/>
      <c r="DN45" s="93"/>
      <c r="DO45" s="93"/>
      <c r="DP45" s="93"/>
      <c r="DQ45" s="93"/>
      <c r="DR45" s="93"/>
      <c r="DS45" s="93"/>
      <c r="DT45" s="93"/>
      <c r="DU45" s="93"/>
      <c r="DV45" s="93"/>
      <c r="DW45" s="93"/>
      <c r="DX45" s="93"/>
      <c r="DY45" s="94">
        <f t="shared" ref="DY45:DY51" si="78">SUM(DM45:DX45)</f>
        <v>0</v>
      </c>
      <c r="DZ45" s="51"/>
      <c r="EA45" s="93"/>
      <c r="EB45" s="93"/>
      <c r="EC45" s="93"/>
      <c r="ED45" s="93"/>
      <c r="EE45" s="93"/>
      <c r="EF45" s="93"/>
      <c r="EG45" s="93"/>
      <c r="EH45" s="93"/>
      <c r="EI45" s="93"/>
      <c r="EJ45" s="93"/>
      <c r="EK45" s="93"/>
      <c r="EL45" s="93"/>
      <c r="EM45" s="94">
        <f t="shared" ref="EM45:EM51" si="79">SUM(EA45:EL45)</f>
        <v>0</v>
      </c>
      <c r="EN45" s="51"/>
      <c r="EO45" s="93"/>
      <c r="EP45" s="93"/>
      <c r="EQ45" s="93"/>
      <c r="ER45" s="93"/>
      <c r="ES45" s="93"/>
      <c r="ET45" s="93"/>
      <c r="EU45" s="93"/>
      <c r="EV45" s="93"/>
      <c r="EW45" s="93"/>
      <c r="EX45" s="93"/>
      <c r="EY45" s="93"/>
      <c r="EZ45" s="93"/>
      <c r="FA45" s="94">
        <f t="shared" ref="FA45:FA51" si="80">SUM(EO45:EZ45)</f>
        <v>0</v>
      </c>
    </row>
    <row r="46" spans="3:157" hidden="1" x14ac:dyDescent="0.3">
      <c r="C46" s="22" t="s">
        <v>6</v>
      </c>
      <c r="D46" s="2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4">
        <f t="shared" si="71"/>
        <v>0</v>
      </c>
      <c r="R46" s="51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>
        <f t="shared" si="72"/>
        <v>0</v>
      </c>
      <c r="AF46" s="51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4">
        <f t="shared" si="73"/>
        <v>0</v>
      </c>
      <c r="AT46" s="51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>
        <f t="shared" si="70"/>
        <v>0</v>
      </c>
      <c r="BH46" s="51"/>
      <c r="BI46" s="93"/>
      <c r="BJ46" s="93"/>
      <c r="BK46" s="93"/>
      <c r="BL46" s="93"/>
      <c r="BM46" s="93"/>
      <c r="BN46" s="93"/>
      <c r="BO46" s="93"/>
      <c r="BP46" s="93"/>
      <c r="BQ46" s="93"/>
      <c r="BR46" s="93"/>
      <c r="BS46" s="93"/>
      <c r="BT46" s="93"/>
      <c r="BU46" s="94">
        <f t="shared" si="74"/>
        <v>0</v>
      </c>
      <c r="BV46" s="51"/>
      <c r="BW46" s="93"/>
      <c r="BX46" s="93"/>
      <c r="BY46" s="93"/>
      <c r="BZ46" s="93"/>
      <c r="CA46" s="93"/>
      <c r="CB46" s="93"/>
      <c r="CC46" s="93"/>
      <c r="CD46" s="93"/>
      <c r="CE46" s="93"/>
      <c r="CF46" s="93"/>
      <c r="CG46" s="93"/>
      <c r="CH46" s="93"/>
      <c r="CI46" s="94">
        <f t="shared" si="75"/>
        <v>0</v>
      </c>
      <c r="CJ46" s="51"/>
      <c r="CK46" s="93"/>
      <c r="CL46" s="93"/>
      <c r="CM46" s="93"/>
      <c r="CN46" s="93"/>
      <c r="CO46" s="93"/>
      <c r="CP46" s="93"/>
      <c r="CQ46" s="93"/>
      <c r="CR46" s="93"/>
      <c r="CS46" s="93"/>
      <c r="CT46" s="93"/>
      <c r="CU46" s="93"/>
      <c r="CV46" s="93"/>
      <c r="CW46" s="94">
        <f t="shared" si="76"/>
        <v>0</v>
      </c>
      <c r="CX46" s="51"/>
      <c r="CY46" s="93"/>
      <c r="CZ46" s="93"/>
      <c r="DA46" s="93"/>
      <c r="DB46" s="93"/>
      <c r="DC46" s="93"/>
      <c r="DD46" s="93"/>
      <c r="DE46" s="93"/>
      <c r="DF46" s="93"/>
      <c r="DG46" s="93"/>
      <c r="DH46" s="93"/>
      <c r="DI46" s="93"/>
      <c r="DJ46" s="93"/>
      <c r="DK46" s="94">
        <f t="shared" si="77"/>
        <v>0</v>
      </c>
      <c r="DL46" s="51"/>
      <c r="DM46" s="93"/>
      <c r="DN46" s="93"/>
      <c r="DO46" s="93"/>
      <c r="DP46" s="93"/>
      <c r="DQ46" s="93"/>
      <c r="DR46" s="93"/>
      <c r="DS46" s="93"/>
      <c r="DT46" s="93"/>
      <c r="DU46" s="93"/>
      <c r="DV46" s="93"/>
      <c r="DW46" s="93"/>
      <c r="DX46" s="93"/>
      <c r="DY46" s="94">
        <f t="shared" si="78"/>
        <v>0</v>
      </c>
      <c r="DZ46" s="51"/>
      <c r="EA46" s="93"/>
      <c r="EB46" s="93"/>
      <c r="EC46" s="93"/>
      <c r="ED46" s="93"/>
      <c r="EE46" s="93"/>
      <c r="EF46" s="93"/>
      <c r="EG46" s="93"/>
      <c r="EH46" s="93"/>
      <c r="EI46" s="93"/>
      <c r="EJ46" s="93"/>
      <c r="EK46" s="93"/>
      <c r="EL46" s="93"/>
      <c r="EM46" s="94">
        <f t="shared" si="79"/>
        <v>0</v>
      </c>
      <c r="EN46" s="51"/>
      <c r="EO46" s="93"/>
      <c r="EP46" s="93"/>
      <c r="EQ46" s="93"/>
      <c r="ER46" s="93"/>
      <c r="ES46" s="93"/>
      <c r="ET46" s="93"/>
      <c r="EU46" s="93"/>
      <c r="EV46" s="93"/>
      <c r="EW46" s="93"/>
      <c r="EX46" s="93"/>
      <c r="EY46" s="93"/>
      <c r="EZ46" s="93"/>
      <c r="FA46" s="94">
        <f t="shared" si="80"/>
        <v>0</v>
      </c>
    </row>
    <row r="47" spans="3:157" hidden="1" x14ac:dyDescent="0.3">
      <c r="C47" s="22" t="s">
        <v>6</v>
      </c>
      <c r="D47" s="2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4">
        <f t="shared" si="71"/>
        <v>0</v>
      </c>
      <c r="R47" s="51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>
        <f t="shared" si="72"/>
        <v>0</v>
      </c>
      <c r="AF47" s="51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4">
        <f t="shared" si="73"/>
        <v>0</v>
      </c>
      <c r="AT47" s="51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>
        <f t="shared" si="70"/>
        <v>0</v>
      </c>
      <c r="BH47" s="51"/>
      <c r="BI47" s="93"/>
      <c r="BJ47" s="93"/>
      <c r="BK47" s="93"/>
      <c r="BL47" s="93"/>
      <c r="BM47" s="93"/>
      <c r="BN47" s="93"/>
      <c r="BO47" s="93"/>
      <c r="BP47" s="93"/>
      <c r="BQ47" s="93"/>
      <c r="BR47" s="93"/>
      <c r="BS47" s="93"/>
      <c r="BT47" s="93"/>
      <c r="BU47" s="94">
        <f t="shared" si="74"/>
        <v>0</v>
      </c>
      <c r="BV47" s="51"/>
      <c r="BW47" s="93"/>
      <c r="BX47" s="93"/>
      <c r="BY47" s="93"/>
      <c r="BZ47" s="93"/>
      <c r="CA47" s="93"/>
      <c r="CB47" s="93"/>
      <c r="CC47" s="93"/>
      <c r="CD47" s="93"/>
      <c r="CE47" s="93"/>
      <c r="CF47" s="93"/>
      <c r="CG47" s="93"/>
      <c r="CH47" s="93"/>
      <c r="CI47" s="94">
        <f t="shared" si="75"/>
        <v>0</v>
      </c>
      <c r="CJ47" s="51"/>
      <c r="CK47" s="93"/>
      <c r="CL47" s="93"/>
      <c r="CM47" s="93"/>
      <c r="CN47" s="93"/>
      <c r="CO47" s="93"/>
      <c r="CP47" s="93"/>
      <c r="CQ47" s="93"/>
      <c r="CR47" s="93"/>
      <c r="CS47" s="93"/>
      <c r="CT47" s="93"/>
      <c r="CU47" s="93"/>
      <c r="CV47" s="93"/>
      <c r="CW47" s="94">
        <f t="shared" si="76"/>
        <v>0</v>
      </c>
      <c r="CX47" s="51"/>
      <c r="CY47" s="93"/>
      <c r="CZ47" s="93"/>
      <c r="DA47" s="93"/>
      <c r="DB47" s="93"/>
      <c r="DC47" s="93"/>
      <c r="DD47" s="93"/>
      <c r="DE47" s="93"/>
      <c r="DF47" s="93"/>
      <c r="DG47" s="93"/>
      <c r="DH47" s="93"/>
      <c r="DI47" s="93"/>
      <c r="DJ47" s="93"/>
      <c r="DK47" s="94">
        <f t="shared" si="77"/>
        <v>0</v>
      </c>
      <c r="DL47" s="51"/>
      <c r="DM47" s="93"/>
      <c r="DN47" s="93"/>
      <c r="DO47" s="93"/>
      <c r="DP47" s="93"/>
      <c r="DQ47" s="93"/>
      <c r="DR47" s="93"/>
      <c r="DS47" s="93"/>
      <c r="DT47" s="93"/>
      <c r="DU47" s="93"/>
      <c r="DV47" s="93"/>
      <c r="DW47" s="93"/>
      <c r="DX47" s="93"/>
      <c r="DY47" s="94">
        <f t="shared" si="78"/>
        <v>0</v>
      </c>
      <c r="DZ47" s="51"/>
      <c r="EA47" s="93"/>
      <c r="EB47" s="93"/>
      <c r="EC47" s="93"/>
      <c r="ED47" s="93"/>
      <c r="EE47" s="93"/>
      <c r="EF47" s="93"/>
      <c r="EG47" s="93"/>
      <c r="EH47" s="93"/>
      <c r="EI47" s="93"/>
      <c r="EJ47" s="93"/>
      <c r="EK47" s="93"/>
      <c r="EL47" s="93"/>
      <c r="EM47" s="94">
        <f t="shared" si="79"/>
        <v>0</v>
      </c>
      <c r="EN47" s="51"/>
      <c r="EO47" s="93"/>
      <c r="EP47" s="93"/>
      <c r="EQ47" s="93"/>
      <c r="ER47" s="93"/>
      <c r="ES47" s="93"/>
      <c r="ET47" s="93"/>
      <c r="EU47" s="93"/>
      <c r="EV47" s="93"/>
      <c r="EW47" s="93"/>
      <c r="EX47" s="93"/>
      <c r="EY47" s="93"/>
      <c r="EZ47" s="93"/>
      <c r="FA47" s="94">
        <f t="shared" si="80"/>
        <v>0</v>
      </c>
    </row>
    <row r="48" spans="3:157" hidden="1" x14ac:dyDescent="0.3">
      <c r="C48" s="22" t="s">
        <v>6</v>
      </c>
      <c r="D48" s="2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4">
        <f t="shared" si="71"/>
        <v>0</v>
      </c>
      <c r="R48" s="51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>
        <f t="shared" si="72"/>
        <v>0</v>
      </c>
      <c r="AF48" s="51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4">
        <f t="shared" si="73"/>
        <v>0</v>
      </c>
      <c r="AT48" s="51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>
        <f t="shared" si="70"/>
        <v>0</v>
      </c>
      <c r="BH48" s="51"/>
      <c r="BI48" s="93"/>
      <c r="BJ48" s="93"/>
      <c r="BK48" s="93"/>
      <c r="BL48" s="93"/>
      <c r="BM48" s="93"/>
      <c r="BN48" s="93"/>
      <c r="BO48" s="93"/>
      <c r="BP48" s="93"/>
      <c r="BQ48" s="93"/>
      <c r="BR48" s="93"/>
      <c r="BS48" s="93"/>
      <c r="BT48" s="93"/>
      <c r="BU48" s="94">
        <f t="shared" si="74"/>
        <v>0</v>
      </c>
      <c r="BV48" s="51"/>
      <c r="BW48" s="93"/>
      <c r="BX48" s="93"/>
      <c r="BY48" s="93"/>
      <c r="BZ48" s="93"/>
      <c r="CA48" s="93"/>
      <c r="CB48" s="93"/>
      <c r="CC48" s="93"/>
      <c r="CD48" s="93"/>
      <c r="CE48" s="93"/>
      <c r="CF48" s="93"/>
      <c r="CG48" s="93"/>
      <c r="CH48" s="93"/>
      <c r="CI48" s="94">
        <f t="shared" si="75"/>
        <v>0</v>
      </c>
      <c r="CJ48" s="51"/>
      <c r="CK48" s="93"/>
      <c r="CL48" s="93"/>
      <c r="CM48" s="93"/>
      <c r="CN48" s="93"/>
      <c r="CO48" s="93"/>
      <c r="CP48" s="93"/>
      <c r="CQ48" s="93"/>
      <c r="CR48" s="93"/>
      <c r="CS48" s="93"/>
      <c r="CT48" s="93"/>
      <c r="CU48" s="93"/>
      <c r="CV48" s="93"/>
      <c r="CW48" s="94">
        <f t="shared" si="76"/>
        <v>0</v>
      </c>
      <c r="CX48" s="51"/>
      <c r="CY48" s="93"/>
      <c r="CZ48" s="93"/>
      <c r="DA48" s="93"/>
      <c r="DB48" s="93"/>
      <c r="DC48" s="93"/>
      <c r="DD48" s="93"/>
      <c r="DE48" s="93"/>
      <c r="DF48" s="93"/>
      <c r="DG48" s="93"/>
      <c r="DH48" s="93"/>
      <c r="DI48" s="93"/>
      <c r="DJ48" s="93"/>
      <c r="DK48" s="94">
        <f t="shared" si="77"/>
        <v>0</v>
      </c>
      <c r="DL48" s="51"/>
      <c r="DM48" s="93"/>
      <c r="DN48" s="93"/>
      <c r="DO48" s="93"/>
      <c r="DP48" s="93"/>
      <c r="DQ48" s="93"/>
      <c r="DR48" s="93"/>
      <c r="DS48" s="93"/>
      <c r="DT48" s="93"/>
      <c r="DU48" s="93"/>
      <c r="DV48" s="93"/>
      <c r="DW48" s="93"/>
      <c r="DX48" s="93"/>
      <c r="DY48" s="94">
        <f t="shared" si="78"/>
        <v>0</v>
      </c>
      <c r="DZ48" s="51"/>
      <c r="EA48" s="93"/>
      <c r="EB48" s="93"/>
      <c r="EC48" s="93"/>
      <c r="ED48" s="93"/>
      <c r="EE48" s="93"/>
      <c r="EF48" s="93"/>
      <c r="EG48" s="93"/>
      <c r="EH48" s="93"/>
      <c r="EI48" s="93"/>
      <c r="EJ48" s="93"/>
      <c r="EK48" s="93"/>
      <c r="EL48" s="93"/>
      <c r="EM48" s="94">
        <f t="shared" si="79"/>
        <v>0</v>
      </c>
      <c r="EN48" s="51"/>
      <c r="EO48" s="93"/>
      <c r="EP48" s="93"/>
      <c r="EQ48" s="93"/>
      <c r="ER48" s="93"/>
      <c r="ES48" s="93"/>
      <c r="ET48" s="93"/>
      <c r="EU48" s="93"/>
      <c r="EV48" s="93"/>
      <c r="EW48" s="93"/>
      <c r="EX48" s="93"/>
      <c r="EY48" s="93"/>
      <c r="EZ48" s="93"/>
      <c r="FA48" s="94">
        <f t="shared" si="80"/>
        <v>0</v>
      </c>
    </row>
    <row r="49" spans="3:157" hidden="1" x14ac:dyDescent="0.3">
      <c r="C49" s="22" t="s">
        <v>6</v>
      </c>
      <c r="D49" s="2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4">
        <f t="shared" si="71"/>
        <v>0</v>
      </c>
      <c r="R49" s="51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>
        <f t="shared" si="72"/>
        <v>0</v>
      </c>
      <c r="AF49" s="51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4">
        <f t="shared" si="73"/>
        <v>0</v>
      </c>
      <c r="AT49" s="51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>
        <f t="shared" si="70"/>
        <v>0</v>
      </c>
      <c r="BH49" s="51"/>
      <c r="BI49" s="93"/>
      <c r="BJ49" s="93"/>
      <c r="BK49" s="93"/>
      <c r="BL49" s="93"/>
      <c r="BM49" s="93"/>
      <c r="BN49" s="93"/>
      <c r="BO49" s="93"/>
      <c r="BP49" s="93"/>
      <c r="BQ49" s="93"/>
      <c r="BR49" s="93"/>
      <c r="BS49" s="93"/>
      <c r="BT49" s="93"/>
      <c r="BU49" s="94">
        <f t="shared" si="74"/>
        <v>0</v>
      </c>
      <c r="BV49" s="51"/>
      <c r="BW49" s="93"/>
      <c r="BX49" s="93"/>
      <c r="BY49" s="93"/>
      <c r="BZ49" s="93"/>
      <c r="CA49" s="93"/>
      <c r="CB49" s="93"/>
      <c r="CC49" s="93"/>
      <c r="CD49" s="93"/>
      <c r="CE49" s="93"/>
      <c r="CF49" s="93"/>
      <c r="CG49" s="93"/>
      <c r="CH49" s="93"/>
      <c r="CI49" s="94">
        <f t="shared" si="75"/>
        <v>0</v>
      </c>
      <c r="CJ49" s="51"/>
      <c r="CK49" s="93"/>
      <c r="CL49" s="93"/>
      <c r="CM49" s="93"/>
      <c r="CN49" s="93"/>
      <c r="CO49" s="93"/>
      <c r="CP49" s="93"/>
      <c r="CQ49" s="93"/>
      <c r="CR49" s="93"/>
      <c r="CS49" s="93"/>
      <c r="CT49" s="93"/>
      <c r="CU49" s="93"/>
      <c r="CV49" s="93"/>
      <c r="CW49" s="94">
        <f t="shared" si="76"/>
        <v>0</v>
      </c>
      <c r="CX49" s="51"/>
      <c r="CY49" s="93"/>
      <c r="CZ49" s="93"/>
      <c r="DA49" s="93"/>
      <c r="DB49" s="93"/>
      <c r="DC49" s="93"/>
      <c r="DD49" s="93"/>
      <c r="DE49" s="93"/>
      <c r="DF49" s="93"/>
      <c r="DG49" s="93"/>
      <c r="DH49" s="93"/>
      <c r="DI49" s="93"/>
      <c r="DJ49" s="93"/>
      <c r="DK49" s="94">
        <f t="shared" si="77"/>
        <v>0</v>
      </c>
      <c r="DL49" s="51"/>
      <c r="DM49" s="93"/>
      <c r="DN49" s="93"/>
      <c r="DO49" s="93"/>
      <c r="DP49" s="93"/>
      <c r="DQ49" s="93"/>
      <c r="DR49" s="93"/>
      <c r="DS49" s="93"/>
      <c r="DT49" s="93"/>
      <c r="DU49" s="93"/>
      <c r="DV49" s="93"/>
      <c r="DW49" s="93"/>
      <c r="DX49" s="93"/>
      <c r="DY49" s="94">
        <f t="shared" si="78"/>
        <v>0</v>
      </c>
      <c r="DZ49" s="51"/>
      <c r="EA49" s="93"/>
      <c r="EB49" s="93"/>
      <c r="EC49" s="93"/>
      <c r="ED49" s="93"/>
      <c r="EE49" s="93"/>
      <c r="EF49" s="93"/>
      <c r="EG49" s="93"/>
      <c r="EH49" s="93"/>
      <c r="EI49" s="93"/>
      <c r="EJ49" s="93"/>
      <c r="EK49" s="93"/>
      <c r="EL49" s="93"/>
      <c r="EM49" s="94">
        <f t="shared" si="79"/>
        <v>0</v>
      </c>
      <c r="EN49" s="51"/>
      <c r="EO49" s="93"/>
      <c r="EP49" s="93"/>
      <c r="EQ49" s="93"/>
      <c r="ER49" s="93"/>
      <c r="ES49" s="93"/>
      <c r="ET49" s="93"/>
      <c r="EU49" s="93"/>
      <c r="EV49" s="93"/>
      <c r="EW49" s="93"/>
      <c r="EX49" s="93"/>
      <c r="EY49" s="93"/>
      <c r="EZ49" s="93"/>
      <c r="FA49" s="94">
        <f t="shared" si="80"/>
        <v>0</v>
      </c>
    </row>
    <row r="50" spans="3:157" hidden="1" x14ac:dyDescent="0.3">
      <c r="C50" s="22" t="s">
        <v>6</v>
      </c>
      <c r="D50" s="2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4">
        <f t="shared" si="71"/>
        <v>0</v>
      </c>
      <c r="R50" s="51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>
        <f t="shared" si="72"/>
        <v>0</v>
      </c>
      <c r="AF50" s="51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4">
        <f t="shared" si="73"/>
        <v>0</v>
      </c>
      <c r="AT50" s="51"/>
      <c r="AU50" s="93"/>
      <c r="AV50" s="93"/>
      <c r="AW50" s="93"/>
      <c r="AX50" s="93"/>
      <c r="AY50" s="93"/>
      <c r="AZ50" s="93"/>
      <c r="BA50" s="93"/>
      <c r="BB50" s="93"/>
      <c r="BC50" s="93"/>
      <c r="BD50" s="93"/>
      <c r="BE50" s="93"/>
      <c r="BF50" s="93"/>
      <c r="BG50" s="93">
        <f t="shared" si="70"/>
        <v>0</v>
      </c>
      <c r="BH50" s="51"/>
      <c r="BI50" s="93"/>
      <c r="BJ50" s="93"/>
      <c r="BK50" s="93"/>
      <c r="BL50" s="93"/>
      <c r="BM50" s="93"/>
      <c r="BN50" s="93"/>
      <c r="BO50" s="93"/>
      <c r="BP50" s="93"/>
      <c r="BQ50" s="93"/>
      <c r="BR50" s="93"/>
      <c r="BS50" s="93"/>
      <c r="BT50" s="93"/>
      <c r="BU50" s="94">
        <f t="shared" si="74"/>
        <v>0</v>
      </c>
      <c r="BV50" s="51"/>
      <c r="BW50" s="93"/>
      <c r="BX50" s="93"/>
      <c r="BY50" s="93"/>
      <c r="BZ50" s="93"/>
      <c r="CA50" s="93"/>
      <c r="CB50" s="93"/>
      <c r="CC50" s="93"/>
      <c r="CD50" s="93"/>
      <c r="CE50" s="93"/>
      <c r="CF50" s="93"/>
      <c r="CG50" s="93"/>
      <c r="CH50" s="93"/>
      <c r="CI50" s="94">
        <f t="shared" si="75"/>
        <v>0</v>
      </c>
      <c r="CJ50" s="51"/>
      <c r="CK50" s="93"/>
      <c r="CL50" s="93"/>
      <c r="CM50" s="93"/>
      <c r="CN50" s="93"/>
      <c r="CO50" s="93"/>
      <c r="CP50" s="93"/>
      <c r="CQ50" s="93"/>
      <c r="CR50" s="93"/>
      <c r="CS50" s="93"/>
      <c r="CT50" s="93"/>
      <c r="CU50" s="93"/>
      <c r="CV50" s="93"/>
      <c r="CW50" s="94">
        <f t="shared" si="76"/>
        <v>0</v>
      </c>
      <c r="CX50" s="51"/>
      <c r="CY50" s="93"/>
      <c r="CZ50" s="93"/>
      <c r="DA50" s="93"/>
      <c r="DB50" s="93"/>
      <c r="DC50" s="93"/>
      <c r="DD50" s="93"/>
      <c r="DE50" s="93"/>
      <c r="DF50" s="93"/>
      <c r="DG50" s="93"/>
      <c r="DH50" s="93"/>
      <c r="DI50" s="93"/>
      <c r="DJ50" s="93"/>
      <c r="DK50" s="94">
        <f t="shared" si="77"/>
        <v>0</v>
      </c>
      <c r="DL50" s="51"/>
      <c r="DM50" s="93"/>
      <c r="DN50" s="93"/>
      <c r="DO50" s="93"/>
      <c r="DP50" s="93"/>
      <c r="DQ50" s="93"/>
      <c r="DR50" s="93"/>
      <c r="DS50" s="93"/>
      <c r="DT50" s="93"/>
      <c r="DU50" s="93"/>
      <c r="DV50" s="93"/>
      <c r="DW50" s="93"/>
      <c r="DX50" s="93"/>
      <c r="DY50" s="94">
        <f t="shared" si="78"/>
        <v>0</v>
      </c>
      <c r="DZ50" s="51"/>
      <c r="EA50" s="93"/>
      <c r="EB50" s="93"/>
      <c r="EC50" s="93"/>
      <c r="ED50" s="93"/>
      <c r="EE50" s="93"/>
      <c r="EF50" s="93"/>
      <c r="EG50" s="93"/>
      <c r="EH50" s="93"/>
      <c r="EI50" s="93"/>
      <c r="EJ50" s="93"/>
      <c r="EK50" s="93"/>
      <c r="EL50" s="93"/>
      <c r="EM50" s="94">
        <f t="shared" si="79"/>
        <v>0</v>
      </c>
      <c r="EN50" s="51"/>
      <c r="EO50" s="93"/>
      <c r="EP50" s="93"/>
      <c r="EQ50" s="93"/>
      <c r="ER50" s="93"/>
      <c r="ES50" s="93"/>
      <c r="ET50" s="93"/>
      <c r="EU50" s="93"/>
      <c r="EV50" s="93"/>
      <c r="EW50" s="93"/>
      <c r="EX50" s="93"/>
      <c r="EY50" s="93"/>
      <c r="EZ50" s="93"/>
      <c r="FA50" s="94">
        <f t="shared" si="80"/>
        <v>0</v>
      </c>
    </row>
    <row r="51" spans="3:157" hidden="1" x14ac:dyDescent="0.3">
      <c r="C51" s="22" t="s">
        <v>6</v>
      </c>
      <c r="D51" s="2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4">
        <f t="shared" si="71"/>
        <v>0</v>
      </c>
      <c r="R51" s="51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>
        <f t="shared" si="72"/>
        <v>0</v>
      </c>
      <c r="AF51" s="51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4">
        <f t="shared" si="73"/>
        <v>0</v>
      </c>
      <c r="AT51" s="51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>
        <f t="shared" si="70"/>
        <v>0</v>
      </c>
      <c r="BH51" s="51"/>
      <c r="BI51" s="93"/>
      <c r="BJ51" s="93"/>
      <c r="BK51" s="93"/>
      <c r="BL51" s="93"/>
      <c r="BM51" s="93"/>
      <c r="BN51" s="93"/>
      <c r="BO51" s="93"/>
      <c r="BP51" s="93"/>
      <c r="BQ51" s="93"/>
      <c r="BR51" s="93"/>
      <c r="BS51" s="93"/>
      <c r="BT51" s="93"/>
      <c r="BU51" s="94">
        <f t="shared" si="74"/>
        <v>0</v>
      </c>
      <c r="BV51" s="51"/>
      <c r="BW51" s="93"/>
      <c r="BX51" s="93"/>
      <c r="BY51" s="93"/>
      <c r="BZ51" s="93"/>
      <c r="CA51" s="93"/>
      <c r="CB51" s="93"/>
      <c r="CC51" s="93"/>
      <c r="CD51" s="93"/>
      <c r="CE51" s="93"/>
      <c r="CF51" s="93"/>
      <c r="CG51" s="93"/>
      <c r="CH51" s="93"/>
      <c r="CI51" s="94">
        <f t="shared" si="75"/>
        <v>0</v>
      </c>
      <c r="CJ51" s="51"/>
      <c r="CK51" s="93"/>
      <c r="CL51" s="93"/>
      <c r="CM51" s="93"/>
      <c r="CN51" s="93"/>
      <c r="CO51" s="93"/>
      <c r="CP51" s="93"/>
      <c r="CQ51" s="93"/>
      <c r="CR51" s="93"/>
      <c r="CS51" s="93"/>
      <c r="CT51" s="93"/>
      <c r="CU51" s="93"/>
      <c r="CV51" s="93"/>
      <c r="CW51" s="94">
        <f t="shared" si="76"/>
        <v>0</v>
      </c>
      <c r="CX51" s="51"/>
      <c r="CY51" s="93"/>
      <c r="CZ51" s="93"/>
      <c r="DA51" s="93"/>
      <c r="DB51" s="93"/>
      <c r="DC51" s="93"/>
      <c r="DD51" s="93"/>
      <c r="DE51" s="93"/>
      <c r="DF51" s="93"/>
      <c r="DG51" s="93"/>
      <c r="DH51" s="93"/>
      <c r="DI51" s="93"/>
      <c r="DJ51" s="93"/>
      <c r="DK51" s="94">
        <f t="shared" si="77"/>
        <v>0</v>
      </c>
      <c r="DL51" s="51"/>
      <c r="DM51" s="93"/>
      <c r="DN51" s="93"/>
      <c r="DO51" s="93"/>
      <c r="DP51" s="93"/>
      <c r="DQ51" s="93"/>
      <c r="DR51" s="93"/>
      <c r="DS51" s="93"/>
      <c r="DT51" s="93"/>
      <c r="DU51" s="93"/>
      <c r="DV51" s="93"/>
      <c r="DW51" s="93"/>
      <c r="DX51" s="93"/>
      <c r="DY51" s="94">
        <f t="shared" si="78"/>
        <v>0</v>
      </c>
      <c r="DZ51" s="51"/>
      <c r="EA51" s="93"/>
      <c r="EB51" s="93"/>
      <c r="EC51" s="93"/>
      <c r="ED51" s="93"/>
      <c r="EE51" s="93"/>
      <c r="EF51" s="93"/>
      <c r="EG51" s="93"/>
      <c r="EH51" s="93"/>
      <c r="EI51" s="93"/>
      <c r="EJ51" s="93"/>
      <c r="EK51" s="93"/>
      <c r="EL51" s="93"/>
      <c r="EM51" s="94">
        <f t="shared" si="79"/>
        <v>0</v>
      </c>
      <c r="EN51" s="51"/>
      <c r="EO51" s="93"/>
      <c r="EP51" s="93"/>
      <c r="EQ51" s="93"/>
      <c r="ER51" s="93"/>
      <c r="ES51" s="93"/>
      <c r="ET51" s="93"/>
      <c r="EU51" s="93"/>
      <c r="EV51" s="93"/>
      <c r="EW51" s="93"/>
      <c r="EX51" s="93"/>
      <c r="EY51" s="93"/>
      <c r="EZ51" s="93"/>
      <c r="FA51" s="94">
        <f t="shared" si="80"/>
        <v>0</v>
      </c>
    </row>
    <row r="52" spans="3:157" s="82" customFormat="1" x14ac:dyDescent="0.3">
      <c r="C52" s="96" t="s">
        <v>7</v>
      </c>
      <c r="E52" s="95">
        <f ca="1">SUM(E43:E44)</f>
        <v>0</v>
      </c>
      <c r="F52" s="95">
        <f t="shared" ref="F52:Q52" ca="1" si="81">SUM(F43:F44)</f>
        <v>0</v>
      </c>
      <c r="G52" s="95">
        <f t="shared" ca="1" si="81"/>
        <v>0</v>
      </c>
      <c r="H52" s="95">
        <f t="shared" ca="1" si="81"/>
        <v>0</v>
      </c>
      <c r="I52" s="95">
        <f t="shared" ca="1" si="81"/>
        <v>0</v>
      </c>
      <c r="J52" s="95">
        <f t="shared" ca="1" si="81"/>
        <v>0</v>
      </c>
      <c r="K52" s="95">
        <f t="shared" ca="1" si="81"/>
        <v>0</v>
      </c>
      <c r="L52" s="95">
        <f t="shared" ca="1" si="81"/>
        <v>0</v>
      </c>
      <c r="M52" s="95">
        <f t="shared" ca="1" si="81"/>
        <v>0</v>
      </c>
      <c r="N52" s="95">
        <f t="shared" ca="1" si="81"/>
        <v>0</v>
      </c>
      <c r="O52" s="95">
        <f t="shared" ca="1" si="81"/>
        <v>0</v>
      </c>
      <c r="P52" s="95">
        <f t="shared" ca="1" si="81"/>
        <v>0</v>
      </c>
      <c r="Q52" s="95">
        <f t="shared" ca="1" si="81"/>
        <v>0</v>
      </c>
      <c r="S52" s="95" cm="1">
        <f t="array" aca="1" ref="S52" ca="1">SUM(INDIRECT(ADDRESS(Ahorros_min_fila,COLUMN()) &amp; ":" &amp; ADDRESS(Ahorros_max_fila,COLUMN())))</f>
        <v>0</v>
      </c>
      <c r="T52" s="95" cm="1">
        <f t="array" aca="1" ref="T52" ca="1">SUM(INDIRECT(ADDRESS(Ahorros_min_fila,COLUMN()) &amp; ":" &amp; ADDRESS(Ahorros_max_fila,COLUMN())))</f>
        <v>0</v>
      </c>
      <c r="U52" s="95" cm="1">
        <f t="array" aca="1" ref="U52" ca="1">SUM(INDIRECT(ADDRESS(Ahorros_min_fila,COLUMN()) &amp; ":" &amp; ADDRESS(Ahorros_max_fila,COLUMN())))</f>
        <v>0</v>
      </c>
      <c r="V52" s="95" cm="1">
        <f t="array" aca="1" ref="V52" ca="1">SUM(INDIRECT(ADDRESS(Ahorros_min_fila,COLUMN()) &amp; ":" &amp; ADDRESS(Ahorros_max_fila,COLUMN())))</f>
        <v>0</v>
      </c>
      <c r="W52" s="95" cm="1">
        <f t="array" aca="1" ref="W52" ca="1">SUM(INDIRECT(ADDRESS(Ahorros_min_fila,COLUMN()) &amp; ":" &amp; ADDRESS(Ahorros_max_fila,COLUMN())))</f>
        <v>0</v>
      </c>
      <c r="X52" s="95" cm="1">
        <f t="array" aca="1" ref="X52" ca="1">SUM(INDIRECT(ADDRESS(Ahorros_min_fila,COLUMN()) &amp; ":" &amp; ADDRESS(Ahorros_max_fila,COLUMN())))</f>
        <v>0</v>
      </c>
      <c r="Y52" s="95" cm="1">
        <f t="array" aca="1" ref="Y52" ca="1">SUM(INDIRECT(ADDRESS(Ahorros_min_fila,COLUMN()) &amp; ":" &amp; ADDRESS(Ahorros_max_fila,COLUMN())))</f>
        <v>0</v>
      </c>
      <c r="Z52" s="95" cm="1">
        <f t="array" aca="1" ref="Z52" ca="1">SUM(INDIRECT(ADDRESS(Ahorros_min_fila,COLUMN()) &amp; ":" &amp; ADDRESS(Ahorros_max_fila,COLUMN())))</f>
        <v>0</v>
      </c>
      <c r="AA52" s="95" cm="1">
        <f t="array" aca="1" ref="AA52" ca="1">SUM(INDIRECT(ADDRESS(Ahorros_min_fila,COLUMN()) &amp; ":" &amp; ADDRESS(Ahorros_max_fila,COLUMN())))</f>
        <v>0</v>
      </c>
      <c r="AB52" s="95" cm="1">
        <f t="array" aca="1" ref="AB52" ca="1">SUM(INDIRECT(ADDRESS(Ahorros_min_fila,COLUMN()) &amp; ":" &amp; ADDRESS(Ahorros_max_fila,COLUMN())))</f>
        <v>0</v>
      </c>
      <c r="AC52" s="95" cm="1">
        <f t="array" aca="1" ref="AC52" ca="1">SUM(INDIRECT(ADDRESS(Ahorros_min_fila,COLUMN()) &amp; ":" &amp; ADDRESS(Ahorros_max_fila,COLUMN())))</f>
        <v>0</v>
      </c>
      <c r="AD52" s="95" cm="1">
        <f t="array" aca="1" ref="AD52" ca="1">SUM(INDIRECT(ADDRESS(Ahorros_min_fila,COLUMN()) &amp; ":" &amp; ADDRESS(Ahorros_max_fila,COLUMN())))</f>
        <v>0</v>
      </c>
      <c r="AE52" s="95" cm="1">
        <f t="array" aca="1" ref="AE52" ca="1">SUM(INDIRECT(ADDRESS(Ahorros_min_fila,COLUMN()) &amp; ":" &amp; ADDRESS(Ahorros_max_fila,COLUMN())))</f>
        <v>0</v>
      </c>
      <c r="AG52" s="95" cm="1">
        <f t="array" aca="1" ref="AG52" ca="1">SUM(INDIRECT(ADDRESS(Ahorros_min_fila,COLUMN()) &amp; ":" &amp; ADDRESS(Ahorros_max_fila,COLUMN())))</f>
        <v>0</v>
      </c>
      <c r="AH52" s="95" cm="1">
        <f t="array" aca="1" ref="AH52" ca="1">SUM(INDIRECT(ADDRESS(Ahorros_min_fila,COLUMN()) &amp; ":" &amp; ADDRESS(Ahorros_max_fila,COLUMN())))</f>
        <v>0</v>
      </c>
      <c r="AI52" s="95" cm="1">
        <f t="array" aca="1" ref="AI52" ca="1">SUM(INDIRECT(ADDRESS(Ahorros_min_fila,COLUMN()) &amp; ":" &amp; ADDRESS(Ahorros_max_fila,COLUMN())))</f>
        <v>0</v>
      </c>
      <c r="AJ52" s="95" cm="1">
        <f t="array" aca="1" ref="AJ52" ca="1">SUM(INDIRECT(ADDRESS(Ahorros_min_fila,COLUMN()) &amp; ":" &amp; ADDRESS(Ahorros_max_fila,COLUMN())))</f>
        <v>0</v>
      </c>
      <c r="AK52" s="95" cm="1">
        <f t="array" aca="1" ref="AK52" ca="1">SUM(INDIRECT(ADDRESS(Ahorros_min_fila,COLUMN()) &amp; ":" &amp; ADDRESS(Ahorros_max_fila,COLUMN())))</f>
        <v>0</v>
      </c>
      <c r="AL52" s="95" cm="1">
        <f t="array" aca="1" ref="AL52" ca="1">SUM(INDIRECT(ADDRESS(Ahorros_min_fila,COLUMN()) &amp; ":" &amp; ADDRESS(Ahorros_max_fila,COLUMN())))</f>
        <v>0</v>
      </c>
      <c r="AM52" s="95" cm="1">
        <f t="array" aca="1" ref="AM52" ca="1">SUM(INDIRECT(ADDRESS(Ahorros_min_fila,COLUMN()) &amp; ":" &amp; ADDRESS(Ahorros_max_fila,COLUMN())))</f>
        <v>0</v>
      </c>
      <c r="AN52" s="95" cm="1">
        <f t="array" aca="1" ref="AN52" ca="1">SUM(INDIRECT(ADDRESS(Ahorros_min_fila,COLUMN()) &amp; ":" &amp; ADDRESS(Ahorros_max_fila,COLUMN())))</f>
        <v>0</v>
      </c>
      <c r="AO52" s="95" cm="1">
        <f t="array" aca="1" ref="AO52" ca="1">SUM(INDIRECT(ADDRESS(Ahorros_min_fila,COLUMN()) &amp; ":" &amp; ADDRESS(Ahorros_max_fila,COLUMN())))</f>
        <v>0</v>
      </c>
      <c r="AP52" s="95" cm="1">
        <f t="array" aca="1" ref="AP52" ca="1">SUM(INDIRECT(ADDRESS(Ahorros_min_fila,COLUMN()) &amp; ":" &amp; ADDRESS(Ahorros_max_fila,COLUMN())))</f>
        <v>0</v>
      </c>
      <c r="AQ52" s="95" cm="1">
        <f t="array" aca="1" ref="AQ52" ca="1">SUM(INDIRECT(ADDRESS(Ahorros_min_fila,COLUMN()) &amp; ":" &amp; ADDRESS(Ahorros_max_fila,COLUMN())))</f>
        <v>0</v>
      </c>
      <c r="AR52" s="95" cm="1">
        <f t="array" aca="1" ref="AR52" ca="1">SUM(INDIRECT(ADDRESS(Ahorros_min_fila,COLUMN()) &amp; ":" &amp; ADDRESS(Ahorros_max_fila,COLUMN())))</f>
        <v>0</v>
      </c>
      <c r="AS52" s="95" cm="1">
        <f t="array" aca="1" ref="AS52" ca="1">SUM(INDIRECT(ADDRESS(Ahorros_min_fila,COLUMN()) &amp; ":" &amp; ADDRESS(Ahorros_max_fila,COLUMN())))</f>
        <v>0</v>
      </c>
      <c r="AU52" s="95" cm="1">
        <f t="array" aca="1" ref="AU52" ca="1">SUM(INDIRECT(ADDRESS(Ahorros_min_fila,COLUMN()) &amp; ":" &amp; ADDRESS(Ahorros_max_fila,COLUMN())))</f>
        <v>0</v>
      </c>
      <c r="AV52" s="95" cm="1">
        <f t="array" aca="1" ref="AV52" ca="1">SUM(INDIRECT(ADDRESS(Ahorros_min_fila,COLUMN()) &amp; ":" &amp; ADDRESS(Ahorros_max_fila,COLUMN())))</f>
        <v>0</v>
      </c>
      <c r="AW52" s="95" cm="1">
        <f t="array" aca="1" ref="AW52" ca="1">SUM(INDIRECT(ADDRESS(Ahorros_min_fila,COLUMN()) &amp; ":" &amp; ADDRESS(Ahorros_max_fila,COLUMN())))</f>
        <v>0</v>
      </c>
      <c r="AX52" s="95" cm="1">
        <f t="array" aca="1" ref="AX52" ca="1">SUM(INDIRECT(ADDRESS(Ahorros_min_fila,COLUMN()) &amp; ":" &amp; ADDRESS(Ahorros_max_fila,COLUMN())))</f>
        <v>0</v>
      </c>
      <c r="AY52" s="95" cm="1">
        <f t="array" aca="1" ref="AY52" ca="1">SUM(INDIRECT(ADDRESS(Ahorros_min_fila,COLUMN()) &amp; ":" &amp; ADDRESS(Ahorros_max_fila,COLUMN())))</f>
        <v>0</v>
      </c>
      <c r="AZ52" s="95" cm="1">
        <f t="array" aca="1" ref="AZ52" ca="1">SUM(INDIRECT(ADDRESS(Ahorros_min_fila,COLUMN()) &amp; ":" &amp; ADDRESS(Ahorros_max_fila,COLUMN())))</f>
        <v>0</v>
      </c>
      <c r="BA52" s="95" cm="1">
        <f t="array" aca="1" ref="BA52" ca="1">SUM(INDIRECT(ADDRESS(Ahorros_min_fila,COLUMN()) &amp; ":" &amp; ADDRESS(Ahorros_max_fila,COLUMN())))</f>
        <v>0</v>
      </c>
      <c r="BB52" s="95" cm="1">
        <f t="array" aca="1" ref="BB52" ca="1">SUM(INDIRECT(ADDRESS(Ahorros_min_fila,COLUMN()) &amp; ":" &amp; ADDRESS(Ahorros_max_fila,COLUMN())))</f>
        <v>0</v>
      </c>
      <c r="BC52" s="95" cm="1">
        <f t="array" aca="1" ref="BC52" ca="1">SUM(INDIRECT(ADDRESS(Ahorros_min_fila,COLUMN()) &amp; ":" &amp; ADDRESS(Ahorros_max_fila,COLUMN())))</f>
        <v>0</v>
      </c>
      <c r="BD52" s="95" cm="1">
        <f t="array" aca="1" ref="BD52" ca="1">SUM(INDIRECT(ADDRESS(Ahorros_min_fila,COLUMN()) &amp; ":" &amp; ADDRESS(Ahorros_max_fila,COLUMN())))</f>
        <v>0</v>
      </c>
      <c r="BE52" s="95" cm="1">
        <f t="array" aca="1" ref="BE52" ca="1">SUM(INDIRECT(ADDRESS(Ahorros_min_fila,COLUMN()) &amp; ":" &amp; ADDRESS(Ahorros_max_fila,COLUMN())))</f>
        <v>0</v>
      </c>
      <c r="BF52" s="95" cm="1">
        <f t="array" aca="1" ref="BF52" ca="1">SUM(INDIRECT(ADDRESS(Ahorros_min_fila,COLUMN()) &amp; ":" &amp; ADDRESS(Ahorros_max_fila,COLUMN())))</f>
        <v>0</v>
      </c>
      <c r="BG52" s="95" cm="1">
        <f t="array" aca="1" ref="BG52" ca="1">SUM(INDIRECT(ADDRESS(Ahorros_min_fila,COLUMN()) &amp; ":" &amp; ADDRESS(Ahorros_max_fila,COLUMN())))</f>
        <v>0</v>
      </c>
      <c r="BI52" s="95" cm="1">
        <f t="array" aca="1" ref="BI52" ca="1">SUM(INDIRECT(ADDRESS(Ahorros_min_fila,COLUMN()) &amp; ":" &amp; ADDRESS(Ahorros_max_fila,COLUMN())))</f>
        <v>0</v>
      </c>
      <c r="BJ52" s="95" cm="1">
        <f t="array" aca="1" ref="BJ52" ca="1">SUM(INDIRECT(ADDRESS(Ahorros_min_fila,COLUMN()) &amp; ":" &amp; ADDRESS(Ahorros_max_fila,COLUMN())))</f>
        <v>0</v>
      </c>
      <c r="BK52" s="95" cm="1">
        <f t="array" aca="1" ref="BK52" ca="1">SUM(INDIRECT(ADDRESS(Ahorros_min_fila,COLUMN()) &amp; ":" &amp; ADDRESS(Ahorros_max_fila,COLUMN())))</f>
        <v>0</v>
      </c>
      <c r="BL52" s="95" cm="1">
        <f t="array" aca="1" ref="BL52" ca="1">SUM(INDIRECT(ADDRESS(Ahorros_min_fila,COLUMN()) &amp; ":" &amp; ADDRESS(Ahorros_max_fila,COLUMN())))</f>
        <v>0</v>
      </c>
      <c r="BM52" s="95" cm="1">
        <f t="array" aca="1" ref="BM52" ca="1">SUM(INDIRECT(ADDRESS(Ahorros_min_fila,COLUMN()) &amp; ":" &amp; ADDRESS(Ahorros_max_fila,COLUMN())))</f>
        <v>0</v>
      </c>
      <c r="BN52" s="95" cm="1">
        <f t="array" aca="1" ref="BN52" ca="1">SUM(INDIRECT(ADDRESS(Ahorros_min_fila,COLUMN()) &amp; ":" &amp; ADDRESS(Ahorros_max_fila,COLUMN())))</f>
        <v>0</v>
      </c>
      <c r="BO52" s="95" cm="1">
        <f t="array" aca="1" ref="BO52" ca="1">SUM(INDIRECT(ADDRESS(Ahorros_min_fila,COLUMN()) &amp; ":" &amp; ADDRESS(Ahorros_max_fila,COLUMN())))</f>
        <v>0</v>
      </c>
      <c r="BP52" s="95" cm="1">
        <f t="array" aca="1" ref="BP52" ca="1">SUM(INDIRECT(ADDRESS(Ahorros_min_fila,COLUMN()) &amp; ":" &amp; ADDRESS(Ahorros_max_fila,COLUMN())))</f>
        <v>0</v>
      </c>
      <c r="BQ52" s="95" cm="1">
        <f t="array" aca="1" ref="BQ52" ca="1">SUM(INDIRECT(ADDRESS(Ahorros_min_fila,COLUMN()) &amp; ":" &amp; ADDRESS(Ahorros_max_fila,COLUMN())))</f>
        <v>0</v>
      </c>
      <c r="BR52" s="95" cm="1">
        <f t="array" aca="1" ref="BR52" ca="1">SUM(INDIRECT(ADDRESS(Ahorros_min_fila,COLUMN()) &amp; ":" &amp; ADDRESS(Ahorros_max_fila,COLUMN())))</f>
        <v>0</v>
      </c>
      <c r="BS52" s="95" cm="1">
        <f t="array" aca="1" ref="BS52" ca="1">SUM(INDIRECT(ADDRESS(Ahorros_min_fila,COLUMN()) &amp; ":" &amp; ADDRESS(Ahorros_max_fila,COLUMN())))</f>
        <v>0</v>
      </c>
      <c r="BT52" s="95" cm="1">
        <f t="array" aca="1" ref="BT52" ca="1">SUM(INDIRECT(ADDRESS(Ahorros_min_fila,COLUMN()) &amp; ":" &amp; ADDRESS(Ahorros_max_fila,COLUMN())))</f>
        <v>0</v>
      </c>
      <c r="BU52" s="95" cm="1">
        <f t="array" aca="1" ref="BU52" ca="1">SUM(INDIRECT(ADDRESS(Ahorros_min_fila,COLUMN()) &amp; ":" &amp; ADDRESS(Ahorros_max_fila,COLUMN())))</f>
        <v>0</v>
      </c>
      <c r="BW52" s="95" cm="1">
        <f t="array" aca="1" ref="BW52" ca="1">SUM(INDIRECT(ADDRESS(Ahorros_min_fila,COLUMN()) &amp; ":" &amp; ADDRESS(Ahorros_max_fila,COLUMN())))</f>
        <v>0</v>
      </c>
      <c r="BX52" s="95" cm="1">
        <f t="array" aca="1" ref="BX52" ca="1">SUM(INDIRECT(ADDRESS(Ahorros_min_fila,COLUMN()) &amp; ":" &amp; ADDRESS(Ahorros_max_fila,COLUMN())))</f>
        <v>0</v>
      </c>
      <c r="BY52" s="95" cm="1">
        <f t="array" aca="1" ref="BY52" ca="1">SUM(INDIRECT(ADDRESS(Ahorros_min_fila,COLUMN()) &amp; ":" &amp; ADDRESS(Ahorros_max_fila,COLUMN())))</f>
        <v>0</v>
      </c>
      <c r="BZ52" s="95" cm="1">
        <f t="array" aca="1" ref="BZ52" ca="1">SUM(INDIRECT(ADDRESS(Ahorros_min_fila,COLUMN()) &amp; ":" &amp; ADDRESS(Ahorros_max_fila,COLUMN())))</f>
        <v>0</v>
      </c>
      <c r="CA52" s="95" cm="1">
        <f t="array" aca="1" ref="CA52" ca="1">SUM(INDIRECT(ADDRESS(Ahorros_min_fila,COLUMN()) &amp; ":" &amp; ADDRESS(Ahorros_max_fila,COLUMN())))</f>
        <v>0</v>
      </c>
      <c r="CB52" s="95" cm="1">
        <f t="array" aca="1" ref="CB52" ca="1">SUM(INDIRECT(ADDRESS(Ahorros_min_fila,COLUMN()) &amp; ":" &amp; ADDRESS(Ahorros_max_fila,COLUMN())))</f>
        <v>0</v>
      </c>
      <c r="CC52" s="95" cm="1">
        <f t="array" aca="1" ref="CC52" ca="1">SUM(INDIRECT(ADDRESS(Ahorros_min_fila,COLUMN()) &amp; ":" &amp; ADDRESS(Ahorros_max_fila,COLUMN())))</f>
        <v>0</v>
      </c>
      <c r="CD52" s="95" cm="1">
        <f t="array" aca="1" ref="CD52" ca="1">SUM(INDIRECT(ADDRESS(Ahorros_min_fila,COLUMN()) &amp; ":" &amp; ADDRESS(Ahorros_max_fila,COLUMN())))</f>
        <v>0</v>
      </c>
      <c r="CE52" s="95" cm="1">
        <f t="array" aca="1" ref="CE52" ca="1">SUM(INDIRECT(ADDRESS(Ahorros_min_fila,COLUMN()) &amp; ":" &amp; ADDRESS(Ahorros_max_fila,COLUMN())))</f>
        <v>0</v>
      </c>
      <c r="CF52" s="95" cm="1">
        <f t="array" aca="1" ref="CF52" ca="1">SUM(INDIRECT(ADDRESS(Ahorros_min_fila,COLUMN()) &amp; ":" &amp; ADDRESS(Ahorros_max_fila,COLUMN())))</f>
        <v>0</v>
      </c>
      <c r="CG52" s="95" cm="1">
        <f t="array" aca="1" ref="CG52" ca="1">SUM(INDIRECT(ADDRESS(Ahorros_min_fila,COLUMN()) &amp; ":" &amp; ADDRESS(Ahorros_max_fila,COLUMN())))</f>
        <v>0</v>
      </c>
      <c r="CH52" s="95" cm="1">
        <f t="array" aca="1" ref="CH52" ca="1">SUM(INDIRECT(ADDRESS(Ahorros_min_fila,COLUMN()) &amp; ":" &amp; ADDRESS(Ahorros_max_fila,COLUMN())))</f>
        <v>0</v>
      </c>
      <c r="CI52" s="95" cm="1">
        <f t="array" aca="1" ref="CI52" ca="1">SUM(INDIRECT(ADDRESS(Ahorros_min_fila,COLUMN()) &amp; ":" &amp; ADDRESS(Ahorros_max_fila,COLUMN())))</f>
        <v>0</v>
      </c>
      <c r="CK52" s="95" cm="1">
        <f t="array" aca="1" ref="CK52" ca="1">SUM(INDIRECT(ADDRESS(Ahorros_min_fila,COLUMN()) &amp; ":" &amp; ADDRESS(Ahorros_max_fila,COLUMN())))</f>
        <v>0</v>
      </c>
      <c r="CL52" s="95" cm="1">
        <f t="array" aca="1" ref="CL52" ca="1">SUM(INDIRECT(ADDRESS(Ahorros_min_fila,COLUMN()) &amp; ":" &amp; ADDRESS(Ahorros_max_fila,COLUMN())))</f>
        <v>0</v>
      </c>
      <c r="CM52" s="95" cm="1">
        <f t="array" aca="1" ref="CM52" ca="1">SUM(INDIRECT(ADDRESS(Ahorros_min_fila,COLUMN()) &amp; ":" &amp; ADDRESS(Ahorros_max_fila,COLUMN())))</f>
        <v>0</v>
      </c>
      <c r="CN52" s="95" cm="1">
        <f t="array" aca="1" ref="CN52" ca="1">SUM(INDIRECT(ADDRESS(Ahorros_min_fila,COLUMN()) &amp; ":" &amp; ADDRESS(Ahorros_max_fila,COLUMN())))</f>
        <v>0</v>
      </c>
      <c r="CO52" s="95" cm="1">
        <f t="array" aca="1" ref="CO52" ca="1">SUM(INDIRECT(ADDRESS(Ahorros_min_fila,COLUMN()) &amp; ":" &amp; ADDRESS(Ahorros_max_fila,COLUMN())))</f>
        <v>0</v>
      </c>
      <c r="CP52" s="95" cm="1">
        <f t="array" aca="1" ref="CP52" ca="1">SUM(INDIRECT(ADDRESS(Ahorros_min_fila,COLUMN()) &amp; ":" &amp; ADDRESS(Ahorros_max_fila,COLUMN())))</f>
        <v>0</v>
      </c>
      <c r="CQ52" s="95" cm="1">
        <f t="array" aca="1" ref="CQ52" ca="1">SUM(INDIRECT(ADDRESS(Ahorros_min_fila,COLUMN()) &amp; ":" &amp; ADDRESS(Ahorros_max_fila,COLUMN())))</f>
        <v>0</v>
      </c>
      <c r="CR52" s="95" cm="1">
        <f t="array" aca="1" ref="CR52" ca="1">SUM(INDIRECT(ADDRESS(Ahorros_min_fila,COLUMN()) &amp; ":" &amp; ADDRESS(Ahorros_max_fila,COLUMN())))</f>
        <v>0</v>
      </c>
      <c r="CS52" s="95" cm="1">
        <f t="array" aca="1" ref="CS52" ca="1">SUM(INDIRECT(ADDRESS(Ahorros_min_fila,COLUMN()) &amp; ":" &amp; ADDRESS(Ahorros_max_fila,COLUMN())))</f>
        <v>0</v>
      </c>
      <c r="CT52" s="95" cm="1">
        <f t="array" aca="1" ref="CT52" ca="1">SUM(INDIRECT(ADDRESS(Ahorros_min_fila,COLUMN()) &amp; ":" &amp; ADDRESS(Ahorros_max_fila,COLUMN())))</f>
        <v>0</v>
      </c>
      <c r="CU52" s="95" cm="1">
        <f t="array" aca="1" ref="CU52" ca="1">SUM(INDIRECT(ADDRESS(Ahorros_min_fila,COLUMN()) &amp; ":" &amp; ADDRESS(Ahorros_max_fila,COLUMN())))</f>
        <v>0</v>
      </c>
      <c r="CV52" s="95" cm="1">
        <f t="array" aca="1" ref="CV52" ca="1">SUM(INDIRECT(ADDRESS(Ahorros_min_fila,COLUMN()) &amp; ":" &amp; ADDRESS(Ahorros_max_fila,COLUMN())))</f>
        <v>0</v>
      </c>
      <c r="CW52" s="95" cm="1">
        <f t="array" aca="1" ref="CW52" ca="1">SUM(INDIRECT(ADDRESS(Ahorros_min_fila,COLUMN()) &amp; ":" &amp; ADDRESS(Ahorros_max_fila,COLUMN())))</f>
        <v>0</v>
      </c>
      <c r="CY52" s="95" cm="1">
        <f t="array" aca="1" ref="CY52" ca="1">SUM(INDIRECT(ADDRESS(Ahorros_min_fila,COLUMN()) &amp; ":" &amp; ADDRESS(Ahorros_max_fila,COLUMN())))</f>
        <v>0</v>
      </c>
      <c r="CZ52" s="95" cm="1">
        <f t="array" aca="1" ref="CZ52" ca="1">SUM(INDIRECT(ADDRESS(Ahorros_min_fila,COLUMN()) &amp; ":" &amp; ADDRESS(Ahorros_max_fila,COLUMN())))</f>
        <v>0</v>
      </c>
      <c r="DA52" s="95" cm="1">
        <f t="array" aca="1" ref="DA52" ca="1">SUM(INDIRECT(ADDRESS(Ahorros_min_fila,COLUMN()) &amp; ":" &amp; ADDRESS(Ahorros_max_fila,COLUMN())))</f>
        <v>0</v>
      </c>
      <c r="DB52" s="95" cm="1">
        <f t="array" aca="1" ref="DB52" ca="1">SUM(INDIRECT(ADDRESS(Ahorros_min_fila,COLUMN()) &amp; ":" &amp; ADDRESS(Ahorros_max_fila,COLUMN())))</f>
        <v>0</v>
      </c>
      <c r="DC52" s="95" cm="1">
        <f t="array" aca="1" ref="DC52" ca="1">SUM(INDIRECT(ADDRESS(Ahorros_min_fila,COLUMN()) &amp; ":" &amp; ADDRESS(Ahorros_max_fila,COLUMN())))</f>
        <v>0</v>
      </c>
      <c r="DD52" s="95" cm="1">
        <f t="array" aca="1" ref="DD52" ca="1">SUM(INDIRECT(ADDRESS(Ahorros_min_fila,COLUMN()) &amp; ":" &amp; ADDRESS(Ahorros_max_fila,COLUMN())))</f>
        <v>0</v>
      </c>
      <c r="DE52" s="95" cm="1">
        <f t="array" aca="1" ref="DE52" ca="1">SUM(INDIRECT(ADDRESS(Ahorros_min_fila,COLUMN()) &amp; ":" &amp; ADDRESS(Ahorros_max_fila,COLUMN())))</f>
        <v>0</v>
      </c>
      <c r="DF52" s="95" cm="1">
        <f t="array" aca="1" ref="DF52" ca="1">SUM(INDIRECT(ADDRESS(Ahorros_min_fila,COLUMN()) &amp; ":" &amp; ADDRESS(Ahorros_max_fila,COLUMN())))</f>
        <v>0</v>
      </c>
      <c r="DG52" s="95" cm="1">
        <f t="array" aca="1" ref="DG52" ca="1">SUM(INDIRECT(ADDRESS(Ahorros_min_fila,COLUMN()) &amp; ":" &amp; ADDRESS(Ahorros_max_fila,COLUMN())))</f>
        <v>0</v>
      </c>
      <c r="DH52" s="95" cm="1">
        <f t="array" aca="1" ref="DH52" ca="1">SUM(INDIRECT(ADDRESS(Ahorros_min_fila,COLUMN()) &amp; ":" &amp; ADDRESS(Ahorros_max_fila,COLUMN())))</f>
        <v>0</v>
      </c>
      <c r="DI52" s="95" cm="1">
        <f t="array" aca="1" ref="DI52" ca="1">SUM(INDIRECT(ADDRESS(Ahorros_min_fila,COLUMN()) &amp; ":" &amp; ADDRESS(Ahorros_max_fila,COLUMN())))</f>
        <v>0</v>
      </c>
      <c r="DJ52" s="95" cm="1">
        <f t="array" aca="1" ref="DJ52" ca="1">SUM(INDIRECT(ADDRESS(Ahorros_min_fila,COLUMN()) &amp; ":" &amp; ADDRESS(Ahorros_max_fila,COLUMN())))</f>
        <v>0</v>
      </c>
      <c r="DK52" s="95" cm="1">
        <f t="array" aca="1" ref="DK52" ca="1">SUM(INDIRECT(ADDRESS(Ahorros_min_fila,COLUMN()) &amp; ":" &amp; ADDRESS(Ahorros_max_fila,COLUMN())))</f>
        <v>0</v>
      </c>
      <c r="DM52" s="95" cm="1">
        <f t="array" aca="1" ref="DM52" ca="1">SUM(INDIRECT(ADDRESS(Ahorros_min_fila,COLUMN()) &amp; ":" &amp; ADDRESS(Ahorros_max_fila,COLUMN())))</f>
        <v>0</v>
      </c>
      <c r="DN52" s="95" cm="1">
        <f t="array" aca="1" ref="DN52" ca="1">SUM(INDIRECT(ADDRESS(Ahorros_min_fila,COLUMN()) &amp; ":" &amp; ADDRESS(Ahorros_max_fila,COLUMN())))</f>
        <v>0</v>
      </c>
      <c r="DO52" s="95" cm="1">
        <f t="array" aca="1" ref="DO52" ca="1">SUM(INDIRECT(ADDRESS(Ahorros_min_fila,COLUMN()) &amp; ":" &amp; ADDRESS(Ahorros_max_fila,COLUMN())))</f>
        <v>0</v>
      </c>
      <c r="DP52" s="95" cm="1">
        <f t="array" aca="1" ref="DP52" ca="1">SUM(INDIRECT(ADDRESS(Ahorros_min_fila,COLUMN()) &amp; ":" &amp; ADDRESS(Ahorros_max_fila,COLUMN())))</f>
        <v>0</v>
      </c>
      <c r="DQ52" s="95" cm="1">
        <f t="array" aca="1" ref="DQ52" ca="1">SUM(INDIRECT(ADDRESS(Ahorros_min_fila,COLUMN()) &amp; ":" &amp; ADDRESS(Ahorros_max_fila,COLUMN())))</f>
        <v>0</v>
      </c>
      <c r="DR52" s="95" cm="1">
        <f t="array" aca="1" ref="DR52" ca="1">SUM(INDIRECT(ADDRESS(Ahorros_min_fila,COLUMN()) &amp; ":" &amp; ADDRESS(Ahorros_max_fila,COLUMN())))</f>
        <v>0</v>
      </c>
      <c r="DS52" s="95" cm="1">
        <f t="array" aca="1" ref="DS52" ca="1">SUM(INDIRECT(ADDRESS(Ahorros_min_fila,COLUMN()) &amp; ":" &amp; ADDRESS(Ahorros_max_fila,COLUMN())))</f>
        <v>0</v>
      </c>
      <c r="DT52" s="95" cm="1">
        <f t="array" aca="1" ref="DT52" ca="1">SUM(INDIRECT(ADDRESS(Ahorros_min_fila,COLUMN()) &amp; ":" &amp; ADDRESS(Ahorros_max_fila,COLUMN())))</f>
        <v>0</v>
      </c>
      <c r="DU52" s="95" cm="1">
        <f t="array" aca="1" ref="DU52" ca="1">SUM(INDIRECT(ADDRESS(Ahorros_min_fila,COLUMN()) &amp; ":" &amp; ADDRESS(Ahorros_max_fila,COLUMN())))</f>
        <v>0</v>
      </c>
      <c r="DV52" s="95" cm="1">
        <f t="array" aca="1" ref="DV52" ca="1">SUM(INDIRECT(ADDRESS(Ahorros_min_fila,COLUMN()) &amp; ":" &amp; ADDRESS(Ahorros_max_fila,COLUMN())))</f>
        <v>0</v>
      </c>
      <c r="DW52" s="95" cm="1">
        <f t="array" aca="1" ref="DW52" ca="1">SUM(INDIRECT(ADDRESS(Ahorros_min_fila,COLUMN()) &amp; ":" &amp; ADDRESS(Ahorros_max_fila,COLUMN())))</f>
        <v>0</v>
      </c>
      <c r="DX52" s="95" cm="1">
        <f t="array" aca="1" ref="DX52" ca="1">SUM(INDIRECT(ADDRESS(Ahorros_min_fila,COLUMN()) &amp; ":" &amp; ADDRESS(Ahorros_max_fila,COLUMN())))</f>
        <v>0</v>
      </c>
      <c r="DY52" s="95" cm="1">
        <f t="array" aca="1" ref="DY52" ca="1">SUM(INDIRECT(ADDRESS(Ahorros_min_fila,COLUMN()) &amp; ":" &amp; ADDRESS(Ahorros_max_fila,COLUMN())))</f>
        <v>0</v>
      </c>
      <c r="EA52" s="95" cm="1">
        <f t="array" aca="1" ref="EA52" ca="1">SUM(INDIRECT(ADDRESS(Ahorros_min_fila,COLUMN()) &amp; ":" &amp; ADDRESS(Ahorros_max_fila,COLUMN())))</f>
        <v>0</v>
      </c>
      <c r="EB52" s="95" cm="1">
        <f t="array" aca="1" ref="EB52" ca="1">SUM(INDIRECT(ADDRESS(Ahorros_min_fila,COLUMN()) &amp; ":" &amp; ADDRESS(Ahorros_max_fila,COLUMN())))</f>
        <v>0</v>
      </c>
      <c r="EC52" s="95" cm="1">
        <f t="array" aca="1" ref="EC52" ca="1">SUM(INDIRECT(ADDRESS(Ahorros_min_fila,COLUMN()) &amp; ":" &amp; ADDRESS(Ahorros_max_fila,COLUMN())))</f>
        <v>0</v>
      </c>
      <c r="ED52" s="95" cm="1">
        <f t="array" aca="1" ref="ED52" ca="1">SUM(INDIRECT(ADDRESS(Ahorros_min_fila,COLUMN()) &amp; ":" &amp; ADDRESS(Ahorros_max_fila,COLUMN())))</f>
        <v>0</v>
      </c>
      <c r="EE52" s="95" cm="1">
        <f t="array" aca="1" ref="EE52" ca="1">SUM(INDIRECT(ADDRESS(Ahorros_min_fila,COLUMN()) &amp; ":" &amp; ADDRESS(Ahorros_max_fila,COLUMN())))</f>
        <v>0</v>
      </c>
      <c r="EF52" s="95" cm="1">
        <f t="array" aca="1" ref="EF52" ca="1">SUM(INDIRECT(ADDRESS(Ahorros_min_fila,COLUMN()) &amp; ":" &amp; ADDRESS(Ahorros_max_fila,COLUMN())))</f>
        <v>0</v>
      </c>
      <c r="EG52" s="95" cm="1">
        <f t="array" aca="1" ref="EG52" ca="1">SUM(INDIRECT(ADDRESS(Ahorros_min_fila,COLUMN()) &amp; ":" &amp; ADDRESS(Ahorros_max_fila,COLUMN())))</f>
        <v>0</v>
      </c>
      <c r="EH52" s="95" cm="1">
        <f t="array" aca="1" ref="EH52" ca="1">SUM(INDIRECT(ADDRESS(Ahorros_min_fila,COLUMN()) &amp; ":" &amp; ADDRESS(Ahorros_max_fila,COLUMN())))</f>
        <v>0</v>
      </c>
      <c r="EI52" s="95" cm="1">
        <f t="array" aca="1" ref="EI52" ca="1">SUM(INDIRECT(ADDRESS(Ahorros_min_fila,COLUMN()) &amp; ":" &amp; ADDRESS(Ahorros_max_fila,COLUMN())))</f>
        <v>0</v>
      </c>
      <c r="EJ52" s="95" cm="1">
        <f t="array" aca="1" ref="EJ52" ca="1">SUM(INDIRECT(ADDRESS(Ahorros_min_fila,COLUMN()) &amp; ":" &amp; ADDRESS(Ahorros_max_fila,COLUMN())))</f>
        <v>0</v>
      </c>
      <c r="EK52" s="95" cm="1">
        <f t="array" aca="1" ref="EK52" ca="1">SUM(INDIRECT(ADDRESS(Ahorros_min_fila,COLUMN()) &amp; ":" &amp; ADDRESS(Ahorros_max_fila,COLUMN())))</f>
        <v>0</v>
      </c>
      <c r="EL52" s="95" cm="1">
        <f t="array" aca="1" ref="EL52" ca="1">SUM(INDIRECT(ADDRESS(Ahorros_min_fila,COLUMN()) &amp; ":" &amp; ADDRESS(Ahorros_max_fila,COLUMN())))</f>
        <v>0</v>
      </c>
      <c r="EM52" s="95" cm="1">
        <f t="array" aca="1" ref="EM52" ca="1">SUM(INDIRECT(ADDRESS(Ahorros_min_fila,COLUMN()) &amp; ":" &amp; ADDRESS(Ahorros_max_fila,COLUMN())))</f>
        <v>0</v>
      </c>
      <c r="EO52" s="95" cm="1">
        <f t="array" aca="1" ref="EO52" ca="1">SUM(INDIRECT(ADDRESS(Ahorros_min_fila,COLUMN()) &amp; ":" &amp; ADDRESS(Ahorros_max_fila,COLUMN())))</f>
        <v>0</v>
      </c>
      <c r="EP52" s="95" cm="1">
        <f t="array" aca="1" ref="EP52" ca="1">SUM(INDIRECT(ADDRESS(Ahorros_min_fila,COLUMN()) &amp; ":" &amp; ADDRESS(Ahorros_max_fila,COLUMN())))</f>
        <v>0</v>
      </c>
      <c r="EQ52" s="95" cm="1">
        <f t="array" aca="1" ref="EQ52" ca="1">SUM(INDIRECT(ADDRESS(Ahorros_min_fila,COLUMN()) &amp; ":" &amp; ADDRESS(Ahorros_max_fila,COLUMN())))</f>
        <v>0</v>
      </c>
      <c r="ER52" s="95" cm="1">
        <f t="array" aca="1" ref="ER52" ca="1">SUM(INDIRECT(ADDRESS(Ahorros_min_fila,COLUMN()) &amp; ":" &amp; ADDRESS(Ahorros_max_fila,COLUMN())))</f>
        <v>0</v>
      </c>
      <c r="ES52" s="95" cm="1">
        <f t="array" aca="1" ref="ES52" ca="1">SUM(INDIRECT(ADDRESS(Ahorros_min_fila,COLUMN()) &amp; ":" &amp; ADDRESS(Ahorros_max_fila,COLUMN())))</f>
        <v>0</v>
      </c>
      <c r="ET52" s="95" cm="1">
        <f t="array" aca="1" ref="ET52" ca="1">SUM(INDIRECT(ADDRESS(Ahorros_min_fila,COLUMN()) &amp; ":" &amp; ADDRESS(Ahorros_max_fila,COLUMN())))</f>
        <v>0</v>
      </c>
      <c r="EU52" s="95" cm="1">
        <f t="array" aca="1" ref="EU52" ca="1">SUM(INDIRECT(ADDRESS(Ahorros_min_fila,COLUMN()) &amp; ":" &amp; ADDRESS(Ahorros_max_fila,COLUMN())))</f>
        <v>0</v>
      </c>
      <c r="EV52" s="95" cm="1">
        <f t="array" aca="1" ref="EV52" ca="1">SUM(INDIRECT(ADDRESS(Ahorros_min_fila,COLUMN()) &amp; ":" &amp; ADDRESS(Ahorros_max_fila,COLUMN())))</f>
        <v>0</v>
      </c>
      <c r="EW52" s="95" cm="1">
        <f t="array" aca="1" ref="EW52" ca="1">SUM(INDIRECT(ADDRESS(Ahorros_min_fila,COLUMN()) &amp; ":" &amp; ADDRESS(Ahorros_max_fila,COLUMN())))</f>
        <v>0</v>
      </c>
      <c r="EX52" s="95" cm="1">
        <f t="array" aca="1" ref="EX52" ca="1">SUM(INDIRECT(ADDRESS(Ahorros_min_fila,COLUMN()) &amp; ":" &amp; ADDRESS(Ahorros_max_fila,COLUMN())))</f>
        <v>0</v>
      </c>
      <c r="EY52" s="95" cm="1">
        <f t="array" aca="1" ref="EY52" ca="1">SUM(INDIRECT(ADDRESS(Ahorros_min_fila,COLUMN()) &amp; ":" &amp; ADDRESS(Ahorros_max_fila,COLUMN())))</f>
        <v>0</v>
      </c>
      <c r="EZ52" s="95" cm="1">
        <f t="array" aca="1" ref="EZ52" ca="1">SUM(INDIRECT(ADDRESS(Ahorros_min_fila,COLUMN()) &amp; ":" &amp; ADDRESS(Ahorros_max_fila,COLUMN())))</f>
        <v>0</v>
      </c>
      <c r="FA52" s="95" cm="1">
        <f t="array" aca="1" ref="FA52" ca="1">SUM(INDIRECT(ADDRESS(Ahorros_min_fila,COLUMN()) &amp; ":" &amp; ADDRESS(Ahorros_max_fila,COLUMN())))</f>
        <v>0</v>
      </c>
    </row>
    <row r="55" spans="3:157" x14ac:dyDescent="0.3">
      <c r="W55" s="49"/>
    </row>
    <row r="56" spans="3:157" x14ac:dyDescent="0.3">
      <c r="W56" s="49"/>
    </row>
  </sheetData>
  <mergeCells count="11">
    <mergeCell ref="E5:Q5"/>
    <mergeCell ref="CY5:DK5"/>
    <mergeCell ref="DM5:DY5"/>
    <mergeCell ref="EA5:EM5"/>
    <mergeCell ref="S5:AE5"/>
    <mergeCell ref="EO5:FA5"/>
    <mergeCell ref="AG5:AS5"/>
    <mergeCell ref="AU5:BG5"/>
    <mergeCell ref="BI5:BU5"/>
    <mergeCell ref="BW5:CI5"/>
    <mergeCell ref="CK5:CW5"/>
  </mergeCells>
  <phoneticPr fontId="19" type="noConversion"/>
  <conditionalFormatting sqref="E10:Q19 S10:AE19 AG10:AS19 AU10:BG19 BI10:BU19 BW10:CI19 CK10:CW19 CY10:DK19 DM10:DY19 EA10:EM19 EO10:FA19 C10:C19">
    <cfRule type="expression" dxfId="67" priority="59" stopIfTrue="1">
      <formula>ROW(C10)&lt;=Ingresos_max_fila</formula>
    </cfRule>
  </conditionalFormatting>
  <conditionalFormatting sqref="C23:C36 AG23:AS36 S23:AE36 E23:Q36 AU23:BG36 BI23:BU36 BW23:CI36 CK23:CW36 CY23:DK36 DM23:DY36 EA23:EM36 EO23:FA36">
    <cfRule type="expression" dxfId="66" priority="58" stopIfTrue="1">
      <formula>ROW(C23)&lt;=Gastos_max_fila</formula>
    </cfRule>
  </conditionalFormatting>
  <conditionalFormatting sqref="C43:C51 E43:Q51 EA43:EM51 EO43:FA51 DM43:DY51 CY43:DK51 CK43:CW51 BW43:CI51 BI43:BU51 AU43:BG51 S43:AE51 AG43:AS51">
    <cfRule type="expression" dxfId="65" priority="57">
      <formula>ROW(C43)&lt;=Ahorros_max_fila</formula>
    </cfRule>
  </conditionalFormatting>
  <conditionalFormatting sqref="E7:Q7 S7:AE7">
    <cfRule type="expression" dxfId="64" priority="49">
      <formula>E7&lt;0</formula>
    </cfRule>
    <cfRule type="expression" dxfId="63" priority="50">
      <formula>E7&gt;0</formula>
    </cfRule>
  </conditionalFormatting>
  <conditionalFormatting sqref="AG7:AS7">
    <cfRule type="expression" dxfId="62" priority="44">
      <formula>AG7&lt;0</formula>
    </cfRule>
    <cfRule type="expression" dxfId="61" priority="45">
      <formula>AG7&gt;0</formula>
    </cfRule>
  </conditionalFormatting>
  <conditionalFormatting sqref="AU7:BG7">
    <cfRule type="expression" dxfId="60" priority="39">
      <formula>AU7&lt;0</formula>
    </cfRule>
    <cfRule type="expression" dxfId="59" priority="40">
      <formula>AU7&gt;0</formula>
    </cfRule>
  </conditionalFormatting>
  <conditionalFormatting sqref="BI7:BU7">
    <cfRule type="expression" dxfId="58" priority="34">
      <formula>BI7&lt;0</formula>
    </cfRule>
    <cfRule type="expression" dxfId="57" priority="35">
      <formula>BI7&gt;0</formula>
    </cfRule>
  </conditionalFormatting>
  <conditionalFormatting sqref="BW7:CI7">
    <cfRule type="expression" dxfId="56" priority="29">
      <formula>BW7&lt;0</formula>
    </cfRule>
    <cfRule type="expression" dxfId="55" priority="30">
      <formula>BW7&gt;0</formula>
    </cfRule>
  </conditionalFormatting>
  <conditionalFormatting sqref="CK7:CW7">
    <cfRule type="expression" dxfId="54" priority="24">
      <formula>CK7&lt;0</formula>
    </cfRule>
    <cfRule type="expression" dxfId="53" priority="25">
      <formula>CK7&gt;0</formula>
    </cfRule>
  </conditionalFormatting>
  <conditionalFormatting sqref="CY7:DK7">
    <cfRule type="expression" dxfId="52" priority="19">
      <formula>CY7&lt;0</formula>
    </cfRule>
    <cfRule type="expression" dxfId="51" priority="20">
      <formula>CY7&gt;0</formula>
    </cfRule>
  </conditionalFormatting>
  <conditionalFormatting sqref="DM7:DY7">
    <cfRule type="expression" dxfId="50" priority="14">
      <formula>DM7&lt;0</formula>
    </cfRule>
    <cfRule type="expression" dxfId="49" priority="15">
      <formula>DM7&gt;0</formula>
    </cfRule>
  </conditionalFormatting>
  <conditionalFormatting sqref="EA7:EM7">
    <cfRule type="expression" dxfId="48" priority="9">
      <formula>EA7&lt;0</formula>
    </cfRule>
    <cfRule type="expression" dxfId="47" priority="10">
      <formula>EA7&gt;0</formula>
    </cfRule>
  </conditionalFormatting>
  <conditionalFormatting sqref="EO7:FA7">
    <cfRule type="expression" dxfId="46" priority="4">
      <formula>EO7&lt;0</formula>
    </cfRule>
    <cfRule type="expression" dxfId="45" priority="5">
      <formula>EO7&gt;0</formula>
    </cfRule>
  </conditionalFormatting>
  <conditionalFormatting sqref="AG40:AR40 AU40:BF40 BI40:BT40 BW40:CH40 CK40:CV40 CY40:DJ40 DM40:DX40 EA40:EL40 EO40:EZ40 E40:P40 S40:AD40">
    <cfRule type="cellIs" dxfId="44" priority="1" operator="lessThan">
      <formula>0</formula>
    </cfRule>
    <cfRule type="cellIs" dxfId="43" priority="2" operator="greaterThan">
      <formula>0</formula>
    </cfRule>
    <cfRule type="cellIs" dxfId="42" priority="3" operator="greaterThan">
      <formula>0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E722C-585C-5346-B881-E5D634D73F6F}">
  <sheetPr codeName="Hoja4"/>
  <dimension ref="B1:I1110"/>
  <sheetViews>
    <sheetView showGridLines="0" topLeftCell="B1" zoomScaleNormal="100" workbookViewId="0">
      <selection activeCell="J13" sqref="J13"/>
    </sheetView>
  </sheetViews>
  <sheetFormatPr baseColWidth="10" defaultColWidth="10.69921875" defaultRowHeight="15.6" x14ac:dyDescent="0.3"/>
  <cols>
    <col min="3" max="6" width="29.19921875" customWidth="1"/>
    <col min="7" max="7" width="55" customWidth="1"/>
    <col min="8" max="8" width="27.69921875" hidden="1" customWidth="1"/>
    <col min="9" max="9" width="21.19921875" hidden="1" customWidth="1"/>
  </cols>
  <sheetData>
    <row r="1" spans="3:9" s="1" customFormat="1" x14ac:dyDescent="0.3"/>
    <row r="2" spans="3:9" s="1" customFormat="1" ht="28.8" x14ac:dyDescent="0.55000000000000004">
      <c r="C2" s="13" t="s">
        <v>25</v>
      </c>
    </row>
    <row r="3" spans="3:9" s="1" customFormat="1" x14ac:dyDescent="0.3"/>
    <row r="11" spans="3:9" x14ac:dyDescent="0.3">
      <c r="C11" s="15" t="s">
        <v>19</v>
      </c>
      <c r="D11" s="15" t="s">
        <v>20</v>
      </c>
      <c r="E11" s="15" t="s">
        <v>21</v>
      </c>
      <c r="F11" s="15" t="s">
        <v>22</v>
      </c>
      <c r="G11" s="15" t="s">
        <v>23</v>
      </c>
      <c r="H11" s="15" t="s">
        <v>61</v>
      </c>
      <c r="I11" s="15" t="s">
        <v>62</v>
      </c>
    </row>
    <row r="12" spans="3:9" x14ac:dyDescent="0.3">
      <c r="C12" s="37"/>
      <c r="D12" s="37"/>
      <c r="E12" s="37"/>
      <c r="F12" s="37"/>
      <c r="G12" s="37"/>
      <c r="H12" s="38">
        <f>MONTH(Libro_Diario[[#This Row],[Fecha]])</f>
        <v>1</v>
      </c>
      <c r="I12" s="38">
        <f>YEAR(Libro_Diario[[#This Row],[Fecha]])</f>
        <v>1900</v>
      </c>
    </row>
    <row r="13" spans="3:9" x14ac:dyDescent="0.3">
      <c r="C13" s="37"/>
      <c r="D13" s="37"/>
      <c r="E13" s="37"/>
      <c r="F13" s="39"/>
      <c r="G13" s="41"/>
      <c r="H13" s="38" t="e">
        <f>MONTH(Libro_Diario[[#This Row],[Fecha]])</f>
        <v>#VALUE!</v>
      </c>
      <c r="I13" s="38" t="e">
        <f>YEAR(Libro_Diario[[#This Row],[Fecha]])</f>
        <v>#VALUE!</v>
      </c>
    </row>
    <row r="14" spans="3:9" x14ac:dyDescent="0.3">
      <c r="C14" s="37"/>
      <c r="D14" s="38"/>
      <c r="E14" s="38"/>
      <c r="F14" s="39"/>
      <c r="G14" s="40"/>
      <c r="H14" s="38" t="e">
        <f>MONTH(Libro_Diario[[#This Row],[Fecha]])</f>
        <v>#VALUE!</v>
      </c>
      <c r="I14" s="38" t="e">
        <f>YEAR(Libro_Diario[[#This Row],[Fecha]])</f>
        <v>#VALUE!</v>
      </c>
    </row>
    <row r="15" spans="3:9" x14ac:dyDescent="0.3">
      <c r="C15" s="37"/>
      <c r="D15" s="38"/>
      <c r="E15" s="38"/>
      <c r="F15" s="39"/>
      <c r="G15" s="40"/>
      <c r="H15" s="38" t="e">
        <f>MONTH(Libro_Diario[[#This Row],[Fecha]])</f>
        <v>#VALUE!</v>
      </c>
      <c r="I15" s="38" t="e">
        <f>YEAR(Libro_Diario[[#This Row],[Fecha]])</f>
        <v>#VALUE!</v>
      </c>
    </row>
    <row r="16" spans="3:9" x14ac:dyDescent="0.3">
      <c r="C16" s="37"/>
      <c r="D16" s="38"/>
      <c r="E16" s="38"/>
      <c r="F16" s="39"/>
      <c r="G16" s="40"/>
      <c r="H16" s="38" t="e">
        <f>MONTH(Libro_Diario[[#This Row],[Fecha]])</f>
        <v>#VALUE!</v>
      </c>
      <c r="I16" s="38" t="e">
        <f>YEAR(Libro_Diario[[#This Row],[Fecha]])</f>
        <v>#VALUE!</v>
      </c>
    </row>
    <row r="17" spans="3:9" x14ac:dyDescent="0.3">
      <c r="C17" s="37"/>
      <c r="D17" s="38"/>
      <c r="E17" s="38"/>
      <c r="F17" s="39"/>
      <c r="G17" s="40"/>
      <c r="H17" s="38" t="e">
        <f>MONTH(Libro_Diario[[#This Row],[Fecha]])</f>
        <v>#VALUE!</v>
      </c>
      <c r="I17" s="38" t="e">
        <f>YEAR(Libro_Diario[[#This Row],[Fecha]])</f>
        <v>#VALUE!</v>
      </c>
    </row>
    <row r="18" spans="3:9" x14ac:dyDescent="0.3">
      <c r="C18" s="37"/>
      <c r="D18" s="38"/>
      <c r="E18" s="38"/>
      <c r="F18" s="39"/>
      <c r="G18" s="40"/>
      <c r="H18" s="38" t="e">
        <f>MONTH(Libro_Diario[[#This Row],[Fecha]])</f>
        <v>#VALUE!</v>
      </c>
      <c r="I18" s="38" t="e">
        <f>YEAR(Libro_Diario[[#This Row],[Fecha]])</f>
        <v>#VALUE!</v>
      </c>
    </row>
    <row r="19" spans="3:9" x14ac:dyDescent="0.3">
      <c r="C19" s="37"/>
      <c r="D19" s="38"/>
      <c r="E19" s="38"/>
      <c r="F19" s="39"/>
      <c r="G19" s="40"/>
      <c r="H19" s="38" t="e">
        <f>MONTH(Libro_Diario[[#This Row],[Fecha]])</f>
        <v>#VALUE!</v>
      </c>
      <c r="I19" s="38" t="e">
        <f>YEAR(Libro_Diario[[#This Row],[Fecha]])</f>
        <v>#VALUE!</v>
      </c>
    </row>
    <row r="20" spans="3:9" x14ac:dyDescent="0.3">
      <c r="C20" s="37"/>
      <c r="D20" s="38"/>
      <c r="E20" s="38"/>
      <c r="F20" s="39"/>
      <c r="G20" s="40"/>
      <c r="H20" s="38" t="e">
        <f>MONTH(Libro_Diario[[#This Row],[Fecha]])</f>
        <v>#VALUE!</v>
      </c>
      <c r="I20" s="38" t="e">
        <f>YEAR(Libro_Diario[[#This Row],[Fecha]])</f>
        <v>#VALUE!</v>
      </c>
    </row>
    <row r="21" spans="3:9" x14ac:dyDescent="0.3">
      <c r="C21" s="37"/>
      <c r="D21" s="38"/>
      <c r="E21" s="38"/>
      <c r="F21" s="39"/>
      <c r="G21" s="40"/>
      <c r="H21" s="38" t="e">
        <f>MONTH(Libro_Diario[[#This Row],[Fecha]])</f>
        <v>#VALUE!</v>
      </c>
      <c r="I21" s="38" t="e">
        <f>YEAR(Libro_Diario[[#This Row],[Fecha]])</f>
        <v>#VALUE!</v>
      </c>
    </row>
    <row r="22" spans="3:9" x14ac:dyDescent="0.3">
      <c r="C22" s="37"/>
      <c r="D22" s="38"/>
      <c r="E22" s="38"/>
      <c r="F22" s="39"/>
      <c r="G22" s="40"/>
      <c r="H22" s="38" t="e">
        <f>MONTH(Libro_Diario[[#This Row],[Fecha]])</f>
        <v>#VALUE!</v>
      </c>
      <c r="I22" s="38" t="e">
        <f>YEAR(Libro_Diario[[#This Row],[Fecha]])</f>
        <v>#VALUE!</v>
      </c>
    </row>
    <row r="23" spans="3:9" x14ac:dyDescent="0.3">
      <c r="C23" s="37"/>
      <c r="D23" s="38"/>
      <c r="E23" s="38"/>
      <c r="F23" s="39"/>
      <c r="G23" s="40"/>
      <c r="H23" s="38" t="e">
        <f>MONTH(Libro_Diario[[#This Row],[Fecha]])</f>
        <v>#VALUE!</v>
      </c>
      <c r="I23" s="38" t="e">
        <f>YEAR(Libro_Diario[[#This Row],[Fecha]])</f>
        <v>#VALUE!</v>
      </c>
    </row>
    <row r="24" spans="3:9" x14ac:dyDescent="0.3">
      <c r="C24" s="37"/>
      <c r="D24" s="38"/>
      <c r="E24" s="38"/>
      <c r="F24" s="39"/>
      <c r="G24" s="40"/>
      <c r="H24" s="38" t="e">
        <f>MONTH(Libro_Diario[[#This Row],[Fecha]])</f>
        <v>#VALUE!</v>
      </c>
      <c r="I24" s="38" t="e">
        <f>YEAR(Libro_Diario[[#This Row],[Fecha]])</f>
        <v>#VALUE!</v>
      </c>
    </row>
    <row r="25" spans="3:9" x14ac:dyDescent="0.3">
      <c r="C25" s="37"/>
      <c r="D25" s="38"/>
      <c r="E25" s="38"/>
      <c r="F25" s="39"/>
      <c r="G25" s="40"/>
      <c r="H25" s="38" t="e">
        <f>MONTH(Libro_Diario[[#This Row],[Fecha]])</f>
        <v>#VALUE!</v>
      </c>
      <c r="I25" s="38" t="e">
        <f>YEAR(Libro_Diario[[#This Row],[Fecha]])</f>
        <v>#VALUE!</v>
      </c>
    </row>
    <row r="26" spans="3:9" x14ac:dyDescent="0.3">
      <c r="C26" s="37"/>
      <c r="D26" s="38"/>
      <c r="E26" s="38"/>
      <c r="F26" s="39"/>
      <c r="G26" s="40"/>
      <c r="H26" s="38" t="e">
        <f>MONTH(Libro_Diario[[#This Row],[Fecha]])</f>
        <v>#VALUE!</v>
      </c>
      <c r="I26" s="38" t="e">
        <f>YEAR(Libro_Diario[[#This Row],[Fecha]])</f>
        <v>#VALUE!</v>
      </c>
    </row>
    <row r="27" spans="3:9" x14ac:dyDescent="0.3">
      <c r="C27" s="37"/>
      <c r="D27" s="38"/>
      <c r="E27" s="38"/>
      <c r="F27" s="39"/>
      <c r="G27" s="40"/>
      <c r="H27" s="38" t="e">
        <f>MONTH(Libro_Diario[[#This Row],[Fecha]])</f>
        <v>#VALUE!</v>
      </c>
      <c r="I27" s="38" t="e">
        <f>YEAR(Libro_Diario[[#This Row],[Fecha]])</f>
        <v>#VALUE!</v>
      </c>
    </row>
    <row r="28" spans="3:9" x14ac:dyDescent="0.3">
      <c r="C28" s="37"/>
      <c r="D28" s="38"/>
      <c r="E28" s="38"/>
      <c r="F28" s="39"/>
      <c r="G28" s="40"/>
      <c r="H28" s="38" t="e">
        <f>MONTH(Libro_Diario[[#This Row],[Fecha]])</f>
        <v>#VALUE!</v>
      </c>
      <c r="I28" s="38" t="e">
        <f>YEAR(Libro_Diario[[#This Row],[Fecha]])</f>
        <v>#VALUE!</v>
      </c>
    </row>
    <row r="29" spans="3:9" x14ac:dyDescent="0.3">
      <c r="C29" s="37"/>
      <c r="D29" s="38"/>
      <c r="E29" s="38"/>
      <c r="F29" s="39"/>
      <c r="G29" s="40"/>
      <c r="H29" s="38" t="e">
        <f>MONTH(Libro_Diario[[#This Row],[Fecha]])</f>
        <v>#VALUE!</v>
      </c>
      <c r="I29" s="38" t="e">
        <f>YEAR(Libro_Diario[[#This Row],[Fecha]])</f>
        <v>#VALUE!</v>
      </c>
    </row>
    <row r="30" spans="3:9" x14ac:dyDescent="0.3">
      <c r="C30" s="37"/>
      <c r="D30" s="38"/>
      <c r="E30" s="38"/>
      <c r="F30" s="39"/>
      <c r="G30" s="40"/>
      <c r="H30" s="38" t="e">
        <f>MONTH(Libro_Diario[[#This Row],[Fecha]])</f>
        <v>#VALUE!</v>
      </c>
      <c r="I30" s="38" t="e">
        <f>YEAR(Libro_Diario[[#This Row],[Fecha]])</f>
        <v>#VALUE!</v>
      </c>
    </row>
    <row r="31" spans="3:9" x14ac:dyDescent="0.3">
      <c r="C31" s="37"/>
      <c r="D31" s="38"/>
      <c r="E31" s="38"/>
      <c r="F31" s="39"/>
      <c r="G31" s="40"/>
      <c r="H31" s="38" t="e">
        <f>MONTH(Libro_Diario[[#This Row],[Fecha]])</f>
        <v>#VALUE!</v>
      </c>
      <c r="I31" s="38" t="e">
        <f>YEAR(Libro_Diario[[#This Row],[Fecha]])</f>
        <v>#VALUE!</v>
      </c>
    </row>
    <row r="32" spans="3:9" x14ac:dyDescent="0.3">
      <c r="C32" s="37"/>
      <c r="D32" s="38"/>
      <c r="E32" s="38"/>
      <c r="F32" s="39"/>
      <c r="G32" s="40"/>
      <c r="H32" s="38" t="e">
        <f>MONTH(Libro_Diario[[#This Row],[Fecha]])</f>
        <v>#VALUE!</v>
      </c>
      <c r="I32" s="38" t="e">
        <f>YEAR(Libro_Diario[[#This Row],[Fecha]])</f>
        <v>#VALUE!</v>
      </c>
    </row>
    <row r="33" spans="3:9" x14ac:dyDescent="0.3">
      <c r="C33" s="37"/>
      <c r="D33" s="38"/>
      <c r="E33" s="38"/>
      <c r="F33" s="39"/>
      <c r="G33" s="40"/>
      <c r="H33" s="38" t="e">
        <f>MONTH(Libro_Diario[[#This Row],[Fecha]])</f>
        <v>#VALUE!</v>
      </c>
      <c r="I33" s="38" t="e">
        <f>YEAR(Libro_Diario[[#This Row],[Fecha]])</f>
        <v>#VALUE!</v>
      </c>
    </row>
    <row r="34" spans="3:9" x14ac:dyDescent="0.3">
      <c r="C34" s="37"/>
      <c r="D34" s="38"/>
      <c r="E34" s="38"/>
      <c r="F34" s="39"/>
      <c r="G34" s="40"/>
      <c r="H34" s="38" t="e">
        <f>MONTH(Libro_Diario[[#This Row],[Fecha]])</f>
        <v>#VALUE!</v>
      </c>
      <c r="I34" s="38" t="e">
        <f>YEAR(Libro_Diario[[#This Row],[Fecha]])</f>
        <v>#VALUE!</v>
      </c>
    </row>
    <row r="35" spans="3:9" x14ac:dyDescent="0.3">
      <c r="C35" s="37"/>
      <c r="D35" s="38"/>
      <c r="E35" s="38"/>
      <c r="F35" s="39"/>
      <c r="G35" s="40"/>
      <c r="H35" s="38" t="e">
        <f>MONTH(Libro_Diario[[#This Row],[Fecha]])</f>
        <v>#VALUE!</v>
      </c>
      <c r="I35" s="38" t="e">
        <f>YEAR(Libro_Diario[[#This Row],[Fecha]])</f>
        <v>#VALUE!</v>
      </c>
    </row>
    <row r="36" spans="3:9" x14ac:dyDescent="0.3">
      <c r="C36" s="37"/>
      <c r="D36" s="38"/>
      <c r="E36" s="38"/>
      <c r="F36" s="39"/>
      <c r="G36" s="40"/>
      <c r="H36" s="38" t="e">
        <f>MONTH(Libro_Diario[[#This Row],[Fecha]])</f>
        <v>#VALUE!</v>
      </c>
      <c r="I36" s="38" t="e">
        <f>YEAR(Libro_Diario[[#This Row],[Fecha]])</f>
        <v>#VALUE!</v>
      </c>
    </row>
    <row r="37" spans="3:9" x14ac:dyDescent="0.3">
      <c r="C37" s="37"/>
      <c r="D37" s="38"/>
      <c r="E37" s="38"/>
      <c r="F37" s="39"/>
      <c r="G37" s="40"/>
      <c r="H37" s="38" t="e">
        <f>MONTH(Libro_Diario[[#This Row],[Fecha]])</f>
        <v>#VALUE!</v>
      </c>
      <c r="I37" s="38" t="e">
        <f>YEAR(Libro_Diario[[#This Row],[Fecha]])</f>
        <v>#VALUE!</v>
      </c>
    </row>
    <row r="38" spans="3:9" x14ac:dyDescent="0.3">
      <c r="C38" s="37"/>
      <c r="D38" s="38"/>
      <c r="E38" s="38"/>
      <c r="F38" s="39"/>
      <c r="G38" s="40"/>
      <c r="H38" s="38" t="e">
        <f>MONTH(Libro_Diario[[#This Row],[Fecha]])</f>
        <v>#VALUE!</v>
      </c>
      <c r="I38" s="38" t="e">
        <f>YEAR(Libro_Diario[[#This Row],[Fecha]])</f>
        <v>#VALUE!</v>
      </c>
    </row>
    <row r="39" spans="3:9" x14ac:dyDescent="0.3">
      <c r="C39" s="37"/>
      <c r="D39" s="38"/>
      <c r="E39" s="38"/>
      <c r="F39" s="39"/>
      <c r="G39" s="40"/>
      <c r="H39" s="38" t="e">
        <f>MONTH(Libro_Diario[[#This Row],[Fecha]])</f>
        <v>#VALUE!</v>
      </c>
      <c r="I39" s="38" t="e">
        <f>YEAR(Libro_Diario[[#This Row],[Fecha]])</f>
        <v>#VALUE!</v>
      </c>
    </row>
    <row r="40" spans="3:9" x14ac:dyDescent="0.3">
      <c r="C40" s="37"/>
      <c r="D40" s="38"/>
      <c r="E40" s="38"/>
      <c r="F40" s="39"/>
      <c r="G40" s="40"/>
      <c r="H40" s="38" t="e">
        <f>MONTH(Libro_Diario[[#This Row],[Fecha]])</f>
        <v>#VALUE!</v>
      </c>
      <c r="I40" s="38" t="e">
        <f>YEAR(Libro_Diario[[#This Row],[Fecha]])</f>
        <v>#VALUE!</v>
      </c>
    </row>
    <row r="41" spans="3:9" x14ac:dyDescent="0.3">
      <c r="C41" s="37"/>
      <c r="D41" s="38"/>
      <c r="E41" s="38"/>
      <c r="F41" s="39"/>
      <c r="G41" s="40"/>
      <c r="H41" s="38" t="e">
        <f>MONTH(Libro_Diario[[#This Row],[Fecha]])</f>
        <v>#VALUE!</v>
      </c>
      <c r="I41" s="38" t="e">
        <f>YEAR(Libro_Diario[[#This Row],[Fecha]])</f>
        <v>#VALUE!</v>
      </c>
    </row>
    <row r="42" spans="3:9" x14ac:dyDescent="0.3">
      <c r="C42" s="37"/>
      <c r="D42" s="38"/>
      <c r="E42" s="38"/>
      <c r="F42" s="39"/>
      <c r="G42" s="40"/>
      <c r="H42" s="38" t="e">
        <f>MONTH(Libro_Diario[[#This Row],[Fecha]])</f>
        <v>#VALUE!</v>
      </c>
      <c r="I42" s="38" t="e">
        <f>YEAR(Libro_Diario[[#This Row],[Fecha]])</f>
        <v>#VALUE!</v>
      </c>
    </row>
    <row r="43" spans="3:9" x14ac:dyDescent="0.3">
      <c r="C43" s="37"/>
      <c r="D43" s="38"/>
      <c r="E43" s="38"/>
      <c r="F43" s="39"/>
      <c r="G43" s="40"/>
      <c r="H43" s="38" t="e">
        <f>MONTH(Libro_Diario[[#This Row],[Fecha]])</f>
        <v>#VALUE!</v>
      </c>
      <c r="I43" s="38" t="e">
        <f>YEAR(Libro_Diario[[#This Row],[Fecha]])</f>
        <v>#VALUE!</v>
      </c>
    </row>
    <row r="44" spans="3:9" x14ac:dyDescent="0.3">
      <c r="C44" s="37"/>
      <c r="D44" s="38"/>
      <c r="E44" s="38"/>
      <c r="F44" s="39"/>
      <c r="G44" s="40"/>
      <c r="H44" s="38" t="e">
        <f>MONTH(Libro_Diario[[#This Row],[Fecha]])</f>
        <v>#VALUE!</v>
      </c>
      <c r="I44" s="38" t="e">
        <f>YEAR(Libro_Diario[[#This Row],[Fecha]])</f>
        <v>#VALUE!</v>
      </c>
    </row>
    <row r="45" spans="3:9" x14ac:dyDescent="0.3">
      <c r="C45" s="37"/>
      <c r="D45" s="38"/>
      <c r="E45" s="38"/>
      <c r="F45" s="39"/>
      <c r="G45" s="40"/>
      <c r="H45" s="38" t="e">
        <f>MONTH(Libro_Diario[[#This Row],[Fecha]])</f>
        <v>#VALUE!</v>
      </c>
      <c r="I45" s="38" t="e">
        <f>YEAR(Libro_Diario[[#This Row],[Fecha]])</f>
        <v>#VALUE!</v>
      </c>
    </row>
    <row r="46" spans="3:9" x14ac:dyDescent="0.3">
      <c r="C46" s="37"/>
      <c r="D46" s="38"/>
      <c r="E46" s="38"/>
      <c r="F46" s="39"/>
      <c r="G46" s="40"/>
      <c r="H46" s="38" t="e">
        <f>MONTH(Libro_Diario[[#This Row],[Fecha]])</f>
        <v>#VALUE!</v>
      </c>
      <c r="I46" s="38" t="e">
        <f>YEAR(Libro_Diario[[#This Row],[Fecha]])</f>
        <v>#VALUE!</v>
      </c>
    </row>
    <row r="47" spans="3:9" x14ac:dyDescent="0.3">
      <c r="C47" s="37"/>
      <c r="D47" s="38"/>
      <c r="E47" s="38"/>
      <c r="F47" s="39"/>
      <c r="G47" s="40"/>
      <c r="H47" s="38" t="e">
        <f>MONTH(Libro_Diario[[#This Row],[Fecha]])</f>
        <v>#VALUE!</v>
      </c>
      <c r="I47" s="38" t="e">
        <f>YEAR(Libro_Diario[[#This Row],[Fecha]])</f>
        <v>#VALUE!</v>
      </c>
    </row>
    <row r="48" spans="3:9" x14ac:dyDescent="0.3">
      <c r="C48" s="37"/>
      <c r="D48" s="38"/>
      <c r="E48" s="38"/>
      <c r="F48" s="39"/>
      <c r="G48" s="40"/>
      <c r="H48" s="38" t="e">
        <f>MONTH(Libro_Diario[[#This Row],[Fecha]])</f>
        <v>#VALUE!</v>
      </c>
      <c r="I48" s="38" t="e">
        <f>YEAR(Libro_Diario[[#This Row],[Fecha]])</f>
        <v>#VALUE!</v>
      </c>
    </row>
    <row r="49" spans="3:9" x14ac:dyDescent="0.3">
      <c r="C49" s="37"/>
      <c r="D49" s="38"/>
      <c r="E49" s="38"/>
      <c r="F49" s="39"/>
      <c r="G49" s="40"/>
      <c r="H49" s="38" t="e">
        <f>MONTH(Libro_Diario[[#This Row],[Fecha]])</f>
        <v>#VALUE!</v>
      </c>
      <c r="I49" s="38" t="e">
        <f>YEAR(Libro_Diario[[#This Row],[Fecha]])</f>
        <v>#VALUE!</v>
      </c>
    </row>
    <row r="50" spans="3:9" x14ac:dyDescent="0.3">
      <c r="C50" s="37"/>
      <c r="D50" s="38"/>
      <c r="E50" s="38"/>
      <c r="F50" s="39"/>
      <c r="G50" s="40"/>
      <c r="H50" s="38" t="e">
        <f>MONTH(Libro_Diario[[#This Row],[Fecha]])</f>
        <v>#VALUE!</v>
      </c>
      <c r="I50" s="38" t="e">
        <f>YEAR(Libro_Diario[[#This Row],[Fecha]])</f>
        <v>#VALUE!</v>
      </c>
    </row>
    <row r="51" spans="3:9" x14ac:dyDescent="0.3">
      <c r="C51" s="37"/>
      <c r="D51" s="38"/>
      <c r="E51" s="38"/>
      <c r="F51" s="39"/>
      <c r="G51" s="40"/>
      <c r="H51" s="38" t="e">
        <f>MONTH(Libro_Diario[[#This Row],[Fecha]])</f>
        <v>#VALUE!</v>
      </c>
      <c r="I51" s="38" t="e">
        <f>YEAR(Libro_Diario[[#This Row],[Fecha]])</f>
        <v>#VALUE!</v>
      </c>
    </row>
    <row r="52" spans="3:9" x14ac:dyDescent="0.3">
      <c r="C52" s="37"/>
      <c r="D52" s="38"/>
      <c r="E52" s="38"/>
      <c r="F52" s="39"/>
      <c r="G52" s="40"/>
      <c r="H52" s="38" t="e">
        <f>MONTH(Libro_Diario[[#This Row],[Fecha]])</f>
        <v>#VALUE!</v>
      </c>
      <c r="I52" s="38" t="e">
        <f>YEAR(Libro_Diario[[#This Row],[Fecha]])</f>
        <v>#VALUE!</v>
      </c>
    </row>
    <row r="53" spans="3:9" x14ac:dyDescent="0.3">
      <c r="C53" s="37"/>
      <c r="D53" s="38"/>
      <c r="E53" s="38"/>
      <c r="F53" s="39"/>
      <c r="G53" s="40"/>
      <c r="H53" s="38" t="e">
        <f>MONTH(Libro_Diario[[#This Row],[Fecha]])</f>
        <v>#VALUE!</v>
      </c>
      <c r="I53" s="38" t="e">
        <f>YEAR(Libro_Diario[[#This Row],[Fecha]])</f>
        <v>#VALUE!</v>
      </c>
    </row>
    <row r="54" spans="3:9" x14ac:dyDescent="0.3">
      <c r="C54" s="37"/>
      <c r="D54" s="38"/>
      <c r="E54" s="38"/>
      <c r="F54" s="39"/>
      <c r="G54" s="40"/>
      <c r="H54" s="38" t="e">
        <f>MONTH(Libro_Diario[[#This Row],[Fecha]])</f>
        <v>#VALUE!</v>
      </c>
      <c r="I54" s="38" t="e">
        <f>YEAR(Libro_Diario[[#This Row],[Fecha]])</f>
        <v>#VALUE!</v>
      </c>
    </row>
    <row r="55" spans="3:9" x14ac:dyDescent="0.3">
      <c r="C55" s="37"/>
      <c r="D55" s="38"/>
      <c r="E55" s="38"/>
      <c r="F55" s="39"/>
      <c r="G55" s="40"/>
      <c r="H55" s="38" t="e">
        <f>MONTH(Libro_Diario[[#This Row],[Fecha]])</f>
        <v>#VALUE!</v>
      </c>
      <c r="I55" s="38" t="e">
        <f>YEAR(Libro_Diario[[#This Row],[Fecha]])</f>
        <v>#VALUE!</v>
      </c>
    </row>
    <row r="56" spans="3:9" x14ac:dyDescent="0.3">
      <c r="C56" s="37"/>
      <c r="D56" s="38"/>
      <c r="E56" s="38"/>
      <c r="F56" s="39"/>
      <c r="G56" s="40"/>
      <c r="H56" s="38" t="e">
        <f>MONTH(Libro_Diario[[#This Row],[Fecha]])</f>
        <v>#VALUE!</v>
      </c>
      <c r="I56" s="38" t="e">
        <f>YEAR(Libro_Diario[[#This Row],[Fecha]])</f>
        <v>#VALUE!</v>
      </c>
    </row>
    <row r="57" spans="3:9" x14ac:dyDescent="0.3">
      <c r="C57" s="37"/>
      <c r="D57" s="38"/>
      <c r="E57" s="38"/>
      <c r="F57" s="39"/>
      <c r="G57" s="40"/>
      <c r="H57" s="38" t="e">
        <f>MONTH(Libro_Diario[[#This Row],[Fecha]])</f>
        <v>#VALUE!</v>
      </c>
      <c r="I57" s="38" t="e">
        <f>YEAR(Libro_Diario[[#This Row],[Fecha]])</f>
        <v>#VALUE!</v>
      </c>
    </row>
    <row r="58" spans="3:9" x14ac:dyDescent="0.3">
      <c r="C58" s="37"/>
      <c r="D58" s="38"/>
      <c r="E58" s="38"/>
      <c r="F58" s="39"/>
      <c r="G58" s="40"/>
      <c r="H58" s="38" t="e">
        <f>MONTH(Libro_Diario[[#This Row],[Fecha]])</f>
        <v>#VALUE!</v>
      </c>
      <c r="I58" s="38" t="e">
        <f>YEAR(Libro_Diario[[#This Row],[Fecha]])</f>
        <v>#VALUE!</v>
      </c>
    </row>
    <row r="59" spans="3:9" x14ac:dyDescent="0.3">
      <c r="C59" s="37"/>
      <c r="D59" s="38"/>
      <c r="E59" s="38"/>
      <c r="F59" s="39"/>
      <c r="G59" s="40"/>
      <c r="H59" s="38" t="e">
        <f>MONTH(Libro_Diario[[#This Row],[Fecha]])</f>
        <v>#VALUE!</v>
      </c>
      <c r="I59" s="38" t="e">
        <f>YEAR(Libro_Diario[[#This Row],[Fecha]])</f>
        <v>#VALUE!</v>
      </c>
    </row>
    <row r="60" spans="3:9" x14ac:dyDescent="0.3">
      <c r="C60" s="37"/>
      <c r="D60" s="38"/>
      <c r="E60" s="38"/>
      <c r="F60" s="39"/>
      <c r="G60" s="40"/>
      <c r="H60" s="38" t="e">
        <f>MONTH(Libro_Diario[[#This Row],[Fecha]])</f>
        <v>#VALUE!</v>
      </c>
      <c r="I60" s="38" t="e">
        <f>YEAR(Libro_Diario[[#This Row],[Fecha]])</f>
        <v>#VALUE!</v>
      </c>
    </row>
    <row r="61" spans="3:9" x14ac:dyDescent="0.3">
      <c r="C61" s="37"/>
      <c r="D61" s="38"/>
      <c r="E61" s="38"/>
      <c r="F61" s="39"/>
      <c r="G61" s="40"/>
      <c r="H61" s="38" t="e">
        <f>MONTH(Libro_Diario[[#This Row],[Fecha]])</f>
        <v>#VALUE!</v>
      </c>
      <c r="I61" s="38" t="e">
        <f>YEAR(Libro_Diario[[#This Row],[Fecha]])</f>
        <v>#VALUE!</v>
      </c>
    </row>
    <row r="62" spans="3:9" x14ac:dyDescent="0.3">
      <c r="C62" s="37"/>
      <c r="D62" s="38"/>
      <c r="E62" s="38"/>
      <c r="F62" s="39"/>
      <c r="G62" s="40"/>
      <c r="H62" s="38" t="e">
        <f>MONTH(Libro_Diario[[#This Row],[Fecha]])</f>
        <v>#VALUE!</v>
      </c>
      <c r="I62" s="38" t="e">
        <f>YEAR(Libro_Diario[[#This Row],[Fecha]])</f>
        <v>#VALUE!</v>
      </c>
    </row>
    <row r="63" spans="3:9" x14ac:dyDescent="0.3">
      <c r="C63" s="37"/>
      <c r="D63" s="38"/>
      <c r="E63" s="38"/>
      <c r="F63" s="39"/>
      <c r="G63" s="40"/>
      <c r="H63" s="38" t="e">
        <f>MONTH(Libro_Diario[[#This Row],[Fecha]])</f>
        <v>#VALUE!</v>
      </c>
      <c r="I63" s="38" t="e">
        <f>YEAR(Libro_Diario[[#This Row],[Fecha]])</f>
        <v>#VALUE!</v>
      </c>
    </row>
    <row r="64" spans="3:9" x14ac:dyDescent="0.3">
      <c r="C64" s="37"/>
      <c r="D64" s="38"/>
      <c r="E64" s="38"/>
      <c r="F64" s="39"/>
      <c r="G64" s="40"/>
      <c r="H64" s="38" t="e">
        <f>MONTH(Libro_Diario[[#This Row],[Fecha]])</f>
        <v>#VALUE!</v>
      </c>
      <c r="I64" s="38" t="e">
        <f>YEAR(Libro_Diario[[#This Row],[Fecha]])</f>
        <v>#VALUE!</v>
      </c>
    </row>
    <row r="65" spans="3:9" x14ac:dyDescent="0.3">
      <c r="C65" s="37"/>
      <c r="D65" s="38"/>
      <c r="E65" s="38"/>
      <c r="F65" s="39"/>
      <c r="G65" s="40"/>
      <c r="H65" s="38" t="e">
        <f>MONTH(Libro_Diario[[#This Row],[Fecha]])</f>
        <v>#VALUE!</v>
      </c>
      <c r="I65" s="38" t="e">
        <f>YEAR(Libro_Diario[[#This Row],[Fecha]])</f>
        <v>#VALUE!</v>
      </c>
    </row>
    <row r="66" spans="3:9" x14ac:dyDescent="0.3">
      <c r="C66" s="37"/>
      <c r="D66" s="38"/>
      <c r="E66" s="38"/>
      <c r="F66" s="39"/>
      <c r="G66" s="40"/>
      <c r="H66" s="38" t="e">
        <f>MONTH(Libro_Diario[[#This Row],[Fecha]])</f>
        <v>#VALUE!</v>
      </c>
      <c r="I66" s="38" t="e">
        <f>YEAR(Libro_Diario[[#This Row],[Fecha]])</f>
        <v>#VALUE!</v>
      </c>
    </row>
    <row r="67" spans="3:9" x14ac:dyDescent="0.3">
      <c r="C67" s="37"/>
      <c r="D67" s="38"/>
      <c r="E67" s="38"/>
      <c r="F67" s="39"/>
      <c r="G67" s="40"/>
      <c r="H67" s="38" t="e">
        <f>MONTH(Libro_Diario[[#This Row],[Fecha]])</f>
        <v>#VALUE!</v>
      </c>
      <c r="I67" s="38" t="e">
        <f>YEAR(Libro_Diario[[#This Row],[Fecha]])</f>
        <v>#VALUE!</v>
      </c>
    </row>
    <row r="68" spans="3:9" x14ac:dyDescent="0.3">
      <c r="C68" s="37"/>
      <c r="D68" s="38"/>
      <c r="E68" s="38"/>
      <c r="F68" s="39"/>
      <c r="G68" s="40"/>
      <c r="H68" s="38" t="e">
        <f>MONTH(Libro_Diario[[#This Row],[Fecha]])</f>
        <v>#VALUE!</v>
      </c>
      <c r="I68" s="38" t="e">
        <f>YEAR(Libro_Diario[[#This Row],[Fecha]])</f>
        <v>#VALUE!</v>
      </c>
    </row>
    <row r="69" spans="3:9" x14ac:dyDescent="0.3">
      <c r="C69" s="37"/>
      <c r="D69" s="38"/>
      <c r="E69" s="38"/>
      <c r="F69" s="39"/>
      <c r="G69" s="40"/>
      <c r="H69" s="38" t="e">
        <f>MONTH(Libro_Diario[[#This Row],[Fecha]])</f>
        <v>#VALUE!</v>
      </c>
      <c r="I69" s="38" t="e">
        <f>YEAR(Libro_Diario[[#This Row],[Fecha]])</f>
        <v>#VALUE!</v>
      </c>
    </row>
    <row r="70" spans="3:9" x14ac:dyDescent="0.3">
      <c r="C70" s="37"/>
      <c r="D70" s="38"/>
      <c r="E70" s="38"/>
      <c r="F70" s="39"/>
      <c r="G70" s="40"/>
      <c r="H70" s="38" t="e">
        <f>MONTH(Libro_Diario[[#This Row],[Fecha]])</f>
        <v>#VALUE!</v>
      </c>
      <c r="I70" s="38" t="e">
        <f>YEAR(Libro_Diario[[#This Row],[Fecha]])</f>
        <v>#VALUE!</v>
      </c>
    </row>
    <row r="71" spans="3:9" x14ac:dyDescent="0.3">
      <c r="C71" s="37"/>
      <c r="D71" s="38"/>
      <c r="E71" s="38"/>
      <c r="F71" s="39"/>
      <c r="G71" s="40"/>
      <c r="H71" s="38" t="e">
        <f>MONTH(Libro_Diario[[#This Row],[Fecha]])</f>
        <v>#VALUE!</v>
      </c>
      <c r="I71" s="38" t="e">
        <f>YEAR(Libro_Diario[[#This Row],[Fecha]])</f>
        <v>#VALUE!</v>
      </c>
    </row>
    <row r="72" spans="3:9" x14ac:dyDescent="0.3">
      <c r="C72" s="37"/>
      <c r="D72" s="38"/>
      <c r="E72" s="38"/>
      <c r="F72" s="39"/>
      <c r="G72" s="40"/>
      <c r="H72" s="38" t="e">
        <f>MONTH(Libro_Diario[[#This Row],[Fecha]])</f>
        <v>#VALUE!</v>
      </c>
      <c r="I72" s="38" t="e">
        <f>YEAR(Libro_Diario[[#This Row],[Fecha]])</f>
        <v>#VALUE!</v>
      </c>
    </row>
    <row r="73" spans="3:9" ht="19.95" customHeight="1" x14ac:dyDescent="0.3">
      <c r="C73" s="37"/>
      <c r="D73" s="38"/>
      <c r="E73" s="38"/>
      <c r="F73" s="39"/>
      <c r="G73" s="40"/>
      <c r="H73" s="38" t="e">
        <f>MONTH(Libro_Diario[[#This Row],[Fecha]])</f>
        <v>#VALUE!</v>
      </c>
      <c r="I73" s="38" t="e">
        <f>YEAR(Libro_Diario[[#This Row],[Fecha]])</f>
        <v>#VALUE!</v>
      </c>
    </row>
    <row r="74" spans="3:9" x14ac:dyDescent="0.3">
      <c r="C74" s="37"/>
      <c r="D74" s="38"/>
      <c r="E74" s="38"/>
      <c r="F74" s="39"/>
      <c r="G74" s="40"/>
      <c r="H74" s="38" t="e">
        <f>MONTH(Libro_Diario[[#This Row],[Fecha]])</f>
        <v>#VALUE!</v>
      </c>
      <c r="I74" s="38" t="e">
        <f>YEAR(Libro_Diario[[#This Row],[Fecha]])</f>
        <v>#VALUE!</v>
      </c>
    </row>
    <row r="75" spans="3:9" x14ac:dyDescent="0.3">
      <c r="C75" s="37"/>
      <c r="D75" s="38"/>
      <c r="E75" s="38"/>
      <c r="F75" s="39"/>
      <c r="G75" s="40"/>
      <c r="H75" s="38" t="e">
        <f>MONTH(Libro_Diario[[#This Row],[Fecha]])</f>
        <v>#VALUE!</v>
      </c>
      <c r="I75" s="38" t="e">
        <f>YEAR(Libro_Diario[[#This Row],[Fecha]])</f>
        <v>#VALUE!</v>
      </c>
    </row>
    <row r="76" spans="3:9" x14ac:dyDescent="0.3">
      <c r="C76" s="37"/>
      <c r="D76" s="38"/>
      <c r="E76" s="38"/>
      <c r="F76" s="39"/>
      <c r="G76" s="40"/>
      <c r="H76" s="38" t="e">
        <f>MONTH(Libro_Diario[[#This Row],[Fecha]])</f>
        <v>#VALUE!</v>
      </c>
      <c r="I76" s="38" t="e">
        <f>YEAR(Libro_Diario[[#This Row],[Fecha]])</f>
        <v>#VALUE!</v>
      </c>
    </row>
    <row r="77" spans="3:9" x14ac:dyDescent="0.3">
      <c r="C77" s="37"/>
      <c r="D77" s="38"/>
      <c r="E77" s="38"/>
      <c r="F77" s="39"/>
      <c r="G77" s="40"/>
      <c r="H77" s="38" t="e">
        <f>MONTH(Libro_Diario[[#This Row],[Fecha]])</f>
        <v>#VALUE!</v>
      </c>
      <c r="I77" s="38" t="e">
        <f>YEAR(Libro_Diario[[#This Row],[Fecha]])</f>
        <v>#VALUE!</v>
      </c>
    </row>
    <row r="78" spans="3:9" x14ac:dyDescent="0.3">
      <c r="C78" s="37"/>
      <c r="D78" s="38"/>
      <c r="E78" s="38"/>
      <c r="F78" s="39"/>
      <c r="G78" s="40"/>
      <c r="H78" s="38" t="e">
        <f>MONTH(Libro_Diario[[#This Row],[Fecha]])</f>
        <v>#VALUE!</v>
      </c>
      <c r="I78" s="38" t="e">
        <f>YEAR(Libro_Diario[[#This Row],[Fecha]])</f>
        <v>#VALUE!</v>
      </c>
    </row>
    <row r="79" spans="3:9" x14ac:dyDescent="0.3">
      <c r="C79" s="37"/>
      <c r="D79" s="38"/>
      <c r="E79" s="38"/>
      <c r="F79" s="39"/>
      <c r="G79" s="40"/>
      <c r="H79" s="38" t="e">
        <f>MONTH(Libro_Diario[[#This Row],[Fecha]])</f>
        <v>#VALUE!</v>
      </c>
      <c r="I79" s="38" t="e">
        <f>YEAR(Libro_Diario[[#This Row],[Fecha]])</f>
        <v>#VALUE!</v>
      </c>
    </row>
    <row r="80" spans="3:9" x14ac:dyDescent="0.3">
      <c r="C80" s="37"/>
      <c r="D80" s="38"/>
      <c r="E80" s="38"/>
      <c r="F80" s="39"/>
      <c r="G80" s="40"/>
      <c r="H80" s="38" t="e">
        <f>MONTH(Libro_Diario[[#This Row],[Fecha]])</f>
        <v>#VALUE!</v>
      </c>
      <c r="I80" s="38" t="e">
        <f>YEAR(Libro_Diario[[#This Row],[Fecha]])</f>
        <v>#VALUE!</v>
      </c>
    </row>
    <row r="81" spans="3:9" x14ac:dyDescent="0.3">
      <c r="C81" s="37"/>
      <c r="D81" s="38"/>
      <c r="E81" s="38"/>
      <c r="F81" s="39"/>
      <c r="G81" s="40"/>
      <c r="H81" s="38" t="e">
        <f>MONTH(Libro_Diario[[#This Row],[Fecha]])</f>
        <v>#VALUE!</v>
      </c>
      <c r="I81" s="38" t="e">
        <f>YEAR(Libro_Diario[[#This Row],[Fecha]])</f>
        <v>#VALUE!</v>
      </c>
    </row>
    <row r="82" spans="3:9" x14ac:dyDescent="0.3">
      <c r="C82" s="37"/>
      <c r="D82" s="38"/>
      <c r="E82" s="38"/>
      <c r="F82" s="39"/>
      <c r="G82" s="40"/>
      <c r="H82" s="38" t="e">
        <f>MONTH(Libro_Diario[[#This Row],[Fecha]])</f>
        <v>#VALUE!</v>
      </c>
      <c r="I82" s="38" t="e">
        <f>YEAR(Libro_Diario[[#This Row],[Fecha]])</f>
        <v>#VALUE!</v>
      </c>
    </row>
    <row r="83" spans="3:9" x14ac:dyDescent="0.3">
      <c r="C83" s="37"/>
      <c r="D83" s="38"/>
      <c r="E83" s="38"/>
      <c r="F83" s="39"/>
      <c r="G83" s="40"/>
      <c r="H83" s="38" t="e">
        <f>MONTH(Libro_Diario[[#This Row],[Fecha]])</f>
        <v>#VALUE!</v>
      </c>
      <c r="I83" s="38" t="e">
        <f>YEAR(Libro_Diario[[#This Row],[Fecha]])</f>
        <v>#VALUE!</v>
      </c>
    </row>
    <row r="84" spans="3:9" x14ac:dyDescent="0.3">
      <c r="C84" s="37"/>
      <c r="D84" s="38"/>
      <c r="E84" s="38"/>
      <c r="F84" s="39"/>
      <c r="G84" s="40"/>
      <c r="H84" s="38" t="e">
        <f>MONTH(Libro_Diario[[#This Row],[Fecha]])</f>
        <v>#VALUE!</v>
      </c>
      <c r="I84" s="38" t="e">
        <f>YEAR(Libro_Diario[[#This Row],[Fecha]])</f>
        <v>#VALUE!</v>
      </c>
    </row>
    <row r="85" spans="3:9" x14ac:dyDescent="0.3">
      <c r="C85" s="37"/>
      <c r="D85" s="38"/>
      <c r="E85" s="38"/>
      <c r="F85" s="39"/>
      <c r="G85" s="40"/>
      <c r="H85" s="38" t="e">
        <f>MONTH(Libro_Diario[[#This Row],[Fecha]])</f>
        <v>#VALUE!</v>
      </c>
      <c r="I85" s="38" t="e">
        <f>YEAR(Libro_Diario[[#This Row],[Fecha]])</f>
        <v>#VALUE!</v>
      </c>
    </row>
    <row r="86" spans="3:9" x14ac:dyDescent="0.3">
      <c r="C86" s="37"/>
      <c r="D86" s="38"/>
      <c r="E86" s="38"/>
      <c r="F86" s="39"/>
      <c r="G86" s="40"/>
      <c r="H86" s="38" t="e">
        <f>MONTH(Libro_Diario[[#This Row],[Fecha]])</f>
        <v>#VALUE!</v>
      </c>
      <c r="I86" s="38" t="e">
        <f>YEAR(Libro_Diario[[#This Row],[Fecha]])</f>
        <v>#VALUE!</v>
      </c>
    </row>
    <row r="87" spans="3:9" x14ac:dyDescent="0.3">
      <c r="C87" s="37"/>
      <c r="D87" s="38"/>
      <c r="E87" s="38"/>
      <c r="F87" s="39"/>
      <c r="G87" s="40"/>
      <c r="H87" s="38" t="e">
        <f>MONTH(Libro_Diario[[#This Row],[Fecha]])</f>
        <v>#VALUE!</v>
      </c>
      <c r="I87" s="38" t="e">
        <f>YEAR(Libro_Diario[[#This Row],[Fecha]])</f>
        <v>#VALUE!</v>
      </c>
    </row>
    <row r="88" spans="3:9" x14ac:dyDescent="0.3">
      <c r="C88" s="37"/>
      <c r="D88" s="38"/>
      <c r="E88" s="38"/>
      <c r="F88" s="39"/>
      <c r="G88" s="40"/>
      <c r="H88" s="38" t="e">
        <f>MONTH(Libro_Diario[[#This Row],[Fecha]])</f>
        <v>#VALUE!</v>
      </c>
      <c r="I88" s="38" t="e">
        <f>YEAR(Libro_Diario[[#This Row],[Fecha]])</f>
        <v>#VALUE!</v>
      </c>
    </row>
    <row r="89" spans="3:9" x14ac:dyDescent="0.3">
      <c r="C89" s="37"/>
      <c r="D89" s="38"/>
      <c r="E89" s="38"/>
      <c r="F89" s="39"/>
      <c r="G89" s="40"/>
      <c r="H89" s="38" t="e">
        <f>MONTH(Libro_Diario[[#This Row],[Fecha]])</f>
        <v>#VALUE!</v>
      </c>
      <c r="I89" s="38" t="e">
        <f>YEAR(Libro_Diario[[#This Row],[Fecha]])</f>
        <v>#VALUE!</v>
      </c>
    </row>
    <row r="90" spans="3:9" x14ac:dyDescent="0.3">
      <c r="C90" s="37"/>
      <c r="D90" s="38"/>
      <c r="E90" s="38"/>
      <c r="F90" s="39"/>
      <c r="G90" s="40"/>
      <c r="H90" s="38" t="e">
        <f>MONTH(Libro_Diario[[#This Row],[Fecha]])</f>
        <v>#VALUE!</v>
      </c>
      <c r="I90" s="38" t="e">
        <f>YEAR(Libro_Diario[[#This Row],[Fecha]])</f>
        <v>#VALUE!</v>
      </c>
    </row>
    <row r="91" spans="3:9" x14ac:dyDescent="0.3">
      <c r="C91" s="37"/>
      <c r="D91" s="38"/>
      <c r="E91" s="38"/>
      <c r="F91" s="39"/>
      <c r="G91" s="40"/>
      <c r="H91" s="38" t="e">
        <f>MONTH(Libro_Diario[[#This Row],[Fecha]])</f>
        <v>#VALUE!</v>
      </c>
      <c r="I91" s="38" t="e">
        <f>YEAR(Libro_Diario[[#This Row],[Fecha]])</f>
        <v>#VALUE!</v>
      </c>
    </row>
    <row r="92" spans="3:9" x14ac:dyDescent="0.3">
      <c r="C92" s="37"/>
      <c r="D92" s="38"/>
      <c r="E92" s="38"/>
      <c r="F92" s="39"/>
      <c r="G92" s="40"/>
      <c r="H92" s="38" t="e">
        <f>MONTH(Libro_Diario[[#This Row],[Fecha]])</f>
        <v>#VALUE!</v>
      </c>
      <c r="I92" s="38" t="e">
        <f>YEAR(Libro_Diario[[#This Row],[Fecha]])</f>
        <v>#VALUE!</v>
      </c>
    </row>
    <row r="93" spans="3:9" x14ac:dyDescent="0.3">
      <c r="C93" s="37"/>
      <c r="D93" s="38"/>
      <c r="E93" s="38"/>
      <c r="F93" s="39"/>
      <c r="G93" s="40"/>
      <c r="H93" s="38" t="e">
        <f>MONTH(Libro_Diario[[#This Row],[Fecha]])</f>
        <v>#VALUE!</v>
      </c>
      <c r="I93" s="38" t="e">
        <f>YEAR(Libro_Diario[[#This Row],[Fecha]])</f>
        <v>#VALUE!</v>
      </c>
    </row>
    <row r="94" spans="3:9" x14ac:dyDescent="0.3">
      <c r="C94" s="37"/>
      <c r="D94" s="38"/>
      <c r="E94" s="38"/>
      <c r="F94" s="39"/>
      <c r="G94" s="40"/>
      <c r="H94" s="38" t="e">
        <f>MONTH(Libro_Diario[[#This Row],[Fecha]])</f>
        <v>#VALUE!</v>
      </c>
      <c r="I94" s="38" t="e">
        <f>YEAR(Libro_Diario[[#This Row],[Fecha]])</f>
        <v>#VALUE!</v>
      </c>
    </row>
    <row r="95" spans="3:9" x14ac:dyDescent="0.3">
      <c r="C95" s="37"/>
      <c r="D95" s="38"/>
      <c r="E95" s="38"/>
      <c r="F95" s="39"/>
      <c r="G95" s="40"/>
      <c r="H95" s="38" t="e">
        <f>MONTH(Libro_Diario[[#This Row],[Fecha]])</f>
        <v>#VALUE!</v>
      </c>
      <c r="I95" s="38" t="e">
        <f>YEAR(Libro_Diario[[#This Row],[Fecha]])</f>
        <v>#VALUE!</v>
      </c>
    </row>
    <row r="96" spans="3:9" x14ac:dyDescent="0.3">
      <c r="C96" s="37"/>
      <c r="D96" s="38"/>
      <c r="E96" s="38"/>
      <c r="F96" s="39"/>
      <c r="G96" s="40"/>
      <c r="H96" s="38" t="e">
        <f>MONTH(Libro_Diario[[#This Row],[Fecha]])</f>
        <v>#VALUE!</v>
      </c>
      <c r="I96" s="38" t="e">
        <f>YEAR(Libro_Diario[[#This Row],[Fecha]])</f>
        <v>#VALUE!</v>
      </c>
    </row>
    <row r="97" spans="3:9" x14ac:dyDescent="0.3">
      <c r="C97" s="37"/>
      <c r="D97" s="38"/>
      <c r="E97" s="38"/>
      <c r="F97" s="39"/>
      <c r="G97" s="40"/>
      <c r="H97" s="38" t="e">
        <f>MONTH(Libro_Diario[[#This Row],[Fecha]])</f>
        <v>#VALUE!</v>
      </c>
      <c r="I97" s="38" t="e">
        <f>YEAR(Libro_Diario[[#This Row],[Fecha]])</f>
        <v>#VALUE!</v>
      </c>
    </row>
    <row r="98" spans="3:9" x14ac:dyDescent="0.3">
      <c r="C98" s="37"/>
      <c r="D98" s="38"/>
      <c r="E98" s="38"/>
      <c r="F98" s="39"/>
      <c r="G98" s="40"/>
      <c r="H98" s="38" t="e">
        <f>MONTH(Libro_Diario[[#This Row],[Fecha]])</f>
        <v>#VALUE!</v>
      </c>
      <c r="I98" s="38" t="e">
        <f>YEAR(Libro_Diario[[#This Row],[Fecha]])</f>
        <v>#VALUE!</v>
      </c>
    </row>
    <row r="99" spans="3:9" x14ac:dyDescent="0.3">
      <c r="C99" s="37"/>
      <c r="D99" s="38"/>
      <c r="E99" s="38"/>
      <c r="F99" s="39"/>
      <c r="G99" s="40"/>
      <c r="H99" s="38" t="e">
        <f>MONTH(Libro_Diario[[#This Row],[Fecha]])</f>
        <v>#VALUE!</v>
      </c>
      <c r="I99" s="38" t="e">
        <f>YEAR(Libro_Diario[[#This Row],[Fecha]])</f>
        <v>#VALUE!</v>
      </c>
    </row>
    <row r="100" spans="3:9" x14ac:dyDescent="0.3">
      <c r="C100" s="37"/>
      <c r="D100" s="38"/>
      <c r="E100" s="38"/>
      <c r="F100" s="39"/>
      <c r="G100" s="40"/>
      <c r="H100" s="38" t="e">
        <f>MONTH(Libro_Diario[[#This Row],[Fecha]])</f>
        <v>#VALUE!</v>
      </c>
      <c r="I100" s="38" t="e">
        <f>YEAR(Libro_Diario[[#This Row],[Fecha]])</f>
        <v>#VALUE!</v>
      </c>
    </row>
    <row r="101" spans="3:9" x14ac:dyDescent="0.3">
      <c r="C101" s="37"/>
      <c r="D101" s="38"/>
      <c r="E101" s="38"/>
      <c r="F101" s="39"/>
      <c r="G101" s="40"/>
      <c r="H101" s="38" t="e">
        <f>MONTH(Libro_Diario[[#This Row],[Fecha]])</f>
        <v>#VALUE!</v>
      </c>
      <c r="I101" s="38" t="e">
        <f>YEAR(Libro_Diario[[#This Row],[Fecha]])</f>
        <v>#VALUE!</v>
      </c>
    </row>
    <row r="102" spans="3:9" x14ac:dyDescent="0.3">
      <c r="C102" s="37"/>
      <c r="D102" s="38"/>
      <c r="E102" s="38"/>
      <c r="F102" s="39"/>
      <c r="G102" s="40"/>
      <c r="H102" s="38" t="e">
        <f>MONTH(Libro_Diario[[#This Row],[Fecha]])</f>
        <v>#VALUE!</v>
      </c>
      <c r="I102" s="38" t="e">
        <f>YEAR(Libro_Diario[[#This Row],[Fecha]])</f>
        <v>#VALUE!</v>
      </c>
    </row>
    <row r="103" spans="3:9" x14ac:dyDescent="0.3">
      <c r="C103" s="37"/>
      <c r="D103" s="38"/>
      <c r="E103" s="38"/>
      <c r="F103" s="39"/>
      <c r="G103" s="40"/>
      <c r="H103" s="38" t="e">
        <f>MONTH(Libro_Diario[[#This Row],[Fecha]])</f>
        <v>#VALUE!</v>
      </c>
      <c r="I103" s="38" t="e">
        <f>YEAR(Libro_Diario[[#This Row],[Fecha]])</f>
        <v>#VALUE!</v>
      </c>
    </row>
    <row r="104" spans="3:9" x14ac:dyDescent="0.3">
      <c r="C104" s="37"/>
      <c r="D104" s="38"/>
      <c r="E104" s="38"/>
      <c r="F104" s="39"/>
      <c r="G104" s="40"/>
      <c r="H104" s="38" t="e">
        <f>MONTH(Libro_Diario[[#This Row],[Fecha]])</f>
        <v>#VALUE!</v>
      </c>
      <c r="I104" s="38" t="e">
        <f>YEAR(Libro_Diario[[#This Row],[Fecha]])</f>
        <v>#VALUE!</v>
      </c>
    </row>
    <row r="105" spans="3:9" x14ac:dyDescent="0.3">
      <c r="C105" s="37"/>
      <c r="D105" s="38"/>
      <c r="E105" s="38"/>
      <c r="F105" s="39"/>
      <c r="G105" s="40"/>
      <c r="H105" s="38" t="e">
        <f>MONTH(Libro_Diario[[#This Row],[Fecha]])</f>
        <v>#VALUE!</v>
      </c>
      <c r="I105" s="38" t="e">
        <f>YEAR(Libro_Diario[[#This Row],[Fecha]])</f>
        <v>#VALUE!</v>
      </c>
    </row>
    <row r="106" spans="3:9" x14ac:dyDescent="0.3">
      <c r="C106" s="37"/>
      <c r="D106" s="38"/>
      <c r="E106" s="38"/>
      <c r="F106" s="39"/>
      <c r="G106" s="40"/>
      <c r="H106" s="38" t="e">
        <f>MONTH(Libro_Diario[[#This Row],[Fecha]])</f>
        <v>#VALUE!</v>
      </c>
      <c r="I106" s="38" t="e">
        <f>YEAR(Libro_Diario[[#This Row],[Fecha]])</f>
        <v>#VALUE!</v>
      </c>
    </row>
    <row r="107" spans="3:9" x14ac:dyDescent="0.3">
      <c r="C107" s="37"/>
      <c r="D107" s="38"/>
      <c r="E107" s="38"/>
      <c r="F107" s="39"/>
      <c r="G107" s="40"/>
      <c r="H107" s="38" t="e">
        <f>MONTH(Libro_Diario[[#This Row],[Fecha]])</f>
        <v>#VALUE!</v>
      </c>
      <c r="I107" s="38" t="e">
        <f>YEAR(Libro_Diario[[#This Row],[Fecha]])</f>
        <v>#VALUE!</v>
      </c>
    </row>
    <row r="108" spans="3:9" x14ac:dyDescent="0.3">
      <c r="C108" s="37"/>
      <c r="D108" s="38"/>
      <c r="E108" s="38"/>
      <c r="F108" s="39"/>
      <c r="G108" s="40"/>
      <c r="H108" s="38" t="e">
        <f>MONTH(Libro_Diario[[#This Row],[Fecha]])</f>
        <v>#VALUE!</v>
      </c>
      <c r="I108" s="38" t="e">
        <f>YEAR(Libro_Diario[[#This Row],[Fecha]])</f>
        <v>#VALUE!</v>
      </c>
    </row>
    <row r="109" spans="3:9" x14ac:dyDescent="0.3">
      <c r="C109" s="37"/>
      <c r="D109" s="38"/>
      <c r="E109" s="38"/>
      <c r="F109" s="39"/>
      <c r="G109" s="40"/>
      <c r="H109" s="38" t="e">
        <f>MONTH(Libro_Diario[[#This Row],[Fecha]])</f>
        <v>#VALUE!</v>
      </c>
      <c r="I109" s="38" t="e">
        <f>YEAR(Libro_Diario[[#This Row],[Fecha]])</f>
        <v>#VALUE!</v>
      </c>
    </row>
    <row r="110" spans="3:9" x14ac:dyDescent="0.3">
      <c r="C110" s="37"/>
      <c r="D110" s="38"/>
      <c r="E110" s="38"/>
      <c r="F110" s="39"/>
      <c r="G110" s="40"/>
      <c r="H110" s="38" t="e">
        <f>MONTH(Libro_Diario[[#This Row],[Fecha]])</f>
        <v>#VALUE!</v>
      </c>
      <c r="I110" s="38" t="e">
        <f>YEAR(Libro_Diario[[#This Row],[Fecha]])</f>
        <v>#VALUE!</v>
      </c>
    </row>
    <row r="111" spans="3:9" x14ac:dyDescent="0.3">
      <c r="C111" s="37"/>
      <c r="D111" s="38"/>
      <c r="E111" s="38"/>
      <c r="F111" s="39"/>
      <c r="G111" s="40"/>
      <c r="H111" s="38" t="e">
        <f>MONTH(Libro_Diario[[#This Row],[Fecha]])</f>
        <v>#VALUE!</v>
      </c>
      <c r="I111" s="38" t="e">
        <f>YEAR(Libro_Diario[[#This Row],[Fecha]])</f>
        <v>#VALUE!</v>
      </c>
    </row>
    <row r="112" spans="3:9" x14ac:dyDescent="0.3">
      <c r="C112" s="37"/>
      <c r="D112" s="38"/>
      <c r="E112" s="38"/>
      <c r="F112" s="39"/>
      <c r="G112" s="40"/>
      <c r="H112" s="38" t="e">
        <f>MONTH(Libro_Diario[[#This Row],[Fecha]])</f>
        <v>#VALUE!</v>
      </c>
      <c r="I112" s="38" t="e">
        <f>YEAR(Libro_Diario[[#This Row],[Fecha]])</f>
        <v>#VALUE!</v>
      </c>
    </row>
    <row r="113" spans="3:9" x14ac:dyDescent="0.3">
      <c r="C113" s="37"/>
      <c r="D113" s="38"/>
      <c r="E113" s="38"/>
      <c r="F113" s="39"/>
      <c r="G113" s="40"/>
      <c r="H113" s="38" t="e">
        <f>MONTH(Libro_Diario[[#This Row],[Fecha]])</f>
        <v>#VALUE!</v>
      </c>
      <c r="I113" s="38" t="e">
        <f>YEAR(Libro_Diario[[#This Row],[Fecha]])</f>
        <v>#VALUE!</v>
      </c>
    </row>
    <row r="114" spans="3:9" x14ac:dyDescent="0.3">
      <c r="C114" s="37"/>
      <c r="D114" s="38"/>
      <c r="E114" s="38"/>
      <c r="F114" s="39"/>
      <c r="G114" s="40"/>
      <c r="H114" s="38" t="e">
        <f>MONTH(Libro_Diario[[#This Row],[Fecha]])</f>
        <v>#VALUE!</v>
      </c>
      <c r="I114" s="38" t="e">
        <f>YEAR(Libro_Diario[[#This Row],[Fecha]])</f>
        <v>#VALUE!</v>
      </c>
    </row>
    <row r="115" spans="3:9" x14ac:dyDescent="0.3">
      <c r="C115" s="37"/>
      <c r="D115" s="38"/>
      <c r="E115" s="38"/>
      <c r="F115" s="39"/>
      <c r="G115" s="40"/>
      <c r="H115" s="38" t="e">
        <f>MONTH(Libro_Diario[[#This Row],[Fecha]])</f>
        <v>#VALUE!</v>
      </c>
      <c r="I115" s="38" t="e">
        <f>YEAR(Libro_Diario[[#This Row],[Fecha]])</f>
        <v>#VALUE!</v>
      </c>
    </row>
    <row r="116" spans="3:9" x14ac:dyDescent="0.3">
      <c r="C116" s="37"/>
      <c r="D116" s="38"/>
      <c r="E116" s="38"/>
      <c r="F116" s="39"/>
      <c r="G116" s="40"/>
      <c r="H116" s="38" t="e">
        <f>MONTH(Libro_Diario[[#This Row],[Fecha]])</f>
        <v>#VALUE!</v>
      </c>
      <c r="I116" s="38" t="e">
        <f>YEAR(Libro_Diario[[#This Row],[Fecha]])</f>
        <v>#VALUE!</v>
      </c>
    </row>
    <row r="117" spans="3:9" x14ac:dyDescent="0.3">
      <c r="C117" s="37"/>
      <c r="D117" s="38"/>
      <c r="E117" s="38"/>
      <c r="F117" s="39"/>
      <c r="G117" s="40"/>
      <c r="H117" s="38" t="e">
        <f>MONTH(Libro_Diario[[#This Row],[Fecha]])</f>
        <v>#VALUE!</v>
      </c>
      <c r="I117" s="38" t="e">
        <f>YEAR(Libro_Diario[[#This Row],[Fecha]])</f>
        <v>#VALUE!</v>
      </c>
    </row>
    <row r="118" spans="3:9" x14ac:dyDescent="0.3">
      <c r="C118" s="37"/>
      <c r="D118" s="38"/>
      <c r="E118" s="38"/>
      <c r="F118" s="39"/>
      <c r="G118" s="40"/>
      <c r="H118" s="38" t="e">
        <f>MONTH(Libro_Diario[[#This Row],[Fecha]])</f>
        <v>#VALUE!</v>
      </c>
      <c r="I118" s="38" t="e">
        <f>YEAR(Libro_Diario[[#This Row],[Fecha]])</f>
        <v>#VALUE!</v>
      </c>
    </row>
    <row r="119" spans="3:9" x14ac:dyDescent="0.3">
      <c r="C119" s="37"/>
      <c r="D119" s="38"/>
      <c r="E119" s="38"/>
      <c r="F119" s="39"/>
      <c r="G119" s="40"/>
      <c r="H119" s="38" t="e">
        <f>MONTH(Libro_Diario[[#This Row],[Fecha]])</f>
        <v>#VALUE!</v>
      </c>
      <c r="I119" s="38" t="e">
        <f>YEAR(Libro_Diario[[#This Row],[Fecha]])</f>
        <v>#VALUE!</v>
      </c>
    </row>
    <row r="120" spans="3:9" x14ac:dyDescent="0.3">
      <c r="C120" s="37"/>
      <c r="D120" s="38"/>
      <c r="E120" s="38"/>
      <c r="F120" s="39"/>
      <c r="G120" s="40"/>
      <c r="H120" s="38" t="e">
        <f>MONTH(Libro_Diario[[#This Row],[Fecha]])</f>
        <v>#VALUE!</v>
      </c>
      <c r="I120" s="38" t="e">
        <f>YEAR(Libro_Diario[[#This Row],[Fecha]])</f>
        <v>#VALUE!</v>
      </c>
    </row>
    <row r="121" spans="3:9" x14ac:dyDescent="0.3">
      <c r="C121" s="37"/>
      <c r="D121" s="38"/>
      <c r="E121" s="38"/>
      <c r="F121" s="39"/>
      <c r="G121" s="40"/>
      <c r="H121" s="38" t="e">
        <f>MONTH(Libro_Diario[[#This Row],[Fecha]])</f>
        <v>#VALUE!</v>
      </c>
      <c r="I121" s="38" t="e">
        <f>YEAR(Libro_Diario[[#This Row],[Fecha]])</f>
        <v>#VALUE!</v>
      </c>
    </row>
    <row r="122" spans="3:9" x14ac:dyDescent="0.3">
      <c r="C122" s="37"/>
      <c r="D122" s="38"/>
      <c r="E122" s="38"/>
      <c r="F122" s="39"/>
      <c r="G122" s="40"/>
      <c r="H122" s="38" t="e">
        <f>MONTH(Libro_Diario[[#This Row],[Fecha]])</f>
        <v>#VALUE!</v>
      </c>
      <c r="I122" s="38" t="e">
        <f>YEAR(Libro_Diario[[#This Row],[Fecha]])</f>
        <v>#VALUE!</v>
      </c>
    </row>
    <row r="123" spans="3:9" x14ac:dyDescent="0.3">
      <c r="C123" s="37"/>
      <c r="D123" s="38"/>
      <c r="E123" s="38"/>
      <c r="F123" s="39"/>
      <c r="G123" s="40"/>
      <c r="H123" s="38" t="e">
        <f>MONTH(Libro_Diario[[#This Row],[Fecha]])</f>
        <v>#VALUE!</v>
      </c>
      <c r="I123" s="38" t="e">
        <f>YEAR(Libro_Diario[[#This Row],[Fecha]])</f>
        <v>#VALUE!</v>
      </c>
    </row>
    <row r="124" spans="3:9" x14ac:dyDescent="0.3">
      <c r="C124" s="37"/>
      <c r="D124" s="38"/>
      <c r="E124" s="38"/>
      <c r="F124" s="39"/>
      <c r="G124" s="40"/>
      <c r="H124" s="38" t="e">
        <f>MONTH(Libro_Diario[[#This Row],[Fecha]])</f>
        <v>#VALUE!</v>
      </c>
      <c r="I124" s="38" t="e">
        <f>YEAR(Libro_Diario[[#This Row],[Fecha]])</f>
        <v>#VALUE!</v>
      </c>
    </row>
    <row r="125" spans="3:9" x14ac:dyDescent="0.3">
      <c r="C125" s="37"/>
      <c r="D125" s="38"/>
      <c r="E125" s="38"/>
      <c r="F125" s="39"/>
      <c r="G125" s="40"/>
      <c r="H125" s="38" t="e">
        <f>MONTH(Libro_Diario[[#This Row],[Fecha]])</f>
        <v>#VALUE!</v>
      </c>
      <c r="I125" s="38" t="e">
        <f>YEAR(Libro_Diario[[#This Row],[Fecha]])</f>
        <v>#VALUE!</v>
      </c>
    </row>
    <row r="126" spans="3:9" x14ac:dyDescent="0.3">
      <c r="C126" s="37"/>
      <c r="D126" s="38"/>
      <c r="E126" s="38"/>
      <c r="F126" s="39"/>
      <c r="G126" s="40"/>
      <c r="H126" s="38" t="e">
        <f>MONTH(Libro_Diario[[#This Row],[Fecha]])</f>
        <v>#VALUE!</v>
      </c>
      <c r="I126" s="38" t="e">
        <f>YEAR(Libro_Diario[[#This Row],[Fecha]])</f>
        <v>#VALUE!</v>
      </c>
    </row>
    <row r="127" spans="3:9" x14ac:dyDescent="0.3">
      <c r="C127" s="37"/>
      <c r="D127" s="38"/>
      <c r="E127" s="38"/>
      <c r="F127" s="39"/>
      <c r="G127" s="40"/>
      <c r="H127" s="38" t="e">
        <f>MONTH(Libro_Diario[[#This Row],[Fecha]])</f>
        <v>#VALUE!</v>
      </c>
      <c r="I127" s="38" t="e">
        <f>YEAR(Libro_Diario[[#This Row],[Fecha]])</f>
        <v>#VALUE!</v>
      </c>
    </row>
    <row r="128" spans="3:9" x14ac:dyDescent="0.3">
      <c r="C128" s="37"/>
      <c r="D128" s="38"/>
      <c r="E128" s="38"/>
      <c r="F128" s="39"/>
      <c r="G128" s="40"/>
      <c r="H128" s="38" t="e">
        <f>MONTH(Libro_Diario[[#This Row],[Fecha]])</f>
        <v>#VALUE!</v>
      </c>
      <c r="I128" s="38" t="e">
        <f>YEAR(Libro_Diario[[#This Row],[Fecha]])</f>
        <v>#VALUE!</v>
      </c>
    </row>
    <row r="129" spans="3:9" x14ac:dyDescent="0.3">
      <c r="C129" s="37"/>
      <c r="D129" s="38"/>
      <c r="E129" s="38"/>
      <c r="F129" s="39"/>
      <c r="G129" s="40"/>
      <c r="H129" s="38" t="e">
        <f>MONTH(Libro_Diario[[#This Row],[Fecha]])</f>
        <v>#VALUE!</v>
      </c>
      <c r="I129" s="38" t="e">
        <f>YEAR(Libro_Diario[[#This Row],[Fecha]])</f>
        <v>#VALUE!</v>
      </c>
    </row>
    <row r="130" spans="3:9" x14ac:dyDescent="0.3">
      <c r="C130" s="37"/>
      <c r="D130" s="38"/>
      <c r="E130" s="38"/>
      <c r="F130" s="39"/>
      <c r="G130" s="40"/>
      <c r="H130" s="38" t="e">
        <f>MONTH(Libro_Diario[[#This Row],[Fecha]])</f>
        <v>#VALUE!</v>
      </c>
      <c r="I130" s="38" t="e">
        <f>YEAR(Libro_Diario[[#This Row],[Fecha]])</f>
        <v>#VALUE!</v>
      </c>
    </row>
    <row r="131" spans="3:9" x14ac:dyDescent="0.3">
      <c r="C131" s="37"/>
      <c r="D131" s="38"/>
      <c r="E131" s="38"/>
      <c r="F131" s="39"/>
      <c r="G131" s="40"/>
      <c r="H131" s="38" t="e">
        <f>MONTH(Libro_Diario[[#This Row],[Fecha]])</f>
        <v>#VALUE!</v>
      </c>
      <c r="I131" s="38" t="e">
        <f>YEAR(Libro_Diario[[#This Row],[Fecha]])</f>
        <v>#VALUE!</v>
      </c>
    </row>
    <row r="132" spans="3:9" x14ac:dyDescent="0.3">
      <c r="C132" s="37"/>
      <c r="D132" s="38"/>
      <c r="E132" s="38"/>
      <c r="F132" s="39"/>
      <c r="G132" s="40"/>
      <c r="H132" s="38" t="e">
        <f>MONTH(Libro_Diario[[#This Row],[Fecha]])</f>
        <v>#VALUE!</v>
      </c>
      <c r="I132" s="38" t="e">
        <f>YEAR(Libro_Diario[[#This Row],[Fecha]])</f>
        <v>#VALUE!</v>
      </c>
    </row>
    <row r="133" spans="3:9" x14ac:dyDescent="0.3">
      <c r="C133" s="37"/>
      <c r="D133" s="38"/>
      <c r="E133" s="38"/>
      <c r="F133" s="39"/>
      <c r="G133" s="40"/>
      <c r="H133" s="38" t="e">
        <f>MONTH(Libro_Diario[[#This Row],[Fecha]])</f>
        <v>#VALUE!</v>
      </c>
      <c r="I133" s="38" t="e">
        <f>YEAR(Libro_Diario[[#This Row],[Fecha]])</f>
        <v>#VALUE!</v>
      </c>
    </row>
    <row r="134" spans="3:9" x14ac:dyDescent="0.3">
      <c r="C134" s="37"/>
      <c r="D134" s="38"/>
      <c r="E134" s="38"/>
      <c r="F134" s="39"/>
      <c r="G134" s="40"/>
      <c r="H134" s="38" t="e">
        <f>MONTH(Libro_Diario[[#This Row],[Fecha]])</f>
        <v>#VALUE!</v>
      </c>
      <c r="I134" s="38" t="e">
        <f>YEAR(Libro_Diario[[#This Row],[Fecha]])</f>
        <v>#VALUE!</v>
      </c>
    </row>
    <row r="135" spans="3:9" x14ac:dyDescent="0.3">
      <c r="C135" s="37"/>
      <c r="D135" s="38"/>
      <c r="E135" s="38"/>
      <c r="F135" s="39"/>
      <c r="G135" s="40"/>
      <c r="H135" s="38" t="e">
        <f>MONTH(Libro_Diario[[#This Row],[Fecha]])</f>
        <v>#VALUE!</v>
      </c>
      <c r="I135" s="38" t="e">
        <f>YEAR(Libro_Diario[[#This Row],[Fecha]])</f>
        <v>#VALUE!</v>
      </c>
    </row>
    <row r="136" spans="3:9" x14ac:dyDescent="0.3">
      <c r="C136" s="37"/>
      <c r="D136" s="38"/>
      <c r="E136" s="38"/>
      <c r="F136" s="39"/>
      <c r="G136" s="40"/>
      <c r="H136" s="38" t="e">
        <f>MONTH(Libro_Diario[[#This Row],[Fecha]])</f>
        <v>#VALUE!</v>
      </c>
      <c r="I136" s="38" t="e">
        <f>YEAR(Libro_Diario[[#This Row],[Fecha]])</f>
        <v>#VALUE!</v>
      </c>
    </row>
    <row r="137" spans="3:9" x14ac:dyDescent="0.3">
      <c r="C137" s="37"/>
      <c r="D137" s="38"/>
      <c r="E137" s="38"/>
      <c r="F137" s="39"/>
      <c r="G137" s="40"/>
      <c r="H137" s="38" t="e">
        <f>MONTH(Libro_Diario[[#This Row],[Fecha]])</f>
        <v>#VALUE!</v>
      </c>
      <c r="I137" s="38" t="e">
        <f>YEAR(Libro_Diario[[#This Row],[Fecha]])</f>
        <v>#VALUE!</v>
      </c>
    </row>
    <row r="138" spans="3:9" x14ac:dyDescent="0.3">
      <c r="C138" s="37"/>
      <c r="D138" s="38"/>
      <c r="E138" s="38"/>
      <c r="F138" s="39"/>
      <c r="G138" s="40"/>
      <c r="H138" s="38" t="e">
        <f>MONTH(Libro_Diario[[#This Row],[Fecha]])</f>
        <v>#VALUE!</v>
      </c>
      <c r="I138" s="38" t="e">
        <f>YEAR(Libro_Diario[[#This Row],[Fecha]])</f>
        <v>#VALUE!</v>
      </c>
    </row>
    <row r="139" spans="3:9" x14ac:dyDescent="0.3">
      <c r="C139" s="37"/>
      <c r="D139" s="38"/>
      <c r="E139" s="38"/>
      <c r="F139" s="39"/>
      <c r="G139" s="40"/>
      <c r="H139" s="38" t="e">
        <f>MONTH(Libro_Diario[[#This Row],[Fecha]])</f>
        <v>#VALUE!</v>
      </c>
      <c r="I139" s="38" t="e">
        <f>YEAR(Libro_Diario[[#This Row],[Fecha]])</f>
        <v>#VALUE!</v>
      </c>
    </row>
    <row r="140" spans="3:9" x14ac:dyDescent="0.3">
      <c r="C140" s="37"/>
      <c r="D140" s="38"/>
      <c r="E140" s="38"/>
      <c r="F140" s="39"/>
      <c r="G140" s="40"/>
      <c r="H140" s="38" t="e">
        <f>MONTH(Libro_Diario[[#This Row],[Fecha]])</f>
        <v>#VALUE!</v>
      </c>
      <c r="I140" s="38" t="e">
        <f>YEAR(Libro_Diario[[#This Row],[Fecha]])</f>
        <v>#VALUE!</v>
      </c>
    </row>
    <row r="141" spans="3:9" x14ac:dyDescent="0.3">
      <c r="C141" s="37"/>
      <c r="D141" s="38"/>
      <c r="E141" s="38"/>
      <c r="F141" s="39"/>
      <c r="G141" s="40"/>
      <c r="H141" s="38" t="e">
        <f>MONTH(Libro_Diario[[#This Row],[Fecha]])</f>
        <v>#VALUE!</v>
      </c>
      <c r="I141" s="38" t="e">
        <f>YEAR(Libro_Diario[[#This Row],[Fecha]])</f>
        <v>#VALUE!</v>
      </c>
    </row>
    <row r="142" spans="3:9" x14ac:dyDescent="0.3">
      <c r="C142" s="37"/>
      <c r="D142" s="38"/>
      <c r="E142" s="38"/>
      <c r="F142" s="39"/>
      <c r="G142" s="40"/>
      <c r="H142" s="38" t="e">
        <f>MONTH(Libro_Diario[[#This Row],[Fecha]])</f>
        <v>#VALUE!</v>
      </c>
      <c r="I142" s="38" t="e">
        <f>YEAR(Libro_Diario[[#This Row],[Fecha]])</f>
        <v>#VALUE!</v>
      </c>
    </row>
    <row r="143" spans="3:9" x14ac:dyDescent="0.3">
      <c r="C143" s="37"/>
      <c r="D143" s="38"/>
      <c r="E143" s="38"/>
      <c r="F143" s="39"/>
      <c r="G143" s="40"/>
      <c r="H143" s="38" t="e">
        <f>MONTH(Libro_Diario[[#This Row],[Fecha]])</f>
        <v>#VALUE!</v>
      </c>
      <c r="I143" s="38" t="e">
        <f>YEAR(Libro_Diario[[#This Row],[Fecha]])</f>
        <v>#VALUE!</v>
      </c>
    </row>
    <row r="144" spans="3:9" x14ac:dyDescent="0.3">
      <c r="C144" s="37"/>
      <c r="D144" s="38"/>
      <c r="E144" s="38"/>
      <c r="F144" s="39"/>
      <c r="G144" s="40"/>
      <c r="H144" s="38" t="e">
        <f>MONTH(Libro_Diario[[#This Row],[Fecha]])</f>
        <v>#VALUE!</v>
      </c>
      <c r="I144" s="38" t="e">
        <f>YEAR(Libro_Diario[[#This Row],[Fecha]])</f>
        <v>#VALUE!</v>
      </c>
    </row>
    <row r="145" spans="3:9" x14ac:dyDescent="0.3">
      <c r="C145" s="37"/>
      <c r="D145" s="38"/>
      <c r="E145" s="38"/>
      <c r="F145" s="39"/>
      <c r="G145" s="40"/>
      <c r="H145" s="38" t="e">
        <f>MONTH(Libro_Diario[[#This Row],[Fecha]])</f>
        <v>#VALUE!</v>
      </c>
      <c r="I145" s="38" t="e">
        <f>YEAR(Libro_Diario[[#This Row],[Fecha]])</f>
        <v>#VALUE!</v>
      </c>
    </row>
    <row r="146" spans="3:9" x14ac:dyDescent="0.3">
      <c r="C146" s="37"/>
      <c r="D146" s="38"/>
      <c r="E146" s="38"/>
      <c r="F146" s="39"/>
      <c r="G146" s="40"/>
      <c r="H146" s="38" t="e">
        <f>MONTH(Libro_Diario[[#This Row],[Fecha]])</f>
        <v>#VALUE!</v>
      </c>
      <c r="I146" s="38" t="e">
        <f>YEAR(Libro_Diario[[#This Row],[Fecha]])</f>
        <v>#VALUE!</v>
      </c>
    </row>
    <row r="147" spans="3:9" x14ac:dyDescent="0.3">
      <c r="C147" s="37"/>
      <c r="D147" s="38"/>
      <c r="E147" s="38"/>
      <c r="F147" s="39"/>
      <c r="G147" s="40"/>
      <c r="H147" s="38" t="e">
        <f>MONTH(Libro_Diario[[#This Row],[Fecha]])</f>
        <v>#VALUE!</v>
      </c>
      <c r="I147" s="38" t="e">
        <f>YEAR(Libro_Diario[[#This Row],[Fecha]])</f>
        <v>#VALUE!</v>
      </c>
    </row>
    <row r="148" spans="3:9" x14ac:dyDescent="0.3">
      <c r="C148" s="37"/>
      <c r="D148" s="38"/>
      <c r="E148" s="38"/>
      <c r="F148" s="39"/>
      <c r="G148" s="40"/>
      <c r="H148" s="38" t="e">
        <f>MONTH(Libro_Diario[[#This Row],[Fecha]])</f>
        <v>#VALUE!</v>
      </c>
      <c r="I148" s="38" t="e">
        <f>YEAR(Libro_Diario[[#This Row],[Fecha]])</f>
        <v>#VALUE!</v>
      </c>
    </row>
    <row r="149" spans="3:9" x14ac:dyDescent="0.3">
      <c r="C149" s="37"/>
      <c r="D149" s="38"/>
      <c r="E149" s="38"/>
      <c r="F149" s="39"/>
      <c r="G149" s="40"/>
      <c r="H149" s="38" t="e">
        <f>MONTH(Libro_Diario[[#This Row],[Fecha]])</f>
        <v>#VALUE!</v>
      </c>
      <c r="I149" s="38" t="e">
        <f>YEAR(Libro_Diario[[#This Row],[Fecha]])</f>
        <v>#VALUE!</v>
      </c>
    </row>
    <row r="150" spans="3:9" x14ac:dyDescent="0.3">
      <c r="C150" s="37"/>
      <c r="D150" s="38"/>
      <c r="E150" s="38"/>
      <c r="F150" s="39"/>
      <c r="G150" s="40"/>
      <c r="H150" s="38" t="e">
        <f>MONTH(Libro_Diario[[#This Row],[Fecha]])</f>
        <v>#VALUE!</v>
      </c>
      <c r="I150" s="38" t="e">
        <f>YEAR(Libro_Diario[[#This Row],[Fecha]])</f>
        <v>#VALUE!</v>
      </c>
    </row>
    <row r="151" spans="3:9" x14ac:dyDescent="0.3">
      <c r="C151" s="37"/>
      <c r="D151" s="38"/>
      <c r="E151" s="38"/>
      <c r="F151" s="39"/>
      <c r="G151" s="40"/>
      <c r="H151" s="38" t="e">
        <f>MONTH(Libro_Diario[[#This Row],[Fecha]])</f>
        <v>#VALUE!</v>
      </c>
      <c r="I151" s="38" t="e">
        <f>YEAR(Libro_Diario[[#This Row],[Fecha]])</f>
        <v>#VALUE!</v>
      </c>
    </row>
    <row r="152" spans="3:9" x14ac:dyDescent="0.3">
      <c r="C152" s="37"/>
      <c r="D152" s="38"/>
      <c r="E152" s="38"/>
      <c r="F152" s="39"/>
      <c r="G152" s="40"/>
      <c r="H152" s="38" t="e">
        <f>MONTH(Libro_Diario[[#This Row],[Fecha]])</f>
        <v>#VALUE!</v>
      </c>
      <c r="I152" s="38" t="e">
        <f>YEAR(Libro_Diario[[#This Row],[Fecha]])</f>
        <v>#VALUE!</v>
      </c>
    </row>
    <row r="153" spans="3:9" x14ac:dyDescent="0.3">
      <c r="C153" s="37"/>
      <c r="D153" s="38"/>
      <c r="E153" s="38"/>
      <c r="F153" s="39"/>
      <c r="G153" s="40"/>
      <c r="H153" s="38" t="e">
        <f>MONTH(Libro_Diario[[#This Row],[Fecha]])</f>
        <v>#VALUE!</v>
      </c>
      <c r="I153" s="38" t="e">
        <f>YEAR(Libro_Diario[[#This Row],[Fecha]])</f>
        <v>#VALUE!</v>
      </c>
    </row>
    <row r="154" spans="3:9" x14ac:dyDescent="0.3">
      <c r="C154" s="37"/>
      <c r="D154" s="38"/>
      <c r="E154" s="38"/>
      <c r="F154" s="39"/>
      <c r="G154" s="40"/>
      <c r="H154" s="38" t="e">
        <f>MONTH(Libro_Diario[[#This Row],[Fecha]])</f>
        <v>#VALUE!</v>
      </c>
      <c r="I154" s="38" t="e">
        <f>YEAR(Libro_Diario[[#This Row],[Fecha]])</f>
        <v>#VALUE!</v>
      </c>
    </row>
    <row r="155" spans="3:9" x14ac:dyDescent="0.3">
      <c r="C155" s="37"/>
      <c r="D155" s="38"/>
      <c r="E155" s="38"/>
      <c r="F155" s="39"/>
      <c r="G155" s="40"/>
      <c r="H155" s="38" t="e">
        <f>MONTH(Libro_Diario[[#This Row],[Fecha]])</f>
        <v>#VALUE!</v>
      </c>
      <c r="I155" s="38" t="e">
        <f>YEAR(Libro_Diario[[#This Row],[Fecha]])</f>
        <v>#VALUE!</v>
      </c>
    </row>
    <row r="156" spans="3:9" x14ac:dyDescent="0.3">
      <c r="C156" s="37"/>
      <c r="D156" s="38"/>
      <c r="E156" s="38"/>
      <c r="F156" s="39"/>
      <c r="G156" s="40"/>
      <c r="H156" s="38" t="e">
        <f>MONTH(Libro_Diario[[#This Row],[Fecha]])</f>
        <v>#VALUE!</v>
      </c>
      <c r="I156" s="38" t="e">
        <f>YEAR(Libro_Diario[[#This Row],[Fecha]])</f>
        <v>#VALUE!</v>
      </c>
    </row>
    <row r="157" spans="3:9" x14ac:dyDescent="0.3">
      <c r="C157" s="37"/>
      <c r="D157" s="38"/>
      <c r="E157" s="38"/>
      <c r="F157" s="39"/>
      <c r="G157" s="40"/>
      <c r="H157" s="38" t="e">
        <f>MONTH(Libro_Diario[[#This Row],[Fecha]])</f>
        <v>#VALUE!</v>
      </c>
      <c r="I157" s="38" t="e">
        <f>YEAR(Libro_Diario[[#This Row],[Fecha]])</f>
        <v>#VALUE!</v>
      </c>
    </row>
    <row r="158" spans="3:9" x14ac:dyDescent="0.3">
      <c r="C158" s="37"/>
      <c r="D158" s="38"/>
      <c r="E158" s="38"/>
      <c r="F158" s="39"/>
      <c r="G158" s="40"/>
      <c r="H158" s="38" t="e">
        <f>MONTH(Libro_Diario[[#This Row],[Fecha]])</f>
        <v>#VALUE!</v>
      </c>
      <c r="I158" s="38" t="e">
        <f>YEAR(Libro_Diario[[#This Row],[Fecha]])</f>
        <v>#VALUE!</v>
      </c>
    </row>
    <row r="159" spans="3:9" x14ac:dyDescent="0.3">
      <c r="C159" s="37"/>
      <c r="D159" s="38"/>
      <c r="E159" s="38"/>
      <c r="F159" s="39"/>
      <c r="G159" s="40"/>
      <c r="H159" s="38" t="e">
        <f>MONTH(Libro_Diario[[#This Row],[Fecha]])</f>
        <v>#VALUE!</v>
      </c>
      <c r="I159" s="38" t="e">
        <f>YEAR(Libro_Diario[[#This Row],[Fecha]])</f>
        <v>#VALUE!</v>
      </c>
    </row>
    <row r="160" spans="3:9" x14ac:dyDescent="0.3">
      <c r="C160" s="37"/>
      <c r="D160" s="38"/>
      <c r="E160" s="38"/>
      <c r="F160" s="39"/>
      <c r="G160" s="40"/>
      <c r="H160" s="38" t="e">
        <f>MONTH(Libro_Diario[[#This Row],[Fecha]])</f>
        <v>#VALUE!</v>
      </c>
      <c r="I160" s="38" t="e">
        <f>YEAR(Libro_Diario[[#This Row],[Fecha]])</f>
        <v>#VALUE!</v>
      </c>
    </row>
    <row r="161" spans="3:9" x14ac:dyDescent="0.3">
      <c r="C161" s="37"/>
      <c r="D161" s="38"/>
      <c r="E161" s="38"/>
      <c r="F161" s="39"/>
      <c r="G161" s="40"/>
      <c r="H161" s="38" t="e">
        <f>MONTH(Libro_Diario[[#This Row],[Fecha]])</f>
        <v>#VALUE!</v>
      </c>
      <c r="I161" s="38" t="e">
        <f>YEAR(Libro_Diario[[#This Row],[Fecha]])</f>
        <v>#VALUE!</v>
      </c>
    </row>
    <row r="162" spans="3:9" x14ac:dyDescent="0.3">
      <c r="C162" s="37"/>
      <c r="D162" s="38"/>
      <c r="E162" s="38"/>
      <c r="F162" s="39"/>
      <c r="G162" s="40"/>
      <c r="H162" s="38" t="e">
        <f>MONTH(Libro_Diario[[#This Row],[Fecha]])</f>
        <v>#VALUE!</v>
      </c>
      <c r="I162" s="38" t="e">
        <f>YEAR(Libro_Diario[[#This Row],[Fecha]])</f>
        <v>#VALUE!</v>
      </c>
    </row>
    <row r="163" spans="3:9" x14ac:dyDescent="0.3">
      <c r="C163" s="37"/>
      <c r="D163" s="38"/>
      <c r="E163" s="38"/>
      <c r="F163" s="39"/>
      <c r="G163" s="40"/>
      <c r="H163" s="38" t="e">
        <f>MONTH(Libro_Diario[[#This Row],[Fecha]])</f>
        <v>#VALUE!</v>
      </c>
      <c r="I163" s="38" t="e">
        <f>YEAR(Libro_Diario[[#This Row],[Fecha]])</f>
        <v>#VALUE!</v>
      </c>
    </row>
    <row r="164" spans="3:9" x14ac:dyDescent="0.3">
      <c r="C164" s="37"/>
      <c r="D164" s="38"/>
      <c r="E164" s="38"/>
      <c r="F164" s="39"/>
      <c r="G164" s="40"/>
      <c r="H164" s="38" t="e">
        <f>MONTH(Libro_Diario[[#This Row],[Fecha]])</f>
        <v>#VALUE!</v>
      </c>
      <c r="I164" s="38" t="e">
        <f>YEAR(Libro_Diario[[#This Row],[Fecha]])</f>
        <v>#VALUE!</v>
      </c>
    </row>
    <row r="165" spans="3:9" x14ac:dyDescent="0.3">
      <c r="C165" s="37"/>
      <c r="D165" s="38"/>
      <c r="E165" s="38"/>
      <c r="F165" s="39"/>
      <c r="G165" s="40"/>
      <c r="H165" s="38" t="e">
        <f>MONTH(Libro_Diario[[#This Row],[Fecha]])</f>
        <v>#VALUE!</v>
      </c>
      <c r="I165" s="38" t="e">
        <f>YEAR(Libro_Diario[[#This Row],[Fecha]])</f>
        <v>#VALUE!</v>
      </c>
    </row>
    <row r="166" spans="3:9" x14ac:dyDescent="0.3">
      <c r="C166" s="37"/>
      <c r="D166" s="38"/>
      <c r="E166" s="38"/>
      <c r="F166" s="39"/>
      <c r="G166" s="40"/>
      <c r="H166" s="38" t="e">
        <f>MONTH(Libro_Diario[[#This Row],[Fecha]])</f>
        <v>#VALUE!</v>
      </c>
      <c r="I166" s="38" t="e">
        <f>YEAR(Libro_Diario[[#This Row],[Fecha]])</f>
        <v>#VALUE!</v>
      </c>
    </row>
    <row r="167" spans="3:9" x14ac:dyDescent="0.3">
      <c r="C167" s="37"/>
      <c r="D167" s="38"/>
      <c r="E167" s="38"/>
      <c r="F167" s="39"/>
      <c r="G167" s="40"/>
      <c r="H167" s="38" t="e">
        <f>MONTH(Libro_Diario[[#This Row],[Fecha]])</f>
        <v>#VALUE!</v>
      </c>
      <c r="I167" s="38" t="e">
        <f>YEAR(Libro_Diario[[#This Row],[Fecha]])</f>
        <v>#VALUE!</v>
      </c>
    </row>
    <row r="168" spans="3:9" x14ac:dyDescent="0.3">
      <c r="C168" s="37"/>
      <c r="D168" s="38"/>
      <c r="E168" s="38"/>
      <c r="F168" s="39"/>
      <c r="G168" s="40"/>
      <c r="H168" s="38" t="e">
        <f>MONTH(Libro_Diario[[#This Row],[Fecha]])</f>
        <v>#VALUE!</v>
      </c>
      <c r="I168" s="38" t="e">
        <f>YEAR(Libro_Diario[[#This Row],[Fecha]])</f>
        <v>#VALUE!</v>
      </c>
    </row>
    <row r="169" spans="3:9" x14ac:dyDescent="0.3">
      <c r="C169" s="37"/>
      <c r="D169" s="38"/>
      <c r="E169" s="38"/>
      <c r="F169" s="39"/>
      <c r="G169" s="40"/>
      <c r="H169" s="38" t="e">
        <f>MONTH(Libro_Diario[[#This Row],[Fecha]])</f>
        <v>#VALUE!</v>
      </c>
      <c r="I169" s="38" t="e">
        <f>YEAR(Libro_Diario[[#This Row],[Fecha]])</f>
        <v>#VALUE!</v>
      </c>
    </row>
    <row r="170" spans="3:9" x14ac:dyDescent="0.3">
      <c r="C170" s="37"/>
      <c r="D170" s="38"/>
      <c r="E170" s="38"/>
      <c r="F170" s="39"/>
      <c r="G170" s="40"/>
      <c r="H170" s="38" t="e">
        <f>MONTH(Libro_Diario[[#This Row],[Fecha]])</f>
        <v>#VALUE!</v>
      </c>
      <c r="I170" s="38" t="e">
        <f>YEAR(Libro_Diario[[#This Row],[Fecha]])</f>
        <v>#VALUE!</v>
      </c>
    </row>
    <row r="171" spans="3:9" x14ac:dyDescent="0.3">
      <c r="C171" s="37"/>
      <c r="D171" s="38"/>
      <c r="E171" s="38"/>
      <c r="F171" s="39"/>
      <c r="G171" s="40"/>
      <c r="H171" s="38" t="e">
        <f>MONTH(Libro_Diario[[#This Row],[Fecha]])</f>
        <v>#VALUE!</v>
      </c>
      <c r="I171" s="38" t="e">
        <f>YEAR(Libro_Diario[[#This Row],[Fecha]])</f>
        <v>#VALUE!</v>
      </c>
    </row>
    <row r="172" spans="3:9" x14ac:dyDescent="0.3">
      <c r="C172" s="37"/>
      <c r="D172" s="38"/>
      <c r="E172" s="38"/>
      <c r="F172" s="39"/>
      <c r="G172" s="40"/>
      <c r="H172" s="38" t="e">
        <f>MONTH(Libro_Diario[[#This Row],[Fecha]])</f>
        <v>#VALUE!</v>
      </c>
      <c r="I172" s="38" t="e">
        <f>YEAR(Libro_Diario[[#This Row],[Fecha]])</f>
        <v>#VALUE!</v>
      </c>
    </row>
    <row r="173" spans="3:9" x14ac:dyDescent="0.3">
      <c r="C173" s="37"/>
      <c r="D173" s="38"/>
      <c r="E173" s="38"/>
      <c r="F173" s="39"/>
      <c r="G173" s="40"/>
      <c r="H173" s="38" t="e">
        <f>MONTH(Libro_Diario[[#This Row],[Fecha]])</f>
        <v>#VALUE!</v>
      </c>
      <c r="I173" s="38" t="e">
        <f>YEAR(Libro_Diario[[#This Row],[Fecha]])</f>
        <v>#VALUE!</v>
      </c>
    </row>
    <row r="174" spans="3:9" x14ac:dyDescent="0.3">
      <c r="C174" s="37"/>
      <c r="D174" s="38"/>
      <c r="E174" s="38"/>
      <c r="F174" s="39"/>
      <c r="G174" s="40"/>
      <c r="H174" s="38" t="e">
        <f>MONTH(Libro_Diario[[#This Row],[Fecha]])</f>
        <v>#VALUE!</v>
      </c>
      <c r="I174" s="38" t="e">
        <f>YEAR(Libro_Diario[[#This Row],[Fecha]])</f>
        <v>#VALUE!</v>
      </c>
    </row>
    <row r="175" spans="3:9" x14ac:dyDescent="0.3">
      <c r="C175" s="37"/>
      <c r="D175" s="38"/>
      <c r="E175" s="38"/>
      <c r="F175" s="39"/>
      <c r="G175" s="40"/>
      <c r="H175" s="38" t="e">
        <f>MONTH(Libro_Diario[[#This Row],[Fecha]])</f>
        <v>#VALUE!</v>
      </c>
      <c r="I175" s="38" t="e">
        <f>YEAR(Libro_Diario[[#This Row],[Fecha]])</f>
        <v>#VALUE!</v>
      </c>
    </row>
    <row r="176" spans="3:9" x14ac:dyDescent="0.3">
      <c r="C176" s="37"/>
      <c r="D176" s="38"/>
      <c r="E176" s="38"/>
      <c r="F176" s="39"/>
      <c r="G176" s="40"/>
      <c r="H176" s="38" t="e">
        <f>MONTH(Libro_Diario[[#This Row],[Fecha]])</f>
        <v>#VALUE!</v>
      </c>
      <c r="I176" s="38" t="e">
        <f>YEAR(Libro_Diario[[#This Row],[Fecha]])</f>
        <v>#VALUE!</v>
      </c>
    </row>
    <row r="177" spans="3:9" x14ac:dyDescent="0.3">
      <c r="C177" s="37"/>
      <c r="D177" s="38"/>
      <c r="E177" s="38"/>
      <c r="F177" s="39"/>
      <c r="G177" s="40"/>
      <c r="H177" s="38" t="e">
        <f>MONTH(Libro_Diario[[#This Row],[Fecha]])</f>
        <v>#VALUE!</v>
      </c>
      <c r="I177" s="38" t="e">
        <f>YEAR(Libro_Diario[[#This Row],[Fecha]])</f>
        <v>#VALUE!</v>
      </c>
    </row>
    <row r="178" spans="3:9" x14ac:dyDescent="0.3">
      <c r="C178" s="37"/>
      <c r="D178" s="38"/>
      <c r="E178" s="38"/>
      <c r="F178" s="39"/>
      <c r="G178" s="40"/>
      <c r="H178" s="38" t="e">
        <f>MONTH(Libro_Diario[[#This Row],[Fecha]])</f>
        <v>#VALUE!</v>
      </c>
      <c r="I178" s="38" t="e">
        <f>YEAR(Libro_Diario[[#This Row],[Fecha]])</f>
        <v>#VALUE!</v>
      </c>
    </row>
    <row r="179" spans="3:9" x14ac:dyDescent="0.3">
      <c r="C179" s="37"/>
      <c r="D179" s="38"/>
      <c r="E179" s="38"/>
      <c r="F179" s="39"/>
      <c r="G179" s="40"/>
      <c r="H179" s="38" t="e">
        <f>MONTH(Libro_Diario[[#This Row],[Fecha]])</f>
        <v>#VALUE!</v>
      </c>
      <c r="I179" s="38" t="e">
        <f>YEAR(Libro_Diario[[#This Row],[Fecha]])</f>
        <v>#VALUE!</v>
      </c>
    </row>
    <row r="180" spans="3:9" x14ac:dyDescent="0.3">
      <c r="C180" s="37"/>
      <c r="D180" s="38"/>
      <c r="E180" s="38"/>
      <c r="F180" s="39"/>
      <c r="G180" s="40"/>
      <c r="H180" s="38" t="e">
        <f>MONTH(Libro_Diario[[#This Row],[Fecha]])</f>
        <v>#VALUE!</v>
      </c>
      <c r="I180" s="38" t="e">
        <f>YEAR(Libro_Diario[[#This Row],[Fecha]])</f>
        <v>#VALUE!</v>
      </c>
    </row>
    <row r="181" spans="3:9" x14ac:dyDescent="0.3">
      <c r="C181" s="37"/>
      <c r="D181" s="38"/>
      <c r="E181" s="38"/>
      <c r="F181" s="39"/>
      <c r="G181" s="40"/>
      <c r="H181" s="38" t="e">
        <f>MONTH(Libro_Diario[[#This Row],[Fecha]])</f>
        <v>#VALUE!</v>
      </c>
      <c r="I181" s="38" t="e">
        <f>YEAR(Libro_Diario[[#This Row],[Fecha]])</f>
        <v>#VALUE!</v>
      </c>
    </row>
    <row r="182" spans="3:9" x14ac:dyDescent="0.3">
      <c r="C182" s="37"/>
      <c r="D182" s="38"/>
      <c r="E182" s="38"/>
      <c r="F182" s="39"/>
      <c r="G182" s="40"/>
      <c r="H182" s="38" t="e">
        <f>MONTH(Libro_Diario[[#This Row],[Fecha]])</f>
        <v>#VALUE!</v>
      </c>
      <c r="I182" s="38" t="e">
        <f>YEAR(Libro_Diario[[#This Row],[Fecha]])</f>
        <v>#VALUE!</v>
      </c>
    </row>
    <row r="183" spans="3:9" x14ac:dyDescent="0.3">
      <c r="C183" s="37"/>
      <c r="D183" s="38"/>
      <c r="E183" s="38"/>
      <c r="F183" s="39"/>
      <c r="G183" s="40"/>
      <c r="H183" s="38" t="e">
        <f>MONTH(Libro_Diario[[#This Row],[Fecha]])</f>
        <v>#VALUE!</v>
      </c>
      <c r="I183" s="38" t="e">
        <f>YEAR(Libro_Diario[[#This Row],[Fecha]])</f>
        <v>#VALUE!</v>
      </c>
    </row>
    <row r="184" spans="3:9" x14ac:dyDescent="0.3">
      <c r="C184" s="37"/>
      <c r="D184" s="38"/>
      <c r="E184" s="38"/>
      <c r="F184" s="39"/>
      <c r="G184" s="40"/>
      <c r="H184" s="38" t="e">
        <f>MONTH(Libro_Diario[[#This Row],[Fecha]])</f>
        <v>#VALUE!</v>
      </c>
      <c r="I184" s="38" t="e">
        <f>YEAR(Libro_Diario[[#This Row],[Fecha]])</f>
        <v>#VALUE!</v>
      </c>
    </row>
    <row r="185" spans="3:9" x14ac:dyDescent="0.3">
      <c r="C185" s="37"/>
      <c r="D185" s="38"/>
      <c r="E185" s="38"/>
      <c r="F185" s="39"/>
      <c r="G185" s="40"/>
      <c r="H185" s="38" t="e">
        <f>MONTH(Libro_Diario[[#This Row],[Fecha]])</f>
        <v>#VALUE!</v>
      </c>
      <c r="I185" s="38" t="e">
        <f>YEAR(Libro_Diario[[#This Row],[Fecha]])</f>
        <v>#VALUE!</v>
      </c>
    </row>
    <row r="186" spans="3:9" x14ac:dyDescent="0.3">
      <c r="C186" s="37"/>
      <c r="D186" s="38"/>
      <c r="E186" s="38"/>
      <c r="F186" s="39"/>
      <c r="G186" s="40"/>
      <c r="H186" s="38" t="e">
        <f>MONTH(Libro_Diario[[#This Row],[Fecha]])</f>
        <v>#VALUE!</v>
      </c>
      <c r="I186" s="38" t="e">
        <f>YEAR(Libro_Diario[[#This Row],[Fecha]])</f>
        <v>#VALUE!</v>
      </c>
    </row>
    <row r="187" spans="3:9" x14ac:dyDescent="0.3">
      <c r="C187" s="37"/>
      <c r="D187" s="38"/>
      <c r="E187" s="38"/>
      <c r="F187" s="39"/>
      <c r="G187" s="40"/>
      <c r="H187" s="38" t="e">
        <f>MONTH(Libro_Diario[[#This Row],[Fecha]])</f>
        <v>#VALUE!</v>
      </c>
      <c r="I187" s="38" t="e">
        <f>YEAR(Libro_Diario[[#This Row],[Fecha]])</f>
        <v>#VALUE!</v>
      </c>
    </row>
    <row r="188" spans="3:9" x14ac:dyDescent="0.3">
      <c r="C188" s="37"/>
      <c r="D188" s="38"/>
      <c r="E188" s="38"/>
      <c r="F188" s="39"/>
      <c r="G188" s="40"/>
      <c r="H188" s="38" t="e">
        <f>MONTH(Libro_Diario[[#This Row],[Fecha]])</f>
        <v>#VALUE!</v>
      </c>
      <c r="I188" s="38" t="e">
        <f>YEAR(Libro_Diario[[#This Row],[Fecha]])</f>
        <v>#VALUE!</v>
      </c>
    </row>
    <row r="189" spans="3:9" x14ac:dyDescent="0.3">
      <c r="C189" s="37"/>
      <c r="D189" s="38"/>
      <c r="E189" s="38"/>
      <c r="F189" s="39"/>
      <c r="G189" s="40"/>
      <c r="H189" s="38" t="e">
        <f>MONTH(Libro_Diario[[#This Row],[Fecha]])</f>
        <v>#VALUE!</v>
      </c>
      <c r="I189" s="38" t="e">
        <f>YEAR(Libro_Diario[[#This Row],[Fecha]])</f>
        <v>#VALUE!</v>
      </c>
    </row>
    <row r="190" spans="3:9" x14ac:dyDescent="0.3">
      <c r="C190" s="37"/>
      <c r="D190" s="38"/>
      <c r="E190" s="38"/>
      <c r="F190" s="39"/>
      <c r="G190" s="40"/>
      <c r="H190" s="38" t="e">
        <f>MONTH(Libro_Diario[[#This Row],[Fecha]])</f>
        <v>#VALUE!</v>
      </c>
      <c r="I190" s="38" t="e">
        <f>YEAR(Libro_Diario[[#This Row],[Fecha]])</f>
        <v>#VALUE!</v>
      </c>
    </row>
    <row r="191" spans="3:9" x14ac:dyDescent="0.3">
      <c r="C191" s="37"/>
      <c r="D191" s="38"/>
      <c r="E191" s="38"/>
      <c r="F191" s="39"/>
      <c r="G191" s="40"/>
      <c r="H191" s="38" t="e">
        <f>MONTH(Libro_Diario[[#This Row],[Fecha]])</f>
        <v>#VALUE!</v>
      </c>
      <c r="I191" s="38" t="e">
        <f>YEAR(Libro_Diario[[#This Row],[Fecha]])</f>
        <v>#VALUE!</v>
      </c>
    </row>
    <row r="192" spans="3:9" x14ac:dyDescent="0.3">
      <c r="C192" s="37"/>
      <c r="D192" s="38"/>
      <c r="E192" s="38"/>
      <c r="F192" s="39"/>
      <c r="G192" s="40"/>
      <c r="H192" s="38" t="e">
        <f>MONTH(Libro_Diario[[#This Row],[Fecha]])</f>
        <v>#VALUE!</v>
      </c>
      <c r="I192" s="38" t="e">
        <f>YEAR(Libro_Diario[[#This Row],[Fecha]])</f>
        <v>#VALUE!</v>
      </c>
    </row>
    <row r="193" spans="3:9" x14ac:dyDescent="0.3">
      <c r="C193" s="37"/>
      <c r="D193" s="38"/>
      <c r="E193" s="38"/>
      <c r="F193" s="39"/>
      <c r="G193" s="40"/>
      <c r="H193" s="38" t="e">
        <f>MONTH(Libro_Diario[[#This Row],[Fecha]])</f>
        <v>#VALUE!</v>
      </c>
      <c r="I193" s="38" t="e">
        <f>YEAR(Libro_Diario[[#This Row],[Fecha]])</f>
        <v>#VALUE!</v>
      </c>
    </row>
    <row r="194" spans="3:9" x14ac:dyDescent="0.3">
      <c r="C194" s="37"/>
      <c r="D194" s="38"/>
      <c r="E194" s="38"/>
      <c r="F194" s="39"/>
      <c r="G194" s="40"/>
      <c r="H194" s="38" t="e">
        <f>MONTH(Libro_Diario[[#This Row],[Fecha]])</f>
        <v>#VALUE!</v>
      </c>
      <c r="I194" s="38" t="e">
        <f>YEAR(Libro_Diario[[#This Row],[Fecha]])</f>
        <v>#VALUE!</v>
      </c>
    </row>
    <row r="195" spans="3:9" x14ac:dyDescent="0.3">
      <c r="C195" s="37"/>
      <c r="D195" s="38"/>
      <c r="E195" s="38"/>
      <c r="F195" s="39"/>
      <c r="G195" s="40"/>
      <c r="H195" s="38" t="e">
        <f>MONTH(Libro_Diario[[#This Row],[Fecha]])</f>
        <v>#VALUE!</v>
      </c>
      <c r="I195" s="38" t="e">
        <f>YEAR(Libro_Diario[[#This Row],[Fecha]])</f>
        <v>#VALUE!</v>
      </c>
    </row>
    <row r="196" spans="3:9" x14ac:dyDescent="0.3">
      <c r="C196" s="37"/>
      <c r="D196" s="38"/>
      <c r="E196" s="38"/>
      <c r="F196" s="39"/>
      <c r="G196" s="40"/>
      <c r="H196" s="38" t="e">
        <f>MONTH(Libro_Diario[[#This Row],[Fecha]])</f>
        <v>#VALUE!</v>
      </c>
      <c r="I196" s="38" t="e">
        <f>YEAR(Libro_Diario[[#This Row],[Fecha]])</f>
        <v>#VALUE!</v>
      </c>
    </row>
    <row r="197" spans="3:9" x14ac:dyDescent="0.3">
      <c r="C197" s="37"/>
      <c r="D197" s="38"/>
      <c r="E197" s="38"/>
      <c r="F197" s="39"/>
      <c r="G197" s="40"/>
      <c r="H197" s="38" t="e">
        <f>MONTH(Libro_Diario[[#This Row],[Fecha]])</f>
        <v>#VALUE!</v>
      </c>
      <c r="I197" s="38" t="e">
        <f>YEAR(Libro_Diario[[#This Row],[Fecha]])</f>
        <v>#VALUE!</v>
      </c>
    </row>
    <row r="198" spans="3:9" x14ac:dyDescent="0.3">
      <c r="C198" s="37"/>
      <c r="D198" s="38"/>
      <c r="E198" s="38"/>
      <c r="F198" s="39"/>
      <c r="G198" s="40"/>
      <c r="H198" s="38" t="e">
        <f>MONTH(Libro_Diario[[#This Row],[Fecha]])</f>
        <v>#VALUE!</v>
      </c>
      <c r="I198" s="38" t="e">
        <f>YEAR(Libro_Diario[[#This Row],[Fecha]])</f>
        <v>#VALUE!</v>
      </c>
    </row>
    <row r="199" spans="3:9" x14ac:dyDescent="0.3">
      <c r="C199" s="37"/>
      <c r="D199" s="38"/>
      <c r="E199" s="38"/>
      <c r="F199" s="39"/>
      <c r="G199" s="40"/>
      <c r="H199" s="38" t="e">
        <f>MONTH(Libro_Diario[[#This Row],[Fecha]])</f>
        <v>#VALUE!</v>
      </c>
      <c r="I199" s="38" t="e">
        <f>YEAR(Libro_Diario[[#This Row],[Fecha]])</f>
        <v>#VALUE!</v>
      </c>
    </row>
    <row r="200" spans="3:9" x14ac:dyDescent="0.3">
      <c r="C200" s="37"/>
      <c r="D200" s="38"/>
      <c r="E200" s="38"/>
      <c r="F200" s="39"/>
      <c r="G200" s="40"/>
      <c r="H200" s="38" t="e">
        <f>MONTH(Libro_Diario[[#This Row],[Fecha]])</f>
        <v>#VALUE!</v>
      </c>
      <c r="I200" s="38" t="e">
        <f>YEAR(Libro_Diario[[#This Row],[Fecha]])</f>
        <v>#VALUE!</v>
      </c>
    </row>
    <row r="201" spans="3:9" x14ac:dyDescent="0.3">
      <c r="C201" s="37"/>
      <c r="D201" s="38"/>
      <c r="E201" s="38"/>
      <c r="F201" s="39"/>
      <c r="G201" s="40"/>
      <c r="H201" s="38" t="e">
        <f>MONTH(Libro_Diario[[#This Row],[Fecha]])</f>
        <v>#VALUE!</v>
      </c>
      <c r="I201" s="38" t="e">
        <f>YEAR(Libro_Diario[[#This Row],[Fecha]])</f>
        <v>#VALUE!</v>
      </c>
    </row>
    <row r="202" spans="3:9" x14ac:dyDescent="0.3">
      <c r="C202" s="37"/>
      <c r="D202" s="38"/>
      <c r="E202" s="38"/>
      <c r="F202" s="39"/>
      <c r="G202" s="40"/>
      <c r="H202" s="38" t="e">
        <f>MONTH(Libro_Diario[[#This Row],[Fecha]])</f>
        <v>#VALUE!</v>
      </c>
      <c r="I202" s="38" t="e">
        <f>YEAR(Libro_Diario[[#This Row],[Fecha]])</f>
        <v>#VALUE!</v>
      </c>
    </row>
    <row r="203" spans="3:9" x14ac:dyDescent="0.3">
      <c r="C203" s="37"/>
      <c r="D203" s="38"/>
      <c r="E203" s="38"/>
      <c r="F203" s="39"/>
      <c r="G203" s="40"/>
      <c r="H203" s="38" t="e">
        <f>MONTH(Libro_Diario[[#This Row],[Fecha]])</f>
        <v>#VALUE!</v>
      </c>
      <c r="I203" s="38" t="e">
        <f>YEAR(Libro_Diario[[#This Row],[Fecha]])</f>
        <v>#VALUE!</v>
      </c>
    </row>
    <row r="204" spans="3:9" x14ac:dyDescent="0.3">
      <c r="C204" s="37"/>
      <c r="D204" s="38"/>
      <c r="E204" s="38"/>
      <c r="F204" s="39"/>
      <c r="G204" s="40"/>
      <c r="H204" s="38" t="e">
        <f>MONTH(Libro_Diario[[#This Row],[Fecha]])</f>
        <v>#VALUE!</v>
      </c>
      <c r="I204" s="38" t="e">
        <f>YEAR(Libro_Diario[[#This Row],[Fecha]])</f>
        <v>#VALUE!</v>
      </c>
    </row>
    <row r="205" spans="3:9" x14ac:dyDescent="0.3">
      <c r="C205" s="37"/>
      <c r="D205" s="38"/>
      <c r="E205" s="38"/>
      <c r="F205" s="39"/>
      <c r="G205" s="40"/>
      <c r="H205" s="38" t="e">
        <f>MONTH(Libro_Diario[[#This Row],[Fecha]])</f>
        <v>#VALUE!</v>
      </c>
      <c r="I205" s="38" t="e">
        <f>YEAR(Libro_Diario[[#This Row],[Fecha]])</f>
        <v>#VALUE!</v>
      </c>
    </row>
    <row r="206" spans="3:9" x14ac:dyDescent="0.3">
      <c r="C206" s="37"/>
      <c r="D206" s="38"/>
      <c r="E206" s="38"/>
      <c r="F206" s="39"/>
      <c r="G206" s="40"/>
      <c r="H206" s="38" t="e">
        <f>MONTH(Libro_Diario[[#This Row],[Fecha]])</f>
        <v>#VALUE!</v>
      </c>
      <c r="I206" s="38" t="e">
        <f>YEAR(Libro_Diario[[#This Row],[Fecha]])</f>
        <v>#VALUE!</v>
      </c>
    </row>
    <row r="207" spans="3:9" x14ac:dyDescent="0.3">
      <c r="C207" s="37"/>
      <c r="D207" s="38"/>
      <c r="E207" s="38"/>
      <c r="F207" s="39"/>
      <c r="G207" s="40"/>
      <c r="H207" s="38" t="e">
        <f>MONTH(Libro_Diario[[#This Row],[Fecha]])</f>
        <v>#VALUE!</v>
      </c>
      <c r="I207" s="38" t="e">
        <f>YEAR(Libro_Diario[[#This Row],[Fecha]])</f>
        <v>#VALUE!</v>
      </c>
    </row>
    <row r="208" spans="3:9" x14ac:dyDescent="0.3">
      <c r="C208" s="37"/>
      <c r="D208" s="38"/>
      <c r="E208" s="38"/>
      <c r="F208" s="39"/>
      <c r="G208" s="40"/>
      <c r="H208" s="38" t="e">
        <f>MONTH(Libro_Diario[[#This Row],[Fecha]])</f>
        <v>#VALUE!</v>
      </c>
      <c r="I208" s="38" t="e">
        <f>YEAR(Libro_Diario[[#This Row],[Fecha]])</f>
        <v>#VALUE!</v>
      </c>
    </row>
    <row r="209" spans="3:9" x14ac:dyDescent="0.3">
      <c r="C209" s="37"/>
      <c r="D209" s="38"/>
      <c r="E209" s="38"/>
      <c r="F209" s="39"/>
      <c r="G209" s="40"/>
      <c r="H209" s="38" t="e">
        <f>MONTH(Libro_Diario[[#This Row],[Fecha]])</f>
        <v>#VALUE!</v>
      </c>
      <c r="I209" s="38" t="e">
        <f>YEAR(Libro_Diario[[#This Row],[Fecha]])</f>
        <v>#VALUE!</v>
      </c>
    </row>
    <row r="210" spans="3:9" x14ac:dyDescent="0.3">
      <c r="C210" s="37"/>
      <c r="D210" s="38"/>
      <c r="E210" s="38"/>
      <c r="F210" s="39"/>
      <c r="G210" s="40"/>
      <c r="H210" s="38" t="e">
        <f>MONTH(Libro_Diario[[#This Row],[Fecha]])</f>
        <v>#VALUE!</v>
      </c>
      <c r="I210" s="38" t="e">
        <f>YEAR(Libro_Diario[[#This Row],[Fecha]])</f>
        <v>#VALUE!</v>
      </c>
    </row>
    <row r="211" spans="3:9" x14ac:dyDescent="0.3">
      <c r="C211" s="37"/>
      <c r="D211" s="38"/>
      <c r="E211" s="38"/>
      <c r="F211" s="39"/>
      <c r="G211" s="40"/>
      <c r="H211" s="38" t="e">
        <f>MONTH(Libro_Diario[[#This Row],[Fecha]])</f>
        <v>#VALUE!</v>
      </c>
      <c r="I211" s="38" t="e">
        <f>YEAR(Libro_Diario[[#This Row],[Fecha]])</f>
        <v>#VALUE!</v>
      </c>
    </row>
    <row r="212" spans="3:9" x14ac:dyDescent="0.3">
      <c r="C212" s="37"/>
      <c r="D212" s="38"/>
      <c r="E212" s="38"/>
      <c r="F212" s="39"/>
      <c r="G212" s="40"/>
      <c r="H212" s="38" t="e">
        <f>MONTH(Libro_Diario[[#This Row],[Fecha]])</f>
        <v>#VALUE!</v>
      </c>
      <c r="I212" s="38" t="e">
        <f>YEAR(Libro_Diario[[#This Row],[Fecha]])</f>
        <v>#VALUE!</v>
      </c>
    </row>
    <row r="213" spans="3:9" x14ac:dyDescent="0.3">
      <c r="C213" s="37"/>
      <c r="D213" s="38"/>
      <c r="E213" s="38"/>
      <c r="F213" s="39"/>
      <c r="G213" s="40"/>
      <c r="H213" s="38" t="e">
        <f>MONTH(Libro_Diario[[#This Row],[Fecha]])</f>
        <v>#VALUE!</v>
      </c>
      <c r="I213" s="38" t="e">
        <f>YEAR(Libro_Diario[[#This Row],[Fecha]])</f>
        <v>#VALUE!</v>
      </c>
    </row>
    <row r="214" spans="3:9" x14ac:dyDescent="0.3">
      <c r="C214" s="37"/>
      <c r="D214" s="38"/>
      <c r="E214" s="38"/>
      <c r="F214" s="39"/>
      <c r="G214" s="40"/>
      <c r="H214" s="38" t="e">
        <f>MONTH(Libro_Diario[[#This Row],[Fecha]])</f>
        <v>#VALUE!</v>
      </c>
      <c r="I214" s="38" t="e">
        <f>YEAR(Libro_Diario[[#This Row],[Fecha]])</f>
        <v>#VALUE!</v>
      </c>
    </row>
    <row r="215" spans="3:9" x14ac:dyDescent="0.3">
      <c r="C215" s="37"/>
      <c r="D215" s="38"/>
      <c r="E215" s="38"/>
      <c r="F215" s="39"/>
      <c r="G215" s="40"/>
      <c r="H215" s="38" t="e">
        <f>MONTH(Libro_Diario[[#This Row],[Fecha]])</f>
        <v>#VALUE!</v>
      </c>
      <c r="I215" s="38" t="e">
        <f>YEAR(Libro_Diario[[#This Row],[Fecha]])</f>
        <v>#VALUE!</v>
      </c>
    </row>
    <row r="216" spans="3:9" x14ac:dyDescent="0.3">
      <c r="C216" s="37"/>
      <c r="D216" s="38"/>
      <c r="E216" s="38"/>
      <c r="F216" s="39"/>
      <c r="G216" s="40"/>
      <c r="H216" s="38" t="e">
        <f>MONTH(Libro_Diario[[#This Row],[Fecha]])</f>
        <v>#VALUE!</v>
      </c>
      <c r="I216" s="38" t="e">
        <f>YEAR(Libro_Diario[[#This Row],[Fecha]])</f>
        <v>#VALUE!</v>
      </c>
    </row>
    <row r="217" spans="3:9" x14ac:dyDescent="0.3">
      <c r="C217" s="37"/>
      <c r="D217" s="38"/>
      <c r="E217" s="38"/>
      <c r="F217" s="39"/>
      <c r="G217" s="40"/>
      <c r="H217" s="38" t="e">
        <f>MONTH(Libro_Diario[[#This Row],[Fecha]])</f>
        <v>#VALUE!</v>
      </c>
      <c r="I217" s="38" t="e">
        <f>YEAR(Libro_Diario[[#This Row],[Fecha]])</f>
        <v>#VALUE!</v>
      </c>
    </row>
    <row r="218" spans="3:9" x14ac:dyDescent="0.3">
      <c r="C218" s="37"/>
      <c r="D218" s="38"/>
      <c r="E218" s="38"/>
      <c r="F218" s="39"/>
      <c r="G218" s="40"/>
      <c r="H218" s="38" t="e">
        <f>MONTH(Libro_Diario[[#This Row],[Fecha]])</f>
        <v>#VALUE!</v>
      </c>
      <c r="I218" s="38" t="e">
        <f>YEAR(Libro_Diario[[#This Row],[Fecha]])</f>
        <v>#VALUE!</v>
      </c>
    </row>
    <row r="219" spans="3:9" x14ac:dyDescent="0.3">
      <c r="C219" s="37"/>
      <c r="D219" s="38"/>
      <c r="E219" s="38"/>
      <c r="F219" s="39"/>
      <c r="G219" s="40"/>
      <c r="H219" s="38" t="e">
        <f>MONTH(Libro_Diario[[#This Row],[Fecha]])</f>
        <v>#VALUE!</v>
      </c>
      <c r="I219" s="38" t="e">
        <f>YEAR(Libro_Diario[[#This Row],[Fecha]])</f>
        <v>#VALUE!</v>
      </c>
    </row>
    <row r="220" spans="3:9" x14ac:dyDescent="0.3">
      <c r="C220" s="37"/>
      <c r="D220" s="38"/>
      <c r="E220" s="38"/>
      <c r="F220" s="39"/>
      <c r="G220" s="40"/>
      <c r="H220" s="38" t="e">
        <f>MONTH(Libro_Diario[[#This Row],[Fecha]])</f>
        <v>#VALUE!</v>
      </c>
      <c r="I220" s="38" t="e">
        <f>YEAR(Libro_Diario[[#This Row],[Fecha]])</f>
        <v>#VALUE!</v>
      </c>
    </row>
    <row r="221" spans="3:9" x14ac:dyDescent="0.3">
      <c r="C221" s="37"/>
      <c r="D221" s="38"/>
      <c r="E221" s="38"/>
      <c r="F221" s="39"/>
      <c r="G221" s="40"/>
      <c r="H221" s="38" t="e">
        <f>MONTH(Libro_Diario[[#This Row],[Fecha]])</f>
        <v>#VALUE!</v>
      </c>
      <c r="I221" s="38" t="e">
        <f>YEAR(Libro_Diario[[#This Row],[Fecha]])</f>
        <v>#VALUE!</v>
      </c>
    </row>
    <row r="222" spans="3:9" x14ac:dyDescent="0.3">
      <c r="C222" s="37"/>
      <c r="D222" s="38"/>
      <c r="E222" s="38"/>
      <c r="F222" s="39"/>
      <c r="G222" s="40"/>
      <c r="H222" s="38" t="e">
        <f>MONTH(Libro_Diario[[#This Row],[Fecha]])</f>
        <v>#VALUE!</v>
      </c>
      <c r="I222" s="38" t="e">
        <f>YEAR(Libro_Diario[[#This Row],[Fecha]])</f>
        <v>#VALUE!</v>
      </c>
    </row>
    <row r="223" spans="3:9" x14ac:dyDescent="0.3">
      <c r="C223" s="37"/>
      <c r="D223" s="38"/>
      <c r="E223" s="38"/>
      <c r="F223" s="39"/>
      <c r="G223" s="40"/>
      <c r="H223" s="38" t="e">
        <f>MONTH(Libro_Diario[[#This Row],[Fecha]])</f>
        <v>#VALUE!</v>
      </c>
      <c r="I223" s="38" t="e">
        <f>YEAR(Libro_Diario[[#This Row],[Fecha]])</f>
        <v>#VALUE!</v>
      </c>
    </row>
    <row r="224" spans="3:9" x14ac:dyDescent="0.3">
      <c r="C224" s="37"/>
      <c r="D224" s="38"/>
      <c r="E224" s="38"/>
      <c r="F224" s="39"/>
      <c r="G224" s="40"/>
      <c r="H224" s="38" t="e">
        <f>MONTH(Libro_Diario[[#This Row],[Fecha]])</f>
        <v>#VALUE!</v>
      </c>
      <c r="I224" s="38" t="e">
        <f>YEAR(Libro_Diario[[#This Row],[Fecha]])</f>
        <v>#VALUE!</v>
      </c>
    </row>
    <row r="225" spans="3:9" x14ac:dyDescent="0.3">
      <c r="C225" s="37"/>
      <c r="D225" s="38"/>
      <c r="E225" s="38"/>
      <c r="F225" s="39"/>
      <c r="G225" s="40"/>
      <c r="H225" s="38" t="e">
        <f>MONTH(Libro_Diario[[#This Row],[Fecha]])</f>
        <v>#VALUE!</v>
      </c>
      <c r="I225" s="38" t="e">
        <f>YEAR(Libro_Diario[[#This Row],[Fecha]])</f>
        <v>#VALUE!</v>
      </c>
    </row>
    <row r="226" spans="3:9" x14ac:dyDescent="0.3">
      <c r="C226" s="37"/>
      <c r="D226" s="38"/>
      <c r="E226" s="38"/>
      <c r="F226" s="39"/>
      <c r="G226" s="40"/>
      <c r="H226" s="38" t="e">
        <f>MONTH(Libro_Diario[[#This Row],[Fecha]])</f>
        <v>#VALUE!</v>
      </c>
      <c r="I226" s="38" t="e">
        <f>YEAR(Libro_Diario[[#This Row],[Fecha]])</f>
        <v>#VALUE!</v>
      </c>
    </row>
    <row r="227" spans="3:9" x14ac:dyDescent="0.3">
      <c r="C227" s="37"/>
      <c r="D227" s="38"/>
      <c r="E227" s="38"/>
      <c r="F227" s="39"/>
      <c r="G227" s="40"/>
      <c r="H227" s="38" t="e">
        <f>MONTH(Libro_Diario[[#This Row],[Fecha]])</f>
        <v>#VALUE!</v>
      </c>
      <c r="I227" s="38" t="e">
        <f>YEAR(Libro_Diario[[#This Row],[Fecha]])</f>
        <v>#VALUE!</v>
      </c>
    </row>
    <row r="228" spans="3:9" x14ac:dyDescent="0.3">
      <c r="C228" s="37"/>
      <c r="D228" s="38"/>
      <c r="E228" s="38"/>
      <c r="F228" s="39"/>
      <c r="G228" s="40"/>
      <c r="H228" s="38" t="e">
        <f>MONTH(Libro_Diario[[#This Row],[Fecha]])</f>
        <v>#VALUE!</v>
      </c>
      <c r="I228" s="38" t="e">
        <f>YEAR(Libro_Diario[[#This Row],[Fecha]])</f>
        <v>#VALUE!</v>
      </c>
    </row>
    <row r="229" spans="3:9" x14ac:dyDescent="0.3">
      <c r="C229" s="37"/>
      <c r="D229" s="38"/>
      <c r="E229" s="38"/>
      <c r="F229" s="39"/>
      <c r="G229" s="40"/>
      <c r="H229" s="38" t="e">
        <f>MONTH(Libro_Diario[[#This Row],[Fecha]])</f>
        <v>#VALUE!</v>
      </c>
      <c r="I229" s="38" t="e">
        <f>YEAR(Libro_Diario[[#This Row],[Fecha]])</f>
        <v>#VALUE!</v>
      </c>
    </row>
    <row r="230" spans="3:9" x14ac:dyDescent="0.3">
      <c r="C230" s="37"/>
      <c r="D230" s="38"/>
      <c r="E230" s="38"/>
      <c r="F230" s="39"/>
      <c r="G230" s="40"/>
      <c r="H230" s="38" t="e">
        <f>MONTH(Libro_Diario[[#This Row],[Fecha]])</f>
        <v>#VALUE!</v>
      </c>
      <c r="I230" s="38" t="e">
        <f>YEAR(Libro_Diario[[#This Row],[Fecha]])</f>
        <v>#VALUE!</v>
      </c>
    </row>
    <row r="231" spans="3:9" x14ac:dyDescent="0.3">
      <c r="C231" s="37"/>
      <c r="D231" s="38"/>
      <c r="E231" s="38"/>
      <c r="F231" s="39"/>
      <c r="G231" s="40"/>
      <c r="H231" s="38" t="e">
        <f>MONTH(Libro_Diario[[#This Row],[Fecha]])</f>
        <v>#VALUE!</v>
      </c>
      <c r="I231" s="38" t="e">
        <f>YEAR(Libro_Diario[[#This Row],[Fecha]])</f>
        <v>#VALUE!</v>
      </c>
    </row>
    <row r="232" spans="3:9" x14ac:dyDescent="0.3">
      <c r="C232" s="37"/>
      <c r="D232" s="38"/>
      <c r="E232" s="38"/>
      <c r="F232" s="39"/>
      <c r="G232" s="40"/>
      <c r="H232" s="38" t="e">
        <f>MONTH(Libro_Diario[[#This Row],[Fecha]])</f>
        <v>#VALUE!</v>
      </c>
      <c r="I232" s="38" t="e">
        <f>YEAR(Libro_Diario[[#This Row],[Fecha]])</f>
        <v>#VALUE!</v>
      </c>
    </row>
    <row r="233" spans="3:9" x14ac:dyDescent="0.3">
      <c r="C233" s="37"/>
      <c r="D233" s="38"/>
      <c r="E233" s="38"/>
      <c r="F233" s="39"/>
      <c r="G233" s="40"/>
      <c r="H233" s="38" t="e">
        <f>MONTH(Libro_Diario[[#This Row],[Fecha]])</f>
        <v>#VALUE!</v>
      </c>
      <c r="I233" s="38" t="e">
        <f>YEAR(Libro_Diario[[#This Row],[Fecha]])</f>
        <v>#VALUE!</v>
      </c>
    </row>
    <row r="234" spans="3:9" x14ac:dyDescent="0.3">
      <c r="C234" s="37"/>
      <c r="D234" s="38"/>
      <c r="E234" s="38"/>
      <c r="F234" s="39"/>
      <c r="G234" s="40"/>
      <c r="H234" s="38" t="e">
        <f>MONTH(Libro_Diario[[#This Row],[Fecha]])</f>
        <v>#VALUE!</v>
      </c>
      <c r="I234" s="38" t="e">
        <f>YEAR(Libro_Diario[[#This Row],[Fecha]])</f>
        <v>#VALUE!</v>
      </c>
    </row>
    <row r="235" spans="3:9" x14ac:dyDescent="0.3">
      <c r="C235" s="37"/>
      <c r="D235" s="38"/>
      <c r="E235" s="38"/>
      <c r="F235" s="39"/>
      <c r="G235" s="40"/>
      <c r="H235" s="38" t="e">
        <f>MONTH(Libro_Diario[[#This Row],[Fecha]])</f>
        <v>#VALUE!</v>
      </c>
      <c r="I235" s="38" t="e">
        <f>YEAR(Libro_Diario[[#This Row],[Fecha]])</f>
        <v>#VALUE!</v>
      </c>
    </row>
    <row r="236" spans="3:9" x14ac:dyDescent="0.3">
      <c r="C236" s="37"/>
      <c r="D236" s="38"/>
      <c r="E236" s="38"/>
      <c r="F236" s="39"/>
      <c r="G236" s="40"/>
      <c r="H236" s="38" t="e">
        <f>MONTH(Libro_Diario[[#This Row],[Fecha]])</f>
        <v>#VALUE!</v>
      </c>
      <c r="I236" s="38" t="e">
        <f>YEAR(Libro_Diario[[#This Row],[Fecha]])</f>
        <v>#VALUE!</v>
      </c>
    </row>
    <row r="237" spans="3:9" x14ac:dyDescent="0.3">
      <c r="C237" s="37"/>
      <c r="D237" s="38"/>
      <c r="E237" s="38"/>
      <c r="F237" s="39"/>
      <c r="G237" s="40"/>
      <c r="H237" s="38" t="e">
        <f>MONTH(Libro_Diario[[#This Row],[Fecha]])</f>
        <v>#VALUE!</v>
      </c>
      <c r="I237" s="38" t="e">
        <f>YEAR(Libro_Diario[[#This Row],[Fecha]])</f>
        <v>#VALUE!</v>
      </c>
    </row>
    <row r="238" spans="3:9" x14ac:dyDescent="0.3">
      <c r="C238" s="37"/>
      <c r="D238" s="38"/>
      <c r="E238" s="38"/>
      <c r="F238" s="39"/>
      <c r="G238" s="40"/>
      <c r="H238" s="38" t="e">
        <f>MONTH(Libro_Diario[[#This Row],[Fecha]])</f>
        <v>#VALUE!</v>
      </c>
      <c r="I238" s="38" t="e">
        <f>YEAR(Libro_Diario[[#This Row],[Fecha]])</f>
        <v>#VALUE!</v>
      </c>
    </row>
    <row r="239" spans="3:9" x14ac:dyDescent="0.3">
      <c r="C239" s="37"/>
      <c r="D239" s="38"/>
      <c r="E239" s="38"/>
      <c r="F239" s="39"/>
      <c r="G239" s="40"/>
      <c r="H239" s="38" t="e">
        <f>MONTH(Libro_Diario[[#This Row],[Fecha]])</f>
        <v>#VALUE!</v>
      </c>
      <c r="I239" s="38" t="e">
        <f>YEAR(Libro_Diario[[#This Row],[Fecha]])</f>
        <v>#VALUE!</v>
      </c>
    </row>
    <row r="240" spans="3:9" x14ac:dyDescent="0.3">
      <c r="C240" s="37"/>
      <c r="D240" s="38"/>
      <c r="E240" s="38"/>
      <c r="F240" s="39"/>
      <c r="G240" s="40"/>
      <c r="H240" s="38" t="e">
        <f>MONTH(Libro_Diario[[#This Row],[Fecha]])</f>
        <v>#VALUE!</v>
      </c>
      <c r="I240" s="38" t="e">
        <f>YEAR(Libro_Diario[[#This Row],[Fecha]])</f>
        <v>#VALUE!</v>
      </c>
    </row>
    <row r="241" spans="3:9" x14ac:dyDescent="0.3">
      <c r="C241" s="37"/>
      <c r="D241" s="38"/>
      <c r="E241" s="38"/>
      <c r="F241" s="39"/>
      <c r="G241" s="40"/>
      <c r="H241" s="38" t="e">
        <f>MONTH(Libro_Diario[[#This Row],[Fecha]])</f>
        <v>#VALUE!</v>
      </c>
      <c r="I241" s="38" t="e">
        <f>YEAR(Libro_Diario[[#This Row],[Fecha]])</f>
        <v>#VALUE!</v>
      </c>
    </row>
    <row r="242" spans="3:9" x14ac:dyDescent="0.3">
      <c r="C242" s="37"/>
      <c r="D242" s="38"/>
      <c r="E242" s="38"/>
      <c r="F242" s="39"/>
      <c r="G242" s="40"/>
      <c r="H242" s="38" t="e">
        <f>MONTH(Libro_Diario[[#This Row],[Fecha]])</f>
        <v>#VALUE!</v>
      </c>
      <c r="I242" s="38" t="e">
        <f>YEAR(Libro_Diario[[#This Row],[Fecha]])</f>
        <v>#VALUE!</v>
      </c>
    </row>
    <row r="243" spans="3:9" x14ac:dyDescent="0.3">
      <c r="C243" s="37"/>
      <c r="D243" s="38"/>
      <c r="E243" s="38"/>
      <c r="F243" s="39"/>
      <c r="G243" s="40"/>
      <c r="H243" s="38" t="e">
        <f>MONTH(Libro_Diario[[#This Row],[Fecha]])</f>
        <v>#VALUE!</v>
      </c>
      <c r="I243" s="38" t="e">
        <f>YEAR(Libro_Diario[[#This Row],[Fecha]])</f>
        <v>#VALUE!</v>
      </c>
    </row>
    <row r="244" spans="3:9" x14ac:dyDescent="0.3">
      <c r="C244" s="37"/>
      <c r="D244" s="38"/>
      <c r="E244" s="38"/>
      <c r="F244" s="39"/>
      <c r="G244" s="40"/>
      <c r="H244" s="38" t="e">
        <f>MONTH(Libro_Diario[[#This Row],[Fecha]])</f>
        <v>#VALUE!</v>
      </c>
      <c r="I244" s="38" t="e">
        <f>YEAR(Libro_Diario[[#This Row],[Fecha]])</f>
        <v>#VALUE!</v>
      </c>
    </row>
    <row r="245" spans="3:9" x14ac:dyDescent="0.3">
      <c r="C245" s="37"/>
      <c r="D245" s="38"/>
      <c r="E245" s="38"/>
      <c r="F245" s="39"/>
      <c r="G245" s="40"/>
      <c r="H245" s="38" t="e">
        <f>MONTH(Libro_Diario[[#This Row],[Fecha]])</f>
        <v>#VALUE!</v>
      </c>
      <c r="I245" s="38" t="e">
        <f>YEAR(Libro_Diario[[#This Row],[Fecha]])</f>
        <v>#VALUE!</v>
      </c>
    </row>
    <row r="246" spans="3:9" x14ac:dyDescent="0.3">
      <c r="C246" s="37"/>
      <c r="D246" s="38"/>
      <c r="E246" s="38"/>
      <c r="F246" s="39"/>
      <c r="G246" s="40"/>
      <c r="H246" s="38" t="e">
        <f>MONTH(Libro_Diario[[#This Row],[Fecha]])</f>
        <v>#VALUE!</v>
      </c>
      <c r="I246" s="38" t="e">
        <f>YEAR(Libro_Diario[[#This Row],[Fecha]])</f>
        <v>#VALUE!</v>
      </c>
    </row>
    <row r="247" spans="3:9" x14ac:dyDescent="0.3">
      <c r="C247" s="37"/>
      <c r="D247" s="38"/>
      <c r="E247" s="38"/>
      <c r="F247" s="39"/>
      <c r="G247" s="40"/>
      <c r="H247" s="38" t="e">
        <f>MONTH(Libro_Diario[[#This Row],[Fecha]])</f>
        <v>#VALUE!</v>
      </c>
      <c r="I247" s="38" t="e">
        <f>YEAR(Libro_Diario[[#This Row],[Fecha]])</f>
        <v>#VALUE!</v>
      </c>
    </row>
    <row r="248" spans="3:9" x14ac:dyDescent="0.3">
      <c r="C248" s="37"/>
      <c r="D248" s="38"/>
      <c r="E248" s="38"/>
      <c r="F248" s="39"/>
      <c r="G248" s="40"/>
      <c r="H248" s="38" t="e">
        <f>MONTH(Libro_Diario[[#This Row],[Fecha]])</f>
        <v>#VALUE!</v>
      </c>
      <c r="I248" s="38" t="e">
        <f>YEAR(Libro_Diario[[#This Row],[Fecha]])</f>
        <v>#VALUE!</v>
      </c>
    </row>
    <row r="249" spans="3:9" x14ac:dyDescent="0.3">
      <c r="C249" s="37"/>
      <c r="D249" s="38"/>
      <c r="E249" s="38"/>
      <c r="F249" s="39"/>
      <c r="G249" s="40"/>
      <c r="H249" s="38" t="e">
        <f>MONTH(Libro_Diario[[#This Row],[Fecha]])</f>
        <v>#VALUE!</v>
      </c>
      <c r="I249" s="38" t="e">
        <f>YEAR(Libro_Diario[[#This Row],[Fecha]])</f>
        <v>#VALUE!</v>
      </c>
    </row>
    <row r="250" spans="3:9" x14ac:dyDescent="0.3">
      <c r="C250" s="37"/>
      <c r="D250" s="38"/>
      <c r="E250" s="38"/>
      <c r="F250" s="39"/>
      <c r="G250" s="40"/>
      <c r="H250" s="38" t="e">
        <f>MONTH(Libro_Diario[[#This Row],[Fecha]])</f>
        <v>#VALUE!</v>
      </c>
      <c r="I250" s="38" t="e">
        <f>YEAR(Libro_Diario[[#This Row],[Fecha]])</f>
        <v>#VALUE!</v>
      </c>
    </row>
    <row r="251" spans="3:9" x14ac:dyDescent="0.3">
      <c r="C251" s="37"/>
      <c r="D251" s="38"/>
      <c r="E251" s="38"/>
      <c r="F251" s="39"/>
      <c r="G251" s="40"/>
      <c r="H251" s="38" t="e">
        <f>MONTH(Libro_Diario[[#This Row],[Fecha]])</f>
        <v>#VALUE!</v>
      </c>
      <c r="I251" s="38" t="e">
        <f>YEAR(Libro_Diario[[#This Row],[Fecha]])</f>
        <v>#VALUE!</v>
      </c>
    </row>
    <row r="252" spans="3:9" x14ac:dyDescent="0.3">
      <c r="C252" s="37"/>
      <c r="D252" s="38"/>
      <c r="E252" s="38"/>
      <c r="F252" s="39"/>
      <c r="G252" s="40"/>
      <c r="H252" s="38" t="e">
        <f>MONTH(Libro_Diario[[#This Row],[Fecha]])</f>
        <v>#VALUE!</v>
      </c>
      <c r="I252" s="38" t="e">
        <f>YEAR(Libro_Diario[[#This Row],[Fecha]])</f>
        <v>#VALUE!</v>
      </c>
    </row>
    <row r="253" spans="3:9" x14ac:dyDescent="0.3">
      <c r="C253" s="37"/>
      <c r="D253" s="38"/>
      <c r="E253" s="38"/>
      <c r="F253" s="39"/>
      <c r="G253" s="40"/>
      <c r="H253" s="38" t="e">
        <f>MONTH(Libro_Diario[[#This Row],[Fecha]])</f>
        <v>#VALUE!</v>
      </c>
      <c r="I253" s="38" t="e">
        <f>YEAR(Libro_Diario[[#This Row],[Fecha]])</f>
        <v>#VALUE!</v>
      </c>
    </row>
    <row r="254" spans="3:9" x14ac:dyDescent="0.3">
      <c r="C254" s="37"/>
      <c r="D254" s="38"/>
      <c r="E254" s="38"/>
      <c r="F254" s="39"/>
      <c r="G254" s="40"/>
      <c r="H254" s="38" t="e">
        <f>MONTH(Libro_Diario[[#This Row],[Fecha]])</f>
        <v>#VALUE!</v>
      </c>
      <c r="I254" s="38" t="e">
        <f>YEAR(Libro_Diario[[#This Row],[Fecha]])</f>
        <v>#VALUE!</v>
      </c>
    </row>
    <row r="255" spans="3:9" x14ac:dyDescent="0.3">
      <c r="C255" s="37"/>
      <c r="D255" s="38"/>
      <c r="E255" s="38"/>
      <c r="F255" s="39"/>
      <c r="G255" s="40"/>
      <c r="H255" s="38" t="e">
        <f>MONTH(Libro_Diario[[#This Row],[Fecha]])</f>
        <v>#VALUE!</v>
      </c>
      <c r="I255" s="38" t="e">
        <f>YEAR(Libro_Diario[[#This Row],[Fecha]])</f>
        <v>#VALUE!</v>
      </c>
    </row>
    <row r="256" spans="3:9" x14ac:dyDescent="0.3">
      <c r="C256" s="37"/>
      <c r="D256" s="38"/>
      <c r="E256" s="38"/>
      <c r="F256" s="39"/>
      <c r="G256" s="40"/>
      <c r="H256" s="38" t="e">
        <f>MONTH(Libro_Diario[[#This Row],[Fecha]])</f>
        <v>#VALUE!</v>
      </c>
      <c r="I256" s="38" t="e">
        <f>YEAR(Libro_Diario[[#This Row],[Fecha]])</f>
        <v>#VALUE!</v>
      </c>
    </row>
    <row r="257" spans="3:9" x14ac:dyDescent="0.3">
      <c r="C257" s="37"/>
      <c r="D257" s="38"/>
      <c r="E257" s="38"/>
      <c r="F257" s="39"/>
      <c r="G257" s="40"/>
      <c r="H257" s="38" t="e">
        <f>MONTH(Libro_Diario[[#This Row],[Fecha]])</f>
        <v>#VALUE!</v>
      </c>
      <c r="I257" s="38" t="e">
        <f>YEAR(Libro_Diario[[#This Row],[Fecha]])</f>
        <v>#VALUE!</v>
      </c>
    </row>
    <row r="258" spans="3:9" x14ac:dyDescent="0.3">
      <c r="C258" s="37"/>
      <c r="D258" s="38"/>
      <c r="E258" s="38"/>
      <c r="F258" s="39"/>
      <c r="G258" s="40"/>
      <c r="H258" s="38" t="e">
        <f>MONTH(Libro_Diario[[#This Row],[Fecha]])</f>
        <v>#VALUE!</v>
      </c>
      <c r="I258" s="38" t="e">
        <f>YEAR(Libro_Diario[[#This Row],[Fecha]])</f>
        <v>#VALUE!</v>
      </c>
    </row>
    <row r="259" spans="3:9" x14ac:dyDescent="0.3">
      <c r="C259" s="37"/>
      <c r="D259" s="38"/>
      <c r="E259" s="38"/>
      <c r="F259" s="39"/>
      <c r="G259" s="40"/>
      <c r="H259" s="38" t="e">
        <f>MONTH(Libro_Diario[[#This Row],[Fecha]])</f>
        <v>#VALUE!</v>
      </c>
      <c r="I259" s="38" t="e">
        <f>YEAR(Libro_Diario[[#This Row],[Fecha]])</f>
        <v>#VALUE!</v>
      </c>
    </row>
    <row r="260" spans="3:9" x14ac:dyDescent="0.3">
      <c r="C260" s="37"/>
      <c r="D260" s="38"/>
      <c r="E260" s="38"/>
      <c r="F260" s="39"/>
      <c r="G260" s="40"/>
      <c r="H260" s="38" t="e">
        <f>MONTH(Libro_Diario[[#This Row],[Fecha]])</f>
        <v>#VALUE!</v>
      </c>
      <c r="I260" s="38" t="e">
        <f>YEAR(Libro_Diario[[#This Row],[Fecha]])</f>
        <v>#VALUE!</v>
      </c>
    </row>
    <row r="261" spans="3:9" x14ac:dyDescent="0.3">
      <c r="C261" s="37"/>
      <c r="D261" s="38"/>
      <c r="E261" s="38"/>
      <c r="F261" s="39"/>
      <c r="G261" s="40"/>
      <c r="H261" s="38" t="e">
        <f>MONTH(Libro_Diario[[#This Row],[Fecha]])</f>
        <v>#VALUE!</v>
      </c>
      <c r="I261" s="38" t="e">
        <f>YEAR(Libro_Diario[[#This Row],[Fecha]])</f>
        <v>#VALUE!</v>
      </c>
    </row>
    <row r="262" spans="3:9" x14ac:dyDescent="0.3">
      <c r="C262" s="37"/>
      <c r="D262" s="38"/>
      <c r="E262" s="38"/>
      <c r="F262" s="39"/>
      <c r="G262" s="40"/>
      <c r="H262" s="38" t="e">
        <f>MONTH(Libro_Diario[[#This Row],[Fecha]])</f>
        <v>#VALUE!</v>
      </c>
      <c r="I262" s="38" t="e">
        <f>YEAR(Libro_Diario[[#This Row],[Fecha]])</f>
        <v>#VALUE!</v>
      </c>
    </row>
    <row r="263" spans="3:9" x14ac:dyDescent="0.3">
      <c r="C263" s="37"/>
      <c r="D263" s="38"/>
      <c r="E263" s="38"/>
      <c r="F263" s="39"/>
      <c r="G263" s="40"/>
      <c r="H263" s="38" t="e">
        <f>MONTH(Libro_Diario[[#This Row],[Fecha]])</f>
        <v>#VALUE!</v>
      </c>
      <c r="I263" s="38" t="e">
        <f>YEAR(Libro_Diario[[#This Row],[Fecha]])</f>
        <v>#VALUE!</v>
      </c>
    </row>
    <row r="264" spans="3:9" x14ac:dyDescent="0.3">
      <c r="C264" s="37"/>
      <c r="D264" s="38"/>
      <c r="E264" s="38"/>
      <c r="F264" s="39"/>
      <c r="G264" s="40"/>
      <c r="H264" s="38" t="e">
        <f>MONTH(Libro_Diario[[#This Row],[Fecha]])</f>
        <v>#VALUE!</v>
      </c>
      <c r="I264" s="38" t="e">
        <f>YEAR(Libro_Diario[[#This Row],[Fecha]])</f>
        <v>#VALUE!</v>
      </c>
    </row>
    <row r="265" spans="3:9" x14ac:dyDescent="0.3">
      <c r="C265" s="37"/>
      <c r="D265" s="38"/>
      <c r="E265" s="38"/>
      <c r="F265" s="39"/>
      <c r="G265" s="40"/>
      <c r="H265" s="38" t="e">
        <f>MONTH(Libro_Diario[[#This Row],[Fecha]])</f>
        <v>#VALUE!</v>
      </c>
      <c r="I265" s="38" t="e">
        <f>YEAR(Libro_Diario[[#This Row],[Fecha]])</f>
        <v>#VALUE!</v>
      </c>
    </row>
    <row r="266" spans="3:9" x14ac:dyDescent="0.3">
      <c r="C266" s="37"/>
      <c r="D266" s="38"/>
      <c r="E266" s="38"/>
      <c r="F266" s="39"/>
      <c r="G266" s="40"/>
      <c r="H266" s="38" t="e">
        <f>MONTH(Libro_Diario[[#This Row],[Fecha]])</f>
        <v>#VALUE!</v>
      </c>
      <c r="I266" s="38" t="e">
        <f>YEAR(Libro_Diario[[#This Row],[Fecha]])</f>
        <v>#VALUE!</v>
      </c>
    </row>
    <row r="267" spans="3:9" x14ac:dyDescent="0.3">
      <c r="C267" s="37"/>
      <c r="D267" s="38"/>
      <c r="E267" s="38"/>
      <c r="F267" s="39"/>
      <c r="G267" s="40"/>
      <c r="H267" s="38" t="e">
        <f>MONTH(Libro_Diario[[#This Row],[Fecha]])</f>
        <v>#VALUE!</v>
      </c>
      <c r="I267" s="38" t="e">
        <f>YEAR(Libro_Diario[[#This Row],[Fecha]])</f>
        <v>#VALUE!</v>
      </c>
    </row>
    <row r="268" spans="3:9" x14ac:dyDescent="0.3">
      <c r="C268" s="37"/>
      <c r="D268" s="38"/>
      <c r="E268" s="38"/>
      <c r="F268" s="39"/>
      <c r="G268" s="40"/>
      <c r="H268" s="38" t="e">
        <f>MONTH(Libro_Diario[[#This Row],[Fecha]])</f>
        <v>#VALUE!</v>
      </c>
      <c r="I268" s="38" t="e">
        <f>YEAR(Libro_Diario[[#This Row],[Fecha]])</f>
        <v>#VALUE!</v>
      </c>
    </row>
    <row r="269" spans="3:9" x14ac:dyDescent="0.3">
      <c r="C269" s="37"/>
      <c r="D269" s="38"/>
      <c r="E269" s="38"/>
      <c r="F269" s="39"/>
      <c r="G269" s="40"/>
      <c r="H269" s="38" t="e">
        <f>MONTH(Libro_Diario[[#This Row],[Fecha]])</f>
        <v>#VALUE!</v>
      </c>
      <c r="I269" s="38" t="e">
        <f>YEAR(Libro_Diario[[#This Row],[Fecha]])</f>
        <v>#VALUE!</v>
      </c>
    </row>
    <row r="270" spans="3:9" x14ac:dyDescent="0.3">
      <c r="C270" s="37"/>
      <c r="D270" s="38"/>
      <c r="E270" s="38"/>
      <c r="F270" s="39"/>
      <c r="G270" s="40"/>
      <c r="H270" s="38" t="e">
        <f>MONTH(Libro_Diario[[#This Row],[Fecha]])</f>
        <v>#VALUE!</v>
      </c>
      <c r="I270" s="38" t="e">
        <f>YEAR(Libro_Diario[[#This Row],[Fecha]])</f>
        <v>#VALUE!</v>
      </c>
    </row>
    <row r="271" spans="3:9" x14ac:dyDescent="0.3">
      <c r="C271" s="37"/>
      <c r="D271" s="38"/>
      <c r="E271" s="38"/>
      <c r="F271" s="39"/>
      <c r="G271" s="40"/>
      <c r="H271" s="38" t="e">
        <f>MONTH(Libro_Diario[[#This Row],[Fecha]])</f>
        <v>#VALUE!</v>
      </c>
      <c r="I271" s="38" t="e">
        <f>YEAR(Libro_Diario[[#This Row],[Fecha]])</f>
        <v>#VALUE!</v>
      </c>
    </row>
    <row r="272" spans="3:9" x14ac:dyDescent="0.3">
      <c r="C272" s="37"/>
      <c r="D272" s="38"/>
      <c r="E272" s="38"/>
      <c r="F272" s="39"/>
      <c r="G272" s="40"/>
      <c r="H272" s="38" t="e">
        <f>MONTH(Libro_Diario[[#This Row],[Fecha]])</f>
        <v>#VALUE!</v>
      </c>
      <c r="I272" s="38" t="e">
        <f>YEAR(Libro_Diario[[#This Row],[Fecha]])</f>
        <v>#VALUE!</v>
      </c>
    </row>
    <row r="273" spans="3:9" x14ac:dyDescent="0.3">
      <c r="C273" s="37"/>
      <c r="D273" s="38"/>
      <c r="E273" s="38"/>
      <c r="F273" s="39"/>
      <c r="G273" s="40"/>
      <c r="H273" s="38" t="e">
        <f>MONTH(Libro_Diario[[#This Row],[Fecha]])</f>
        <v>#VALUE!</v>
      </c>
      <c r="I273" s="38" t="e">
        <f>YEAR(Libro_Diario[[#This Row],[Fecha]])</f>
        <v>#VALUE!</v>
      </c>
    </row>
    <row r="274" spans="3:9" x14ac:dyDescent="0.3">
      <c r="C274" s="37"/>
      <c r="D274" s="38"/>
      <c r="E274" s="38"/>
      <c r="F274" s="39"/>
      <c r="G274" s="40"/>
      <c r="H274" s="38" t="e">
        <f>MONTH(Libro_Diario[[#This Row],[Fecha]])</f>
        <v>#VALUE!</v>
      </c>
      <c r="I274" s="38" t="e">
        <f>YEAR(Libro_Diario[[#This Row],[Fecha]])</f>
        <v>#VALUE!</v>
      </c>
    </row>
    <row r="275" spans="3:9" x14ac:dyDescent="0.3">
      <c r="C275" s="37"/>
      <c r="D275" s="38"/>
      <c r="E275" s="38"/>
      <c r="F275" s="39"/>
      <c r="G275" s="40"/>
      <c r="H275" s="38" t="e">
        <f>MONTH(Libro_Diario[[#This Row],[Fecha]])</f>
        <v>#VALUE!</v>
      </c>
      <c r="I275" s="38" t="e">
        <f>YEAR(Libro_Diario[[#This Row],[Fecha]])</f>
        <v>#VALUE!</v>
      </c>
    </row>
    <row r="276" spans="3:9" x14ac:dyDescent="0.3">
      <c r="C276" s="37"/>
      <c r="D276" s="38"/>
      <c r="E276" s="38"/>
      <c r="F276" s="39"/>
      <c r="G276" s="40"/>
      <c r="H276" s="38" t="e">
        <f>MONTH(Libro_Diario[[#This Row],[Fecha]])</f>
        <v>#VALUE!</v>
      </c>
      <c r="I276" s="38" t="e">
        <f>YEAR(Libro_Diario[[#This Row],[Fecha]])</f>
        <v>#VALUE!</v>
      </c>
    </row>
    <row r="277" spans="3:9" x14ac:dyDescent="0.3">
      <c r="C277" s="37"/>
      <c r="D277" s="38"/>
      <c r="E277" s="38"/>
      <c r="F277" s="39"/>
      <c r="G277" s="40"/>
      <c r="H277" s="38" t="e">
        <f>MONTH(Libro_Diario[[#This Row],[Fecha]])</f>
        <v>#VALUE!</v>
      </c>
      <c r="I277" s="38" t="e">
        <f>YEAR(Libro_Diario[[#This Row],[Fecha]])</f>
        <v>#VALUE!</v>
      </c>
    </row>
    <row r="278" spans="3:9" x14ac:dyDescent="0.3">
      <c r="C278" s="37"/>
      <c r="D278" s="38"/>
      <c r="E278" s="38"/>
      <c r="F278" s="39"/>
      <c r="G278" s="40"/>
      <c r="H278" s="38" t="e">
        <f>MONTH(Libro_Diario[[#This Row],[Fecha]])</f>
        <v>#VALUE!</v>
      </c>
      <c r="I278" s="38" t="e">
        <f>YEAR(Libro_Diario[[#This Row],[Fecha]])</f>
        <v>#VALUE!</v>
      </c>
    </row>
    <row r="279" spans="3:9" x14ac:dyDescent="0.3">
      <c r="C279" s="37"/>
      <c r="D279" s="38"/>
      <c r="E279" s="38"/>
      <c r="F279" s="39"/>
      <c r="G279" s="40"/>
      <c r="H279" s="38" t="e">
        <f>MONTH(Libro_Diario[[#This Row],[Fecha]])</f>
        <v>#VALUE!</v>
      </c>
      <c r="I279" s="38" t="e">
        <f>YEAR(Libro_Diario[[#This Row],[Fecha]])</f>
        <v>#VALUE!</v>
      </c>
    </row>
    <row r="280" spans="3:9" x14ac:dyDescent="0.3">
      <c r="C280" s="37"/>
      <c r="D280" s="38"/>
      <c r="E280" s="38"/>
      <c r="F280" s="39"/>
      <c r="G280" s="40"/>
      <c r="H280" s="38" t="e">
        <f>MONTH(Libro_Diario[[#This Row],[Fecha]])</f>
        <v>#VALUE!</v>
      </c>
      <c r="I280" s="38" t="e">
        <f>YEAR(Libro_Diario[[#This Row],[Fecha]])</f>
        <v>#VALUE!</v>
      </c>
    </row>
    <row r="281" spans="3:9" x14ac:dyDescent="0.3">
      <c r="C281" s="37"/>
      <c r="D281" s="38"/>
      <c r="E281" s="38"/>
      <c r="F281" s="39"/>
      <c r="G281" s="40"/>
      <c r="H281" s="38" t="e">
        <f>MONTH(Libro_Diario[[#This Row],[Fecha]])</f>
        <v>#VALUE!</v>
      </c>
      <c r="I281" s="38" t="e">
        <f>YEAR(Libro_Diario[[#This Row],[Fecha]])</f>
        <v>#VALUE!</v>
      </c>
    </row>
    <row r="282" spans="3:9" x14ac:dyDescent="0.3">
      <c r="C282" s="37"/>
      <c r="D282" s="38"/>
      <c r="E282" s="38"/>
      <c r="F282" s="39"/>
      <c r="G282" s="40"/>
      <c r="H282" s="38" t="e">
        <f>MONTH(Libro_Diario[[#This Row],[Fecha]])</f>
        <v>#VALUE!</v>
      </c>
      <c r="I282" s="38" t="e">
        <f>YEAR(Libro_Diario[[#This Row],[Fecha]])</f>
        <v>#VALUE!</v>
      </c>
    </row>
    <row r="283" spans="3:9" x14ac:dyDescent="0.3">
      <c r="C283" s="37"/>
      <c r="D283" s="38"/>
      <c r="E283" s="38"/>
      <c r="F283" s="39"/>
      <c r="G283" s="40"/>
      <c r="H283" s="38" t="e">
        <f>MONTH(Libro_Diario[[#This Row],[Fecha]])</f>
        <v>#VALUE!</v>
      </c>
      <c r="I283" s="38" t="e">
        <f>YEAR(Libro_Diario[[#This Row],[Fecha]])</f>
        <v>#VALUE!</v>
      </c>
    </row>
    <row r="284" spans="3:9" x14ac:dyDescent="0.3">
      <c r="C284" s="37"/>
      <c r="D284" s="38"/>
      <c r="E284" s="38"/>
      <c r="F284" s="39"/>
      <c r="G284" s="40"/>
      <c r="H284" s="38" t="e">
        <f>MONTH(Libro_Diario[[#This Row],[Fecha]])</f>
        <v>#VALUE!</v>
      </c>
      <c r="I284" s="38" t="e">
        <f>YEAR(Libro_Diario[[#This Row],[Fecha]])</f>
        <v>#VALUE!</v>
      </c>
    </row>
    <row r="285" spans="3:9" x14ac:dyDescent="0.3">
      <c r="C285" s="37"/>
      <c r="D285" s="38"/>
      <c r="E285" s="38"/>
      <c r="F285" s="39"/>
      <c r="G285" s="40"/>
      <c r="H285" s="38" t="e">
        <f>MONTH(Libro_Diario[[#This Row],[Fecha]])</f>
        <v>#VALUE!</v>
      </c>
      <c r="I285" s="38" t="e">
        <f>YEAR(Libro_Diario[[#This Row],[Fecha]])</f>
        <v>#VALUE!</v>
      </c>
    </row>
    <row r="286" spans="3:9" x14ac:dyDescent="0.3">
      <c r="C286" s="37"/>
      <c r="D286" s="38"/>
      <c r="E286" s="38"/>
      <c r="F286" s="39"/>
      <c r="G286" s="40"/>
      <c r="H286" s="38" t="e">
        <f>MONTH(Libro_Diario[[#This Row],[Fecha]])</f>
        <v>#VALUE!</v>
      </c>
      <c r="I286" s="38" t="e">
        <f>YEAR(Libro_Diario[[#This Row],[Fecha]])</f>
        <v>#VALUE!</v>
      </c>
    </row>
    <row r="287" spans="3:9" x14ac:dyDescent="0.3">
      <c r="C287" s="37"/>
      <c r="D287" s="38"/>
      <c r="E287" s="38"/>
      <c r="F287" s="39"/>
      <c r="G287" s="40"/>
      <c r="H287" s="38" t="e">
        <f>MONTH(Libro_Diario[[#This Row],[Fecha]])</f>
        <v>#VALUE!</v>
      </c>
      <c r="I287" s="38" t="e">
        <f>YEAR(Libro_Diario[[#This Row],[Fecha]])</f>
        <v>#VALUE!</v>
      </c>
    </row>
    <row r="288" spans="3:9" x14ac:dyDescent="0.3">
      <c r="C288" s="37"/>
      <c r="D288" s="38"/>
      <c r="E288" s="38"/>
      <c r="F288" s="39"/>
      <c r="G288" s="40"/>
      <c r="H288" s="38" t="e">
        <f>MONTH(Libro_Diario[[#This Row],[Fecha]])</f>
        <v>#VALUE!</v>
      </c>
      <c r="I288" s="38" t="e">
        <f>YEAR(Libro_Diario[[#This Row],[Fecha]])</f>
        <v>#VALUE!</v>
      </c>
    </row>
    <row r="289" spans="3:9" x14ac:dyDescent="0.3">
      <c r="C289" s="37"/>
      <c r="D289" s="38"/>
      <c r="E289" s="38"/>
      <c r="F289" s="39"/>
      <c r="G289" s="40"/>
      <c r="H289" s="38" t="e">
        <f>MONTH(Libro_Diario[[#This Row],[Fecha]])</f>
        <v>#VALUE!</v>
      </c>
      <c r="I289" s="38" t="e">
        <f>YEAR(Libro_Diario[[#This Row],[Fecha]])</f>
        <v>#VALUE!</v>
      </c>
    </row>
    <row r="290" spans="3:9" x14ac:dyDescent="0.3">
      <c r="C290" s="37"/>
      <c r="D290" s="38"/>
      <c r="E290" s="38"/>
      <c r="F290" s="39"/>
      <c r="G290" s="40"/>
      <c r="H290" s="38" t="e">
        <f>MONTH(Libro_Diario[[#This Row],[Fecha]])</f>
        <v>#VALUE!</v>
      </c>
      <c r="I290" s="38" t="e">
        <f>YEAR(Libro_Diario[[#This Row],[Fecha]])</f>
        <v>#VALUE!</v>
      </c>
    </row>
    <row r="291" spans="3:9" x14ac:dyDescent="0.3">
      <c r="C291" s="37"/>
      <c r="D291" s="38"/>
      <c r="E291" s="38"/>
      <c r="F291" s="39"/>
      <c r="G291" s="40"/>
      <c r="H291" s="38" t="e">
        <f>MONTH(Libro_Diario[[#This Row],[Fecha]])</f>
        <v>#VALUE!</v>
      </c>
      <c r="I291" s="38" t="e">
        <f>YEAR(Libro_Diario[[#This Row],[Fecha]])</f>
        <v>#VALUE!</v>
      </c>
    </row>
    <row r="292" spans="3:9" x14ac:dyDescent="0.3">
      <c r="C292" s="37"/>
      <c r="D292" s="38"/>
      <c r="E292" s="38"/>
      <c r="F292" s="39"/>
      <c r="G292" s="40"/>
      <c r="H292" s="38" t="e">
        <f>MONTH(Libro_Diario[[#This Row],[Fecha]])</f>
        <v>#VALUE!</v>
      </c>
      <c r="I292" s="38" t="e">
        <f>YEAR(Libro_Diario[[#This Row],[Fecha]])</f>
        <v>#VALUE!</v>
      </c>
    </row>
    <row r="293" spans="3:9" x14ac:dyDescent="0.3">
      <c r="C293" s="37"/>
      <c r="D293" s="38"/>
      <c r="E293" s="38"/>
      <c r="F293" s="39"/>
      <c r="G293" s="40"/>
      <c r="H293" s="38" t="e">
        <f>MONTH(Libro_Diario[[#This Row],[Fecha]])</f>
        <v>#VALUE!</v>
      </c>
      <c r="I293" s="38" t="e">
        <f>YEAR(Libro_Diario[[#This Row],[Fecha]])</f>
        <v>#VALUE!</v>
      </c>
    </row>
    <row r="294" spans="3:9" x14ac:dyDescent="0.3">
      <c r="C294" s="37"/>
      <c r="D294" s="38"/>
      <c r="E294" s="38"/>
      <c r="F294" s="39"/>
      <c r="G294" s="40"/>
      <c r="H294" s="38" t="e">
        <f>MONTH(Libro_Diario[[#This Row],[Fecha]])</f>
        <v>#VALUE!</v>
      </c>
      <c r="I294" s="38" t="e">
        <f>YEAR(Libro_Diario[[#This Row],[Fecha]])</f>
        <v>#VALUE!</v>
      </c>
    </row>
    <row r="295" spans="3:9" x14ac:dyDescent="0.3">
      <c r="C295" s="37"/>
      <c r="D295" s="38"/>
      <c r="E295" s="38"/>
      <c r="F295" s="39"/>
      <c r="G295" s="40"/>
      <c r="H295" s="38" t="e">
        <f>MONTH(Libro_Diario[[#This Row],[Fecha]])</f>
        <v>#VALUE!</v>
      </c>
      <c r="I295" s="38" t="e">
        <f>YEAR(Libro_Diario[[#This Row],[Fecha]])</f>
        <v>#VALUE!</v>
      </c>
    </row>
    <row r="296" spans="3:9" x14ac:dyDescent="0.3">
      <c r="C296" s="37"/>
      <c r="D296" s="38"/>
      <c r="E296" s="38"/>
      <c r="F296" s="39"/>
      <c r="G296" s="40"/>
      <c r="H296" s="38" t="e">
        <f>MONTH(Libro_Diario[[#This Row],[Fecha]])</f>
        <v>#VALUE!</v>
      </c>
      <c r="I296" s="38" t="e">
        <f>YEAR(Libro_Diario[[#This Row],[Fecha]])</f>
        <v>#VALUE!</v>
      </c>
    </row>
    <row r="297" spans="3:9" x14ac:dyDescent="0.3">
      <c r="C297" s="37"/>
      <c r="D297" s="38"/>
      <c r="E297" s="38"/>
      <c r="F297" s="39"/>
      <c r="G297" s="40"/>
      <c r="H297" s="38" t="e">
        <f>MONTH(Libro_Diario[[#This Row],[Fecha]])</f>
        <v>#VALUE!</v>
      </c>
      <c r="I297" s="38" t="e">
        <f>YEAR(Libro_Diario[[#This Row],[Fecha]])</f>
        <v>#VALUE!</v>
      </c>
    </row>
    <row r="298" spans="3:9" x14ac:dyDescent="0.3">
      <c r="C298" s="37"/>
      <c r="D298" s="38"/>
      <c r="E298" s="38"/>
      <c r="F298" s="39"/>
      <c r="G298" s="40"/>
      <c r="H298" s="38" t="e">
        <f>MONTH(Libro_Diario[[#This Row],[Fecha]])</f>
        <v>#VALUE!</v>
      </c>
      <c r="I298" s="38" t="e">
        <f>YEAR(Libro_Diario[[#This Row],[Fecha]])</f>
        <v>#VALUE!</v>
      </c>
    </row>
    <row r="299" spans="3:9" x14ac:dyDescent="0.3">
      <c r="C299" s="37"/>
      <c r="D299" s="38"/>
      <c r="E299" s="38"/>
      <c r="F299" s="39"/>
      <c r="G299" s="40"/>
      <c r="H299" s="38" t="e">
        <f>MONTH(Libro_Diario[[#This Row],[Fecha]])</f>
        <v>#VALUE!</v>
      </c>
      <c r="I299" s="38" t="e">
        <f>YEAR(Libro_Diario[[#This Row],[Fecha]])</f>
        <v>#VALUE!</v>
      </c>
    </row>
    <row r="300" spans="3:9" x14ac:dyDescent="0.3">
      <c r="C300" s="37"/>
      <c r="D300" s="38"/>
      <c r="E300" s="38"/>
      <c r="F300" s="39"/>
      <c r="G300" s="40"/>
      <c r="H300" s="38" t="e">
        <f>MONTH(Libro_Diario[[#This Row],[Fecha]])</f>
        <v>#VALUE!</v>
      </c>
      <c r="I300" s="38" t="e">
        <f>YEAR(Libro_Diario[[#This Row],[Fecha]])</f>
        <v>#VALUE!</v>
      </c>
    </row>
    <row r="301" spans="3:9" x14ac:dyDescent="0.3">
      <c r="C301" s="37"/>
      <c r="D301" s="38"/>
      <c r="E301" s="38"/>
      <c r="F301" s="39"/>
      <c r="G301" s="40"/>
      <c r="H301" s="38" t="e">
        <f>MONTH(Libro_Diario[[#This Row],[Fecha]])</f>
        <v>#VALUE!</v>
      </c>
      <c r="I301" s="38" t="e">
        <f>YEAR(Libro_Diario[[#This Row],[Fecha]])</f>
        <v>#VALUE!</v>
      </c>
    </row>
    <row r="302" spans="3:9" x14ac:dyDescent="0.3">
      <c r="C302" s="37"/>
      <c r="D302" s="38"/>
      <c r="E302" s="38"/>
      <c r="F302" s="39"/>
      <c r="G302" s="40"/>
      <c r="H302" s="38" t="e">
        <f>MONTH(Libro_Diario[[#This Row],[Fecha]])</f>
        <v>#VALUE!</v>
      </c>
      <c r="I302" s="38" t="e">
        <f>YEAR(Libro_Diario[[#This Row],[Fecha]])</f>
        <v>#VALUE!</v>
      </c>
    </row>
    <row r="303" spans="3:9" x14ac:dyDescent="0.3">
      <c r="C303" s="37"/>
      <c r="D303" s="38"/>
      <c r="E303" s="38"/>
      <c r="F303" s="39"/>
      <c r="G303" s="40"/>
      <c r="H303" s="38" t="e">
        <f>MONTH(Libro_Diario[[#This Row],[Fecha]])</f>
        <v>#VALUE!</v>
      </c>
      <c r="I303" s="38" t="e">
        <f>YEAR(Libro_Diario[[#This Row],[Fecha]])</f>
        <v>#VALUE!</v>
      </c>
    </row>
    <row r="304" spans="3:9" x14ac:dyDescent="0.3">
      <c r="C304" s="37"/>
      <c r="D304" s="38"/>
      <c r="E304" s="38"/>
      <c r="F304" s="39"/>
      <c r="G304" s="40"/>
      <c r="H304" s="38" t="e">
        <f>MONTH(Libro_Diario[[#This Row],[Fecha]])</f>
        <v>#VALUE!</v>
      </c>
      <c r="I304" s="38" t="e">
        <f>YEAR(Libro_Diario[[#This Row],[Fecha]])</f>
        <v>#VALUE!</v>
      </c>
    </row>
    <row r="305" spans="3:9" x14ac:dyDescent="0.3">
      <c r="C305" s="37"/>
      <c r="D305" s="38"/>
      <c r="E305" s="38"/>
      <c r="F305" s="39"/>
      <c r="G305" s="40"/>
      <c r="H305" s="38" t="e">
        <f>MONTH(Libro_Diario[[#This Row],[Fecha]])</f>
        <v>#VALUE!</v>
      </c>
      <c r="I305" s="38" t="e">
        <f>YEAR(Libro_Diario[[#This Row],[Fecha]])</f>
        <v>#VALUE!</v>
      </c>
    </row>
    <row r="306" spans="3:9" x14ac:dyDescent="0.3">
      <c r="C306" s="37"/>
      <c r="D306" s="38"/>
      <c r="E306" s="38"/>
      <c r="F306" s="39"/>
      <c r="G306" s="40"/>
      <c r="H306" s="38" t="e">
        <f>MONTH(Libro_Diario[[#This Row],[Fecha]])</f>
        <v>#VALUE!</v>
      </c>
      <c r="I306" s="38" t="e">
        <f>YEAR(Libro_Diario[[#This Row],[Fecha]])</f>
        <v>#VALUE!</v>
      </c>
    </row>
    <row r="307" spans="3:9" x14ac:dyDescent="0.3">
      <c r="C307" s="37"/>
      <c r="D307" s="38"/>
      <c r="E307" s="38"/>
      <c r="F307" s="39"/>
      <c r="G307" s="40"/>
      <c r="H307" s="38" t="e">
        <f>MONTH(Libro_Diario[[#This Row],[Fecha]])</f>
        <v>#VALUE!</v>
      </c>
      <c r="I307" s="38" t="e">
        <f>YEAR(Libro_Diario[[#This Row],[Fecha]])</f>
        <v>#VALUE!</v>
      </c>
    </row>
    <row r="308" spans="3:9" x14ac:dyDescent="0.3">
      <c r="C308" s="37"/>
      <c r="D308" s="38"/>
      <c r="E308" s="38"/>
      <c r="F308" s="39"/>
      <c r="G308" s="40"/>
      <c r="H308" s="38" t="e">
        <f>MONTH(Libro_Diario[[#This Row],[Fecha]])</f>
        <v>#VALUE!</v>
      </c>
      <c r="I308" s="38" t="e">
        <f>YEAR(Libro_Diario[[#This Row],[Fecha]])</f>
        <v>#VALUE!</v>
      </c>
    </row>
    <row r="309" spans="3:9" x14ac:dyDescent="0.3">
      <c r="C309" s="37"/>
      <c r="D309" s="38"/>
      <c r="E309" s="38"/>
      <c r="F309" s="39"/>
      <c r="G309" s="40"/>
      <c r="H309" s="38" t="e">
        <f>MONTH(Libro_Diario[[#This Row],[Fecha]])</f>
        <v>#VALUE!</v>
      </c>
      <c r="I309" s="38" t="e">
        <f>YEAR(Libro_Diario[[#This Row],[Fecha]])</f>
        <v>#VALUE!</v>
      </c>
    </row>
    <row r="310" spans="3:9" x14ac:dyDescent="0.3">
      <c r="C310" s="37"/>
      <c r="D310" s="38"/>
      <c r="E310" s="38"/>
      <c r="F310" s="39"/>
      <c r="G310" s="40"/>
      <c r="H310" s="38" t="e">
        <f>MONTH(Libro_Diario[[#This Row],[Fecha]])</f>
        <v>#VALUE!</v>
      </c>
      <c r="I310" s="38" t="e">
        <f>YEAR(Libro_Diario[[#This Row],[Fecha]])</f>
        <v>#VALUE!</v>
      </c>
    </row>
    <row r="311" spans="3:9" x14ac:dyDescent="0.3">
      <c r="C311" s="37"/>
      <c r="D311" s="38"/>
      <c r="E311" s="38"/>
      <c r="F311" s="39"/>
      <c r="G311" s="40"/>
      <c r="H311" s="38" t="e">
        <f>MONTH(Libro_Diario[[#This Row],[Fecha]])</f>
        <v>#VALUE!</v>
      </c>
      <c r="I311" s="38" t="e">
        <f>YEAR(Libro_Diario[[#This Row],[Fecha]])</f>
        <v>#VALUE!</v>
      </c>
    </row>
    <row r="312" spans="3:9" x14ac:dyDescent="0.3">
      <c r="C312" s="37"/>
      <c r="D312" s="38"/>
      <c r="E312" s="38"/>
      <c r="F312" s="39"/>
      <c r="G312" s="40"/>
      <c r="H312" s="38" t="e">
        <f>MONTH(Libro_Diario[[#This Row],[Fecha]])</f>
        <v>#VALUE!</v>
      </c>
      <c r="I312" s="38" t="e">
        <f>YEAR(Libro_Diario[[#This Row],[Fecha]])</f>
        <v>#VALUE!</v>
      </c>
    </row>
    <row r="313" spans="3:9" x14ac:dyDescent="0.3">
      <c r="C313" s="37"/>
      <c r="D313" s="38"/>
      <c r="E313" s="38"/>
      <c r="F313" s="39"/>
      <c r="G313" s="40"/>
      <c r="H313" s="38" t="e">
        <f>MONTH(Libro_Diario[[#This Row],[Fecha]])</f>
        <v>#VALUE!</v>
      </c>
      <c r="I313" s="38" t="e">
        <f>YEAR(Libro_Diario[[#This Row],[Fecha]])</f>
        <v>#VALUE!</v>
      </c>
    </row>
    <row r="314" spans="3:9" x14ac:dyDescent="0.3">
      <c r="C314" s="37"/>
      <c r="D314" s="38"/>
      <c r="E314" s="38"/>
      <c r="F314" s="39"/>
      <c r="G314" s="40"/>
      <c r="H314" s="38" t="e">
        <f>MONTH(Libro_Diario[[#This Row],[Fecha]])</f>
        <v>#VALUE!</v>
      </c>
      <c r="I314" s="38" t="e">
        <f>YEAR(Libro_Diario[[#This Row],[Fecha]])</f>
        <v>#VALUE!</v>
      </c>
    </row>
    <row r="315" spans="3:9" x14ac:dyDescent="0.3">
      <c r="C315" s="37"/>
      <c r="D315" s="38"/>
      <c r="E315" s="38"/>
      <c r="F315" s="39"/>
      <c r="G315" s="40"/>
      <c r="H315" s="38" t="e">
        <f>MONTH(Libro_Diario[[#This Row],[Fecha]])</f>
        <v>#VALUE!</v>
      </c>
      <c r="I315" s="38" t="e">
        <f>YEAR(Libro_Diario[[#This Row],[Fecha]])</f>
        <v>#VALUE!</v>
      </c>
    </row>
    <row r="316" spans="3:9" x14ac:dyDescent="0.3">
      <c r="C316" s="37"/>
      <c r="D316" s="38"/>
      <c r="E316" s="38"/>
      <c r="F316" s="39"/>
      <c r="G316" s="40"/>
      <c r="H316" s="38" t="e">
        <f>MONTH(Libro_Diario[[#This Row],[Fecha]])</f>
        <v>#VALUE!</v>
      </c>
      <c r="I316" s="38" t="e">
        <f>YEAR(Libro_Diario[[#This Row],[Fecha]])</f>
        <v>#VALUE!</v>
      </c>
    </row>
    <row r="317" spans="3:9" x14ac:dyDescent="0.3">
      <c r="C317" s="37"/>
      <c r="D317" s="38"/>
      <c r="E317" s="38"/>
      <c r="F317" s="39"/>
      <c r="G317" s="40"/>
      <c r="H317" s="38" t="e">
        <f>MONTH(Libro_Diario[[#This Row],[Fecha]])</f>
        <v>#VALUE!</v>
      </c>
      <c r="I317" s="38" t="e">
        <f>YEAR(Libro_Diario[[#This Row],[Fecha]])</f>
        <v>#VALUE!</v>
      </c>
    </row>
    <row r="318" spans="3:9" x14ac:dyDescent="0.3">
      <c r="C318" s="37"/>
      <c r="D318" s="38"/>
      <c r="E318" s="38"/>
      <c r="F318" s="39"/>
      <c r="G318" s="40"/>
      <c r="H318" s="38" t="e">
        <f>MONTH(Libro_Diario[[#This Row],[Fecha]])</f>
        <v>#VALUE!</v>
      </c>
      <c r="I318" s="38" t="e">
        <f>YEAR(Libro_Diario[[#This Row],[Fecha]])</f>
        <v>#VALUE!</v>
      </c>
    </row>
    <row r="319" spans="3:9" x14ac:dyDescent="0.3">
      <c r="C319" s="37"/>
      <c r="D319" s="38"/>
      <c r="E319" s="38"/>
      <c r="F319" s="39"/>
      <c r="G319" s="40"/>
      <c r="H319" s="38" t="e">
        <f>MONTH(Libro_Diario[[#This Row],[Fecha]])</f>
        <v>#VALUE!</v>
      </c>
      <c r="I319" s="38" t="e">
        <f>YEAR(Libro_Diario[[#This Row],[Fecha]])</f>
        <v>#VALUE!</v>
      </c>
    </row>
    <row r="320" spans="3:9" x14ac:dyDescent="0.3">
      <c r="C320" s="37"/>
      <c r="D320" s="38"/>
      <c r="E320" s="38"/>
      <c r="F320" s="39"/>
      <c r="G320" s="40"/>
      <c r="H320" s="38" t="e">
        <f>MONTH(Libro_Diario[[#This Row],[Fecha]])</f>
        <v>#VALUE!</v>
      </c>
      <c r="I320" s="38" t="e">
        <f>YEAR(Libro_Diario[[#This Row],[Fecha]])</f>
        <v>#VALUE!</v>
      </c>
    </row>
    <row r="321" spans="2:9" x14ac:dyDescent="0.3">
      <c r="C321" s="37"/>
      <c r="D321" s="38"/>
      <c r="E321" s="38"/>
      <c r="F321" s="39"/>
      <c r="G321" s="40"/>
      <c r="H321" s="38" t="e">
        <f>MONTH(Libro_Diario[[#This Row],[Fecha]])</f>
        <v>#VALUE!</v>
      </c>
      <c r="I321" s="38" t="e">
        <f>YEAR(Libro_Diario[[#This Row],[Fecha]])</f>
        <v>#VALUE!</v>
      </c>
    </row>
    <row r="322" spans="2:9" x14ac:dyDescent="0.3">
      <c r="C322" s="37"/>
      <c r="D322" s="38"/>
      <c r="E322" s="38"/>
      <c r="F322" s="39"/>
      <c r="G322" s="40"/>
      <c r="H322" s="38" t="e">
        <f>MONTH(Libro_Diario[[#This Row],[Fecha]])</f>
        <v>#VALUE!</v>
      </c>
      <c r="I322" s="38" t="e">
        <f>YEAR(Libro_Diario[[#This Row],[Fecha]])</f>
        <v>#VALUE!</v>
      </c>
    </row>
    <row r="323" spans="2:9" x14ac:dyDescent="0.3">
      <c r="C323" s="37"/>
      <c r="D323" s="38"/>
      <c r="E323" s="38"/>
      <c r="F323" s="39"/>
      <c r="G323" s="40"/>
      <c r="H323" s="38" t="e">
        <f>MONTH(Libro_Diario[[#This Row],[Fecha]])</f>
        <v>#VALUE!</v>
      </c>
      <c r="I323" s="38" t="e">
        <f>YEAR(Libro_Diario[[#This Row],[Fecha]])</f>
        <v>#VALUE!</v>
      </c>
    </row>
    <row r="324" spans="2:9" x14ac:dyDescent="0.3">
      <c r="C324" s="37"/>
      <c r="D324" s="38"/>
      <c r="E324" s="38"/>
      <c r="F324" s="39"/>
      <c r="G324" s="40"/>
      <c r="H324" s="38" t="e">
        <f>MONTH(Libro_Diario[[#This Row],[Fecha]])</f>
        <v>#VALUE!</v>
      </c>
      <c r="I324" s="38" t="e">
        <f>YEAR(Libro_Diario[[#This Row],[Fecha]])</f>
        <v>#VALUE!</v>
      </c>
    </row>
    <row r="325" spans="2:9" x14ac:dyDescent="0.3">
      <c r="B325" s="37"/>
      <c r="C325" s="37"/>
      <c r="D325" s="38"/>
      <c r="E325" s="38"/>
      <c r="F325" s="39"/>
      <c r="G325" s="40"/>
      <c r="H325" s="38" t="e">
        <f>MONTH(Libro_Diario[[#This Row],[Fecha]])</f>
        <v>#VALUE!</v>
      </c>
      <c r="I325" s="38" t="e">
        <f>YEAR(Libro_Diario[[#This Row],[Fecha]])</f>
        <v>#VALUE!</v>
      </c>
    </row>
    <row r="326" spans="2:9" x14ac:dyDescent="0.3">
      <c r="C326" s="37"/>
      <c r="D326" s="38"/>
      <c r="E326" s="38"/>
      <c r="F326" s="39"/>
      <c r="G326" s="40"/>
      <c r="H326" s="38" t="e">
        <f>MONTH(Libro_Diario[[#This Row],[Fecha]])</f>
        <v>#VALUE!</v>
      </c>
      <c r="I326" s="38" t="e">
        <f>YEAR(Libro_Diario[[#This Row],[Fecha]])</f>
        <v>#VALUE!</v>
      </c>
    </row>
    <row r="327" spans="2:9" x14ac:dyDescent="0.3">
      <c r="C327" s="37"/>
      <c r="D327" s="38"/>
      <c r="E327" s="38"/>
      <c r="F327" s="39"/>
      <c r="G327" s="40"/>
      <c r="H327" s="38" t="e">
        <f>MONTH(Libro_Diario[[#This Row],[Fecha]])</f>
        <v>#VALUE!</v>
      </c>
      <c r="I327" s="38" t="e">
        <f>YEAR(Libro_Diario[[#This Row],[Fecha]])</f>
        <v>#VALUE!</v>
      </c>
    </row>
    <row r="328" spans="2:9" x14ac:dyDescent="0.3">
      <c r="C328" s="37"/>
      <c r="D328" s="38"/>
      <c r="E328" s="38"/>
      <c r="F328" s="39"/>
      <c r="G328" s="40"/>
      <c r="H328" s="38" t="e">
        <f>MONTH(Libro_Diario[[#This Row],[Fecha]])</f>
        <v>#VALUE!</v>
      </c>
      <c r="I328" s="38" t="e">
        <f>YEAR(Libro_Diario[[#This Row],[Fecha]])</f>
        <v>#VALUE!</v>
      </c>
    </row>
    <row r="329" spans="2:9" x14ac:dyDescent="0.3">
      <c r="C329" s="37"/>
      <c r="D329" s="38"/>
      <c r="E329" s="38"/>
      <c r="F329" s="39"/>
      <c r="G329" s="40"/>
      <c r="H329" s="38" t="e">
        <f>MONTH(Libro_Diario[[#This Row],[Fecha]])</f>
        <v>#VALUE!</v>
      </c>
      <c r="I329" s="38" t="e">
        <f>YEAR(Libro_Diario[[#This Row],[Fecha]])</f>
        <v>#VALUE!</v>
      </c>
    </row>
    <row r="330" spans="2:9" x14ac:dyDescent="0.3">
      <c r="C330" s="37"/>
      <c r="D330" s="38"/>
      <c r="E330" s="38"/>
      <c r="F330" s="39"/>
      <c r="G330" s="40"/>
      <c r="H330" s="38" t="e">
        <f>MONTH(Libro_Diario[[#This Row],[Fecha]])</f>
        <v>#VALUE!</v>
      </c>
      <c r="I330" s="38" t="e">
        <f>YEAR(Libro_Diario[[#This Row],[Fecha]])</f>
        <v>#VALUE!</v>
      </c>
    </row>
    <row r="331" spans="2:9" x14ac:dyDescent="0.3">
      <c r="C331" s="37"/>
      <c r="D331" s="38"/>
      <c r="E331" s="38"/>
      <c r="F331" s="39"/>
      <c r="G331" s="40"/>
      <c r="H331" s="38" t="e">
        <f>MONTH(Libro_Diario[[#This Row],[Fecha]])</f>
        <v>#VALUE!</v>
      </c>
      <c r="I331" s="38" t="e">
        <f>YEAR(Libro_Diario[[#This Row],[Fecha]])</f>
        <v>#VALUE!</v>
      </c>
    </row>
    <row r="332" spans="2:9" x14ac:dyDescent="0.3">
      <c r="C332" s="37"/>
      <c r="D332" s="38"/>
      <c r="E332" s="38"/>
      <c r="F332" s="39"/>
      <c r="G332" s="40"/>
      <c r="H332" s="38" t="e">
        <f>MONTH(Libro_Diario[[#This Row],[Fecha]])</f>
        <v>#VALUE!</v>
      </c>
      <c r="I332" s="38" t="e">
        <f>YEAR(Libro_Diario[[#This Row],[Fecha]])</f>
        <v>#VALUE!</v>
      </c>
    </row>
    <row r="333" spans="2:9" x14ac:dyDescent="0.3">
      <c r="C333" s="37"/>
      <c r="D333" s="38"/>
      <c r="E333" s="38"/>
      <c r="F333" s="39"/>
      <c r="G333" s="40"/>
      <c r="H333" s="38" t="e">
        <f>MONTH(Libro_Diario[[#This Row],[Fecha]])</f>
        <v>#VALUE!</v>
      </c>
      <c r="I333" s="38" t="e">
        <f>YEAR(Libro_Diario[[#This Row],[Fecha]])</f>
        <v>#VALUE!</v>
      </c>
    </row>
    <row r="334" spans="2:9" x14ac:dyDescent="0.3">
      <c r="C334" s="37"/>
      <c r="D334" s="38"/>
      <c r="E334" s="38"/>
      <c r="F334" s="39"/>
      <c r="G334" s="40"/>
      <c r="H334" s="38" t="e">
        <f>MONTH(Libro_Diario[[#This Row],[Fecha]])</f>
        <v>#VALUE!</v>
      </c>
      <c r="I334" s="38" t="e">
        <f>YEAR(Libro_Diario[[#This Row],[Fecha]])</f>
        <v>#VALUE!</v>
      </c>
    </row>
    <row r="335" spans="2:9" x14ac:dyDescent="0.3">
      <c r="C335" s="37"/>
      <c r="D335" s="38"/>
      <c r="E335" s="38"/>
      <c r="F335" s="39"/>
      <c r="G335" s="40"/>
      <c r="H335" s="38" t="e">
        <f>MONTH(Libro_Diario[[#This Row],[Fecha]])</f>
        <v>#VALUE!</v>
      </c>
      <c r="I335" s="38" t="e">
        <f>YEAR(Libro_Diario[[#This Row],[Fecha]])</f>
        <v>#VALUE!</v>
      </c>
    </row>
    <row r="336" spans="2:9" x14ac:dyDescent="0.3">
      <c r="C336" s="37"/>
      <c r="D336" s="38"/>
      <c r="E336" s="38"/>
      <c r="F336" s="39"/>
      <c r="G336" s="40"/>
      <c r="H336" s="38" t="e">
        <f>MONTH(Libro_Diario[[#This Row],[Fecha]])</f>
        <v>#VALUE!</v>
      </c>
      <c r="I336" s="38" t="e">
        <f>YEAR(Libro_Diario[[#This Row],[Fecha]])</f>
        <v>#VALUE!</v>
      </c>
    </row>
    <row r="337" spans="3:9" x14ac:dyDescent="0.3">
      <c r="C337" s="37"/>
      <c r="D337" s="38"/>
      <c r="E337" s="38"/>
      <c r="F337" s="39"/>
      <c r="G337" s="40"/>
      <c r="H337" s="38" t="e">
        <f>MONTH(Libro_Diario[[#This Row],[Fecha]])</f>
        <v>#VALUE!</v>
      </c>
      <c r="I337" s="38" t="e">
        <f>YEAR(Libro_Diario[[#This Row],[Fecha]])</f>
        <v>#VALUE!</v>
      </c>
    </row>
    <row r="338" spans="3:9" x14ac:dyDescent="0.3">
      <c r="C338" s="60"/>
      <c r="D338" s="38"/>
      <c r="E338" s="38"/>
      <c r="F338" s="39"/>
      <c r="G338" s="40"/>
      <c r="H338" s="38" t="e">
        <f>MONTH(Libro_Diario[[#This Row],[Fecha]])</f>
        <v>#VALUE!</v>
      </c>
      <c r="I338" s="38" t="e">
        <f>YEAR(Libro_Diario[[#This Row],[Fecha]])</f>
        <v>#VALUE!</v>
      </c>
    </row>
    <row r="339" spans="3:9" x14ac:dyDescent="0.3">
      <c r="C339" s="37"/>
      <c r="D339" s="38"/>
      <c r="E339" s="38"/>
      <c r="F339" s="39"/>
      <c r="G339" s="40"/>
      <c r="H339" s="38" t="e">
        <f>MONTH(Libro_Diario[[#This Row],[Fecha]])</f>
        <v>#VALUE!</v>
      </c>
      <c r="I339" s="38" t="e">
        <f>YEAR(Libro_Diario[[#This Row],[Fecha]])</f>
        <v>#VALUE!</v>
      </c>
    </row>
    <row r="340" spans="3:9" x14ac:dyDescent="0.3">
      <c r="C340" s="37"/>
      <c r="D340" s="38"/>
      <c r="E340" s="38"/>
      <c r="F340" s="39"/>
      <c r="G340" s="40"/>
      <c r="H340" s="38" t="e">
        <f>MONTH(Libro_Diario[[#This Row],[Fecha]])</f>
        <v>#VALUE!</v>
      </c>
      <c r="I340" s="38" t="e">
        <f>YEAR(Libro_Diario[[#This Row],[Fecha]])</f>
        <v>#VALUE!</v>
      </c>
    </row>
    <row r="341" spans="3:9" x14ac:dyDescent="0.3">
      <c r="C341" s="37"/>
      <c r="D341" s="38"/>
      <c r="E341" s="38"/>
      <c r="F341" s="39"/>
      <c r="G341" s="40"/>
      <c r="H341" s="38" t="e">
        <f>MONTH(Libro_Diario[[#This Row],[Fecha]])</f>
        <v>#VALUE!</v>
      </c>
      <c r="I341" s="38" t="e">
        <f>YEAR(Libro_Diario[[#This Row],[Fecha]])</f>
        <v>#VALUE!</v>
      </c>
    </row>
    <row r="342" spans="3:9" x14ac:dyDescent="0.3">
      <c r="C342" s="37"/>
      <c r="D342" s="38"/>
      <c r="E342" s="38"/>
      <c r="F342" s="39"/>
      <c r="G342" s="40"/>
      <c r="H342" s="38" t="e">
        <f>MONTH(Libro_Diario[[#This Row],[Fecha]])</f>
        <v>#VALUE!</v>
      </c>
      <c r="I342" s="38" t="e">
        <f>YEAR(Libro_Diario[[#This Row],[Fecha]])</f>
        <v>#VALUE!</v>
      </c>
    </row>
    <row r="343" spans="3:9" x14ac:dyDescent="0.3">
      <c r="C343" s="37"/>
      <c r="D343" s="38"/>
      <c r="E343" s="38"/>
      <c r="F343" s="39"/>
      <c r="G343" s="40"/>
      <c r="H343" s="38" t="e">
        <f>MONTH(Libro_Diario[[#This Row],[Fecha]])</f>
        <v>#VALUE!</v>
      </c>
      <c r="I343" s="38" t="e">
        <f>YEAR(Libro_Diario[[#This Row],[Fecha]])</f>
        <v>#VALUE!</v>
      </c>
    </row>
    <row r="344" spans="3:9" x14ac:dyDescent="0.3">
      <c r="C344" s="37"/>
      <c r="D344" s="38"/>
      <c r="E344" s="38"/>
      <c r="F344" s="39"/>
      <c r="G344" s="40"/>
      <c r="H344" s="38" t="e">
        <f>MONTH(Libro_Diario[[#This Row],[Fecha]])</f>
        <v>#VALUE!</v>
      </c>
      <c r="I344" s="38" t="e">
        <f>YEAR(Libro_Diario[[#This Row],[Fecha]])</f>
        <v>#VALUE!</v>
      </c>
    </row>
    <row r="345" spans="3:9" x14ac:dyDescent="0.3">
      <c r="C345" s="37"/>
      <c r="D345" s="38"/>
      <c r="E345" s="38"/>
      <c r="F345" s="39"/>
      <c r="G345" s="40"/>
      <c r="H345" s="38" t="e">
        <f>MONTH(Libro_Diario[[#This Row],[Fecha]])</f>
        <v>#VALUE!</v>
      </c>
      <c r="I345" s="38" t="e">
        <f>YEAR(Libro_Diario[[#This Row],[Fecha]])</f>
        <v>#VALUE!</v>
      </c>
    </row>
    <row r="346" spans="3:9" x14ac:dyDescent="0.3">
      <c r="C346" s="37"/>
      <c r="D346" s="38"/>
      <c r="E346" s="38"/>
      <c r="F346" s="39"/>
      <c r="G346" s="40"/>
      <c r="H346" s="38" t="e">
        <f>MONTH(Libro_Diario[[#This Row],[Fecha]])</f>
        <v>#VALUE!</v>
      </c>
      <c r="I346" s="38" t="e">
        <f>YEAR(Libro_Diario[[#This Row],[Fecha]])</f>
        <v>#VALUE!</v>
      </c>
    </row>
    <row r="347" spans="3:9" x14ac:dyDescent="0.3">
      <c r="C347" s="37"/>
      <c r="D347" s="38"/>
      <c r="E347" s="38"/>
      <c r="F347" s="39"/>
      <c r="G347" s="40"/>
      <c r="H347" s="38" t="e">
        <f>MONTH(Libro_Diario[[#This Row],[Fecha]])</f>
        <v>#VALUE!</v>
      </c>
      <c r="I347" s="38" t="e">
        <f>YEAR(Libro_Diario[[#This Row],[Fecha]])</f>
        <v>#VALUE!</v>
      </c>
    </row>
    <row r="348" spans="3:9" x14ac:dyDescent="0.3">
      <c r="C348" s="37"/>
      <c r="D348" s="38"/>
      <c r="E348" s="38"/>
      <c r="F348" s="39"/>
      <c r="G348" s="40"/>
      <c r="H348" s="38" t="e">
        <f>MONTH(Libro_Diario[[#This Row],[Fecha]])</f>
        <v>#VALUE!</v>
      </c>
      <c r="I348" s="38" t="e">
        <f>YEAR(Libro_Diario[[#This Row],[Fecha]])</f>
        <v>#VALUE!</v>
      </c>
    </row>
    <row r="349" spans="3:9" x14ac:dyDescent="0.3">
      <c r="C349" s="37"/>
      <c r="D349" s="38"/>
      <c r="E349" s="38"/>
      <c r="F349" s="39"/>
      <c r="G349" s="40"/>
      <c r="H349" s="38" t="e">
        <f>MONTH(Libro_Diario[[#This Row],[Fecha]])</f>
        <v>#VALUE!</v>
      </c>
      <c r="I349" s="38" t="e">
        <f>YEAR(Libro_Diario[[#This Row],[Fecha]])</f>
        <v>#VALUE!</v>
      </c>
    </row>
    <row r="350" spans="3:9" x14ac:dyDescent="0.3">
      <c r="C350" s="37"/>
      <c r="D350" s="38"/>
      <c r="E350" s="38"/>
      <c r="F350" s="39"/>
      <c r="G350" s="40"/>
      <c r="H350" s="38" t="e">
        <f>MONTH(Libro_Diario[[#This Row],[Fecha]])</f>
        <v>#VALUE!</v>
      </c>
      <c r="I350" s="38" t="e">
        <f>YEAR(Libro_Diario[[#This Row],[Fecha]])</f>
        <v>#VALUE!</v>
      </c>
    </row>
    <row r="351" spans="3:9" x14ac:dyDescent="0.3">
      <c r="C351" s="37"/>
      <c r="D351" s="38"/>
      <c r="E351" s="38"/>
      <c r="F351" s="39"/>
      <c r="G351" s="40"/>
      <c r="H351" s="38" t="e">
        <f>MONTH(Libro_Diario[[#This Row],[Fecha]])</f>
        <v>#VALUE!</v>
      </c>
      <c r="I351" s="38" t="e">
        <f>YEAR(Libro_Diario[[#This Row],[Fecha]])</f>
        <v>#VALUE!</v>
      </c>
    </row>
    <row r="352" spans="3:9" x14ac:dyDescent="0.3">
      <c r="C352" s="37"/>
      <c r="D352" s="38"/>
      <c r="E352" s="38"/>
      <c r="F352" s="39"/>
      <c r="G352" s="40"/>
      <c r="H352" s="38" t="e">
        <f>MONTH(Libro_Diario[[#This Row],[Fecha]])</f>
        <v>#VALUE!</v>
      </c>
      <c r="I352" s="38" t="e">
        <f>YEAR(Libro_Diario[[#This Row],[Fecha]])</f>
        <v>#VALUE!</v>
      </c>
    </row>
    <row r="353" spans="3:9" x14ac:dyDescent="0.3">
      <c r="C353" s="37"/>
      <c r="D353" s="38"/>
      <c r="E353" s="38"/>
      <c r="F353" s="39"/>
      <c r="G353" s="40"/>
      <c r="H353" s="38" t="e">
        <f>MONTH(Libro_Diario[[#This Row],[Fecha]])</f>
        <v>#VALUE!</v>
      </c>
      <c r="I353" s="38" t="e">
        <f>YEAR(Libro_Diario[[#This Row],[Fecha]])</f>
        <v>#VALUE!</v>
      </c>
    </row>
    <row r="354" spans="3:9" x14ac:dyDescent="0.3">
      <c r="C354" s="37"/>
      <c r="D354" s="38"/>
      <c r="E354" s="38"/>
      <c r="F354" s="39"/>
      <c r="G354" s="40"/>
      <c r="H354" s="38" t="e">
        <f>MONTH(Libro_Diario[[#This Row],[Fecha]])</f>
        <v>#VALUE!</v>
      </c>
      <c r="I354" s="38" t="e">
        <f>YEAR(Libro_Diario[[#This Row],[Fecha]])</f>
        <v>#VALUE!</v>
      </c>
    </row>
    <row r="355" spans="3:9" x14ac:dyDescent="0.3">
      <c r="C355" s="37"/>
      <c r="D355" s="38"/>
      <c r="E355" s="38"/>
      <c r="F355" s="39"/>
      <c r="G355" s="40"/>
      <c r="H355" s="38" t="e">
        <f>MONTH(Libro_Diario[[#This Row],[Fecha]])</f>
        <v>#VALUE!</v>
      </c>
      <c r="I355" s="38" t="e">
        <f>YEAR(Libro_Diario[[#This Row],[Fecha]])</f>
        <v>#VALUE!</v>
      </c>
    </row>
    <row r="356" spans="3:9" x14ac:dyDescent="0.3">
      <c r="C356" s="37"/>
      <c r="D356" s="38"/>
      <c r="E356" s="38"/>
      <c r="F356" s="39"/>
      <c r="G356" s="40"/>
      <c r="H356" s="38" t="e">
        <f>MONTH(Libro_Diario[[#This Row],[Fecha]])</f>
        <v>#VALUE!</v>
      </c>
      <c r="I356" s="38" t="e">
        <f>YEAR(Libro_Diario[[#This Row],[Fecha]])</f>
        <v>#VALUE!</v>
      </c>
    </row>
    <row r="357" spans="3:9" x14ac:dyDescent="0.3">
      <c r="C357" s="37"/>
      <c r="D357" s="38"/>
      <c r="E357" s="38"/>
      <c r="F357" s="39"/>
      <c r="G357" s="40"/>
      <c r="H357" s="38" t="e">
        <f>MONTH(Libro_Diario[[#This Row],[Fecha]])</f>
        <v>#VALUE!</v>
      </c>
      <c r="I357" s="38" t="e">
        <f>YEAR(Libro_Diario[[#This Row],[Fecha]])</f>
        <v>#VALUE!</v>
      </c>
    </row>
    <row r="358" spans="3:9" x14ac:dyDescent="0.3">
      <c r="C358" s="37"/>
      <c r="D358" s="38"/>
      <c r="E358" s="38"/>
      <c r="F358" s="39"/>
      <c r="G358" s="40"/>
      <c r="H358" s="38" t="e">
        <f>MONTH(Libro_Diario[[#This Row],[Fecha]])</f>
        <v>#VALUE!</v>
      </c>
      <c r="I358" s="38" t="e">
        <f>YEAR(Libro_Diario[[#This Row],[Fecha]])</f>
        <v>#VALUE!</v>
      </c>
    </row>
    <row r="359" spans="3:9" x14ac:dyDescent="0.3">
      <c r="C359" s="37"/>
      <c r="D359" s="38"/>
      <c r="E359" s="38"/>
      <c r="F359" s="39"/>
      <c r="G359" s="40"/>
      <c r="H359" s="38" t="e">
        <f>MONTH(Libro_Diario[[#This Row],[Fecha]])</f>
        <v>#VALUE!</v>
      </c>
      <c r="I359" s="38" t="e">
        <f>YEAR(Libro_Diario[[#This Row],[Fecha]])</f>
        <v>#VALUE!</v>
      </c>
    </row>
    <row r="360" spans="3:9" x14ac:dyDescent="0.3">
      <c r="C360" s="37"/>
      <c r="D360" s="38"/>
      <c r="E360" s="38"/>
      <c r="F360" s="39"/>
      <c r="G360" s="40"/>
      <c r="H360" s="38" t="e">
        <f>MONTH(Libro_Diario[[#This Row],[Fecha]])</f>
        <v>#VALUE!</v>
      </c>
      <c r="I360" s="38" t="e">
        <f>YEAR(Libro_Diario[[#This Row],[Fecha]])</f>
        <v>#VALUE!</v>
      </c>
    </row>
    <row r="361" spans="3:9" x14ac:dyDescent="0.3">
      <c r="C361" s="37"/>
      <c r="D361" s="38"/>
      <c r="E361" s="38"/>
      <c r="F361" s="39"/>
      <c r="G361" s="40"/>
      <c r="H361" s="38" t="e">
        <f>MONTH(Libro_Diario[[#This Row],[Fecha]])</f>
        <v>#VALUE!</v>
      </c>
      <c r="I361" s="38" t="e">
        <f>YEAR(Libro_Diario[[#This Row],[Fecha]])</f>
        <v>#VALUE!</v>
      </c>
    </row>
    <row r="362" spans="3:9" x14ac:dyDescent="0.3">
      <c r="C362" s="37"/>
      <c r="D362" s="38"/>
      <c r="E362" s="38"/>
      <c r="F362" s="39"/>
      <c r="G362" s="40"/>
      <c r="H362" s="38" t="e">
        <f>MONTH(Libro_Diario[[#This Row],[Fecha]])</f>
        <v>#VALUE!</v>
      </c>
      <c r="I362" s="38" t="e">
        <f>YEAR(Libro_Diario[[#This Row],[Fecha]])</f>
        <v>#VALUE!</v>
      </c>
    </row>
    <row r="363" spans="3:9" x14ac:dyDescent="0.3">
      <c r="C363" s="37"/>
      <c r="D363" s="38"/>
      <c r="E363" s="38"/>
      <c r="F363" s="39"/>
      <c r="G363" s="40"/>
      <c r="H363" s="38" t="e">
        <f>MONTH(Libro_Diario[[#This Row],[Fecha]])</f>
        <v>#VALUE!</v>
      </c>
      <c r="I363" s="38" t="e">
        <f>YEAR(Libro_Diario[[#This Row],[Fecha]])</f>
        <v>#VALUE!</v>
      </c>
    </row>
    <row r="364" spans="3:9" x14ac:dyDescent="0.3">
      <c r="C364" s="37"/>
      <c r="D364" s="38"/>
      <c r="E364" s="38"/>
      <c r="F364" s="39"/>
      <c r="G364" s="40"/>
      <c r="H364" s="38" t="e">
        <f>MONTH(Libro_Diario[[#This Row],[Fecha]])</f>
        <v>#VALUE!</v>
      </c>
      <c r="I364" s="38" t="e">
        <f>YEAR(Libro_Diario[[#This Row],[Fecha]])</f>
        <v>#VALUE!</v>
      </c>
    </row>
    <row r="365" spans="3:9" x14ac:dyDescent="0.3">
      <c r="C365" s="37"/>
      <c r="D365" s="38"/>
      <c r="E365" s="38"/>
      <c r="F365" s="39"/>
      <c r="G365" s="40"/>
      <c r="H365" s="38" t="e">
        <f>MONTH(Libro_Diario[[#This Row],[Fecha]])</f>
        <v>#VALUE!</v>
      </c>
      <c r="I365" s="38" t="e">
        <f>YEAR(Libro_Diario[[#This Row],[Fecha]])</f>
        <v>#VALUE!</v>
      </c>
    </row>
    <row r="366" spans="3:9" x14ac:dyDescent="0.3">
      <c r="C366" s="37"/>
      <c r="D366" s="38"/>
      <c r="E366" s="38"/>
      <c r="F366" s="39"/>
      <c r="G366" s="40"/>
      <c r="H366" s="38" t="e">
        <f>MONTH(Libro_Diario[[#This Row],[Fecha]])</f>
        <v>#VALUE!</v>
      </c>
      <c r="I366" s="38" t="e">
        <f>YEAR(Libro_Diario[[#This Row],[Fecha]])</f>
        <v>#VALUE!</v>
      </c>
    </row>
    <row r="367" spans="3:9" x14ac:dyDescent="0.3">
      <c r="C367" s="37"/>
      <c r="D367" s="38"/>
      <c r="E367" s="38"/>
      <c r="F367" s="39"/>
      <c r="G367" s="40"/>
      <c r="H367" s="38" t="e">
        <f>MONTH(Libro_Diario[[#This Row],[Fecha]])</f>
        <v>#VALUE!</v>
      </c>
      <c r="I367" s="38" t="e">
        <f>YEAR(Libro_Diario[[#This Row],[Fecha]])</f>
        <v>#VALUE!</v>
      </c>
    </row>
    <row r="368" spans="3:9" x14ac:dyDescent="0.3">
      <c r="C368" s="37"/>
      <c r="D368" s="38"/>
      <c r="E368" s="38"/>
      <c r="F368" s="39"/>
      <c r="G368" s="40"/>
      <c r="H368" s="38" t="e">
        <f>MONTH(Libro_Diario[[#This Row],[Fecha]])</f>
        <v>#VALUE!</v>
      </c>
      <c r="I368" s="38" t="e">
        <f>YEAR(Libro_Diario[[#This Row],[Fecha]])</f>
        <v>#VALUE!</v>
      </c>
    </row>
    <row r="369" spans="3:9" x14ac:dyDescent="0.3">
      <c r="C369" s="37"/>
      <c r="D369" s="38"/>
      <c r="E369" s="38"/>
      <c r="F369" s="39"/>
      <c r="G369" s="40"/>
      <c r="H369" s="38" t="e">
        <f>MONTH(Libro_Diario[[#This Row],[Fecha]])</f>
        <v>#VALUE!</v>
      </c>
      <c r="I369" s="38" t="e">
        <f>YEAR(Libro_Diario[[#This Row],[Fecha]])</f>
        <v>#VALUE!</v>
      </c>
    </row>
    <row r="370" spans="3:9" x14ac:dyDescent="0.3">
      <c r="C370" s="37"/>
      <c r="D370" s="38"/>
      <c r="E370" s="38"/>
      <c r="F370" s="39"/>
      <c r="G370" s="40"/>
      <c r="H370" s="38" t="e">
        <f>MONTH(Libro_Diario[[#This Row],[Fecha]])</f>
        <v>#VALUE!</v>
      </c>
      <c r="I370" s="38" t="e">
        <f>YEAR(Libro_Diario[[#This Row],[Fecha]])</f>
        <v>#VALUE!</v>
      </c>
    </row>
    <row r="371" spans="3:9" x14ac:dyDescent="0.3">
      <c r="C371" s="37"/>
      <c r="D371" s="38"/>
      <c r="E371" s="38"/>
      <c r="F371" s="39"/>
      <c r="G371" s="40"/>
      <c r="H371" s="38" t="e">
        <f>MONTH(Libro_Diario[[#This Row],[Fecha]])</f>
        <v>#VALUE!</v>
      </c>
      <c r="I371" s="38" t="e">
        <f>YEAR(Libro_Diario[[#This Row],[Fecha]])</f>
        <v>#VALUE!</v>
      </c>
    </row>
    <row r="372" spans="3:9" x14ac:dyDescent="0.3">
      <c r="C372" s="37"/>
      <c r="D372" s="38"/>
      <c r="E372" s="38"/>
      <c r="F372" s="39"/>
      <c r="G372" s="40"/>
      <c r="H372" s="38" t="e">
        <f>MONTH(Libro_Diario[[#This Row],[Fecha]])</f>
        <v>#VALUE!</v>
      </c>
      <c r="I372" s="38" t="e">
        <f>YEAR(Libro_Diario[[#This Row],[Fecha]])</f>
        <v>#VALUE!</v>
      </c>
    </row>
    <row r="373" spans="3:9" x14ac:dyDescent="0.3">
      <c r="C373" s="37"/>
      <c r="D373" s="38"/>
      <c r="E373" s="38"/>
      <c r="F373" s="39"/>
      <c r="G373" s="40"/>
      <c r="H373" s="38" t="e">
        <f>MONTH(Libro_Diario[[#This Row],[Fecha]])</f>
        <v>#VALUE!</v>
      </c>
      <c r="I373" s="38" t="e">
        <f>YEAR(Libro_Diario[[#This Row],[Fecha]])</f>
        <v>#VALUE!</v>
      </c>
    </row>
    <row r="374" spans="3:9" x14ac:dyDescent="0.3">
      <c r="C374" s="37"/>
      <c r="D374" s="38"/>
      <c r="E374" s="38"/>
      <c r="F374" s="39"/>
      <c r="G374" s="40"/>
      <c r="H374" s="38" t="e">
        <f>MONTH(Libro_Diario[[#This Row],[Fecha]])</f>
        <v>#VALUE!</v>
      </c>
      <c r="I374" s="38" t="e">
        <f>YEAR(Libro_Diario[[#This Row],[Fecha]])</f>
        <v>#VALUE!</v>
      </c>
    </row>
    <row r="375" spans="3:9" x14ac:dyDescent="0.3">
      <c r="C375" s="37"/>
      <c r="D375" s="38"/>
      <c r="E375" s="38"/>
      <c r="F375" s="39"/>
      <c r="G375" s="40"/>
      <c r="H375" s="38" t="e">
        <f>MONTH(Libro_Diario[[#This Row],[Fecha]])</f>
        <v>#VALUE!</v>
      </c>
      <c r="I375" s="38" t="e">
        <f>YEAR(Libro_Diario[[#This Row],[Fecha]])</f>
        <v>#VALUE!</v>
      </c>
    </row>
    <row r="376" spans="3:9" x14ac:dyDescent="0.3">
      <c r="C376" s="37"/>
      <c r="D376" s="38"/>
      <c r="E376" s="38"/>
      <c r="F376" s="39"/>
      <c r="G376" s="40"/>
      <c r="H376" s="38" t="e">
        <f>MONTH(Libro_Diario[[#This Row],[Fecha]])</f>
        <v>#VALUE!</v>
      </c>
      <c r="I376" s="38" t="e">
        <f>YEAR(Libro_Diario[[#This Row],[Fecha]])</f>
        <v>#VALUE!</v>
      </c>
    </row>
    <row r="377" spans="3:9" x14ac:dyDescent="0.3">
      <c r="C377" s="37"/>
      <c r="D377" s="38"/>
      <c r="E377" s="38"/>
      <c r="F377" s="39"/>
      <c r="G377" s="40"/>
      <c r="H377" s="38" t="e">
        <f>MONTH(Libro_Diario[[#This Row],[Fecha]])</f>
        <v>#VALUE!</v>
      </c>
      <c r="I377" s="38" t="e">
        <f>YEAR(Libro_Diario[[#This Row],[Fecha]])</f>
        <v>#VALUE!</v>
      </c>
    </row>
    <row r="378" spans="3:9" x14ac:dyDescent="0.3">
      <c r="C378" s="37"/>
      <c r="D378" s="38"/>
      <c r="E378" s="38"/>
      <c r="F378" s="39"/>
      <c r="G378" s="40"/>
      <c r="H378" s="38" t="e">
        <f>MONTH(Libro_Diario[[#This Row],[Fecha]])</f>
        <v>#VALUE!</v>
      </c>
      <c r="I378" s="38" t="e">
        <f>YEAR(Libro_Diario[[#This Row],[Fecha]])</f>
        <v>#VALUE!</v>
      </c>
    </row>
    <row r="379" spans="3:9" x14ac:dyDescent="0.3">
      <c r="C379" s="37"/>
      <c r="D379" s="38"/>
      <c r="E379" s="38"/>
      <c r="F379" s="39"/>
      <c r="G379" s="40"/>
      <c r="H379" s="38" t="e">
        <f>MONTH(Libro_Diario[[#This Row],[Fecha]])</f>
        <v>#VALUE!</v>
      </c>
      <c r="I379" s="38" t="e">
        <f>YEAR(Libro_Diario[[#This Row],[Fecha]])</f>
        <v>#VALUE!</v>
      </c>
    </row>
    <row r="380" spans="3:9" x14ac:dyDescent="0.3">
      <c r="C380" s="37"/>
      <c r="D380" s="38"/>
      <c r="E380" s="38"/>
      <c r="F380" s="39"/>
      <c r="G380" s="40"/>
      <c r="H380" s="38" t="e">
        <f>MONTH(Libro_Diario[[#This Row],[Fecha]])</f>
        <v>#VALUE!</v>
      </c>
      <c r="I380" s="38" t="e">
        <f>YEAR(Libro_Diario[[#This Row],[Fecha]])</f>
        <v>#VALUE!</v>
      </c>
    </row>
    <row r="381" spans="3:9" x14ac:dyDescent="0.3">
      <c r="C381" s="37"/>
      <c r="D381" s="38"/>
      <c r="E381" s="38"/>
      <c r="F381" s="39"/>
      <c r="G381" s="40"/>
      <c r="H381" s="38" t="e">
        <f>MONTH(Libro_Diario[[#This Row],[Fecha]])</f>
        <v>#VALUE!</v>
      </c>
      <c r="I381" s="38" t="e">
        <f>YEAR(Libro_Diario[[#This Row],[Fecha]])</f>
        <v>#VALUE!</v>
      </c>
    </row>
    <row r="382" spans="3:9" x14ac:dyDescent="0.3">
      <c r="C382" s="37"/>
      <c r="D382" s="38"/>
      <c r="E382" s="38"/>
      <c r="F382" s="39"/>
      <c r="G382" s="40"/>
      <c r="H382" s="38" t="e">
        <f>MONTH(Libro_Diario[[#This Row],[Fecha]])</f>
        <v>#VALUE!</v>
      </c>
      <c r="I382" s="38" t="e">
        <f>YEAR(Libro_Diario[[#This Row],[Fecha]])</f>
        <v>#VALUE!</v>
      </c>
    </row>
    <row r="383" spans="3:9" x14ac:dyDescent="0.3">
      <c r="C383" s="37"/>
      <c r="D383" s="38"/>
      <c r="E383" s="38"/>
      <c r="F383" s="39"/>
      <c r="G383" s="40"/>
      <c r="H383" s="38" t="e">
        <f>MONTH(Libro_Diario[[#This Row],[Fecha]])</f>
        <v>#VALUE!</v>
      </c>
      <c r="I383" s="38" t="e">
        <f>YEAR(Libro_Diario[[#This Row],[Fecha]])</f>
        <v>#VALUE!</v>
      </c>
    </row>
    <row r="384" spans="3:9" x14ac:dyDescent="0.3">
      <c r="C384" s="37"/>
      <c r="D384" s="38"/>
      <c r="E384" s="38"/>
      <c r="F384" s="39"/>
      <c r="G384" s="40"/>
      <c r="H384" s="38" t="e">
        <f>MONTH(Libro_Diario[[#This Row],[Fecha]])</f>
        <v>#VALUE!</v>
      </c>
      <c r="I384" s="38" t="e">
        <f>YEAR(Libro_Diario[[#This Row],[Fecha]])</f>
        <v>#VALUE!</v>
      </c>
    </row>
    <row r="385" spans="3:9" x14ac:dyDescent="0.3">
      <c r="C385" s="37"/>
      <c r="D385" s="38"/>
      <c r="E385" s="38"/>
      <c r="F385" s="39"/>
      <c r="G385" s="40"/>
      <c r="H385" s="38" t="e">
        <f>MONTH(Libro_Diario[[#This Row],[Fecha]])</f>
        <v>#VALUE!</v>
      </c>
      <c r="I385" s="38" t="e">
        <f>YEAR(Libro_Diario[[#This Row],[Fecha]])</f>
        <v>#VALUE!</v>
      </c>
    </row>
    <row r="386" spans="3:9" x14ac:dyDescent="0.3">
      <c r="C386" s="37"/>
      <c r="D386" s="38"/>
      <c r="E386" s="38"/>
      <c r="F386" s="39"/>
      <c r="G386" s="40"/>
      <c r="H386" s="38" t="e">
        <f>MONTH(Libro_Diario[[#This Row],[Fecha]])</f>
        <v>#VALUE!</v>
      </c>
      <c r="I386" s="38" t="e">
        <f>YEAR(Libro_Diario[[#This Row],[Fecha]])</f>
        <v>#VALUE!</v>
      </c>
    </row>
    <row r="387" spans="3:9" x14ac:dyDescent="0.3">
      <c r="C387" s="37"/>
      <c r="D387" s="38"/>
      <c r="E387" s="38"/>
      <c r="F387" s="39"/>
      <c r="G387" s="40"/>
      <c r="H387" s="38" t="e">
        <f>MONTH(Libro_Diario[[#This Row],[Fecha]])</f>
        <v>#VALUE!</v>
      </c>
      <c r="I387" s="38" t="e">
        <f>YEAR(Libro_Diario[[#This Row],[Fecha]])</f>
        <v>#VALUE!</v>
      </c>
    </row>
    <row r="388" spans="3:9" x14ac:dyDescent="0.3">
      <c r="C388" s="37"/>
      <c r="D388" s="38"/>
      <c r="E388" s="38"/>
      <c r="F388" s="39"/>
      <c r="G388" s="40"/>
      <c r="H388" s="38" t="e">
        <f>MONTH(Libro_Diario[[#This Row],[Fecha]])</f>
        <v>#VALUE!</v>
      </c>
      <c r="I388" s="38" t="e">
        <f>YEAR(Libro_Diario[[#This Row],[Fecha]])</f>
        <v>#VALUE!</v>
      </c>
    </row>
    <row r="389" spans="3:9" x14ac:dyDescent="0.3">
      <c r="C389" s="37"/>
      <c r="D389" s="38"/>
      <c r="E389" s="38"/>
      <c r="F389" s="39"/>
      <c r="G389" s="40"/>
      <c r="H389" s="38" t="e">
        <f>MONTH(Libro_Diario[[#This Row],[Fecha]])</f>
        <v>#VALUE!</v>
      </c>
      <c r="I389" s="38" t="e">
        <f>YEAR(Libro_Diario[[#This Row],[Fecha]])</f>
        <v>#VALUE!</v>
      </c>
    </row>
    <row r="390" spans="3:9" x14ac:dyDescent="0.3">
      <c r="C390" s="37"/>
      <c r="D390" s="38"/>
      <c r="E390" s="38"/>
      <c r="F390" s="39"/>
      <c r="G390" s="40"/>
      <c r="H390" s="38" t="e">
        <f>MONTH(Libro_Diario[[#This Row],[Fecha]])</f>
        <v>#VALUE!</v>
      </c>
      <c r="I390" s="38" t="e">
        <f>YEAR(Libro_Diario[[#This Row],[Fecha]])</f>
        <v>#VALUE!</v>
      </c>
    </row>
    <row r="391" spans="3:9" x14ac:dyDescent="0.3">
      <c r="C391" s="37"/>
      <c r="D391" s="38"/>
      <c r="E391" s="38"/>
      <c r="F391" s="39"/>
      <c r="G391" s="40"/>
      <c r="H391" s="38" t="e">
        <f>MONTH(Libro_Diario[[#This Row],[Fecha]])</f>
        <v>#VALUE!</v>
      </c>
      <c r="I391" s="38" t="e">
        <f>YEAR(Libro_Diario[[#This Row],[Fecha]])</f>
        <v>#VALUE!</v>
      </c>
    </row>
    <row r="392" spans="3:9" x14ac:dyDescent="0.3">
      <c r="C392" s="37"/>
      <c r="D392" s="38"/>
      <c r="E392" s="38"/>
      <c r="F392" s="39"/>
      <c r="G392" s="40"/>
      <c r="H392" s="38" t="e">
        <f>MONTH(Libro_Diario[[#This Row],[Fecha]])</f>
        <v>#VALUE!</v>
      </c>
      <c r="I392" s="38" t="e">
        <f>YEAR(Libro_Diario[[#This Row],[Fecha]])</f>
        <v>#VALUE!</v>
      </c>
    </row>
    <row r="393" spans="3:9" x14ac:dyDescent="0.3">
      <c r="C393" s="37"/>
      <c r="D393" s="38"/>
      <c r="E393" s="38"/>
      <c r="F393" s="39"/>
      <c r="G393" s="40"/>
      <c r="H393" s="38" t="e">
        <f>MONTH(Libro_Diario[[#This Row],[Fecha]])</f>
        <v>#VALUE!</v>
      </c>
      <c r="I393" s="38" t="e">
        <f>YEAR(Libro_Diario[[#This Row],[Fecha]])</f>
        <v>#VALUE!</v>
      </c>
    </row>
    <row r="394" spans="3:9" x14ac:dyDescent="0.3">
      <c r="C394" s="37"/>
      <c r="D394" s="38"/>
      <c r="E394" s="38"/>
      <c r="F394" s="39"/>
      <c r="G394" s="40"/>
      <c r="H394" s="38" t="e">
        <f>MONTH(Libro_Diario[[#This Row],[Fecha]])</f>
        <v>#VALUE!</v>
      </c>
      <c r="I394" s="38" t="e">
        <f>YEAR(Libro_Diario[[#This Row],[Fecha]])</f>
        <v>#VALUE!</v>
      </c>
    </row>
    <row r="395" spans="3:9" x14ac:dyDescent="0.3">
      <c r="C395" s="37"/>
      <c r="D395" s="38"/>
      <c r="E395" s="38"/>
      <c r="F395" s="39"/>
      <c r="G395" s="40"/>
      <c r="H395" s="38" t="e">
        <f>MONTH(Libro_Diario[[#This Row],[Fecha]])</f>
        <v>#VALUE!</v>
      </c>
      <c r="I395" s="38" t="e">
        <f>YEAR(Libro_Diario[[#This Row],[Fecha]])</f>
        <v>#VALUE!</v>
      </c>
    </row>
    <row r="396" spans="3:9" x14ac:dyDescent="0.3">
      <c r="C396" s="37"/>
      <c r="D396" s="38"/>
      <c r="E396" s="38"/>
      <c r="F396" s="39"/>
      <c r="G396" s="40"/>
      <c r="H396" s="38" t="e">
        <f>MONTH(Libro_Diario[[#This Row],[Fecha]])</f>
        <v>#VALUE!</v>
      </c>
      <c r="I396" s="38" t="e">
        <f>YEAR(Libro_Diario[[#This Row],[Fecha]])</f>
        <v>#VALUE!</v>
      </c>
    </row>
    <row r="397" spans="3:9" x14ac:dyDescent="0.3">
      <c r="C397" s="37"/>
      <c r="D397" s="38"/>
      <c r="E397" s="38"/>
      <c r="F397" s="39"/>
      <c r="G397" s="40"/>
      <c r="H397" s="38" t="e">
        <f>MONTH(Libro_Diario[[#This Row],[Fecha]])</f>
        <v>#VALUE!</v>
      </c>
      <c r="I397" s="38" t="e">
        <f>YEAR(Libro_Diario[[#This Row],[Fecha]])</f>
        <v>#VALUE!</v>
      </c>
    </row>
    <row r="398" spans="3:9" x14ac:dyDescent="0.3">
      <c r="C398" s="37"/>
      <c r="D398" s="38"/>
      <c r="E398" s="38"/>
      <c r="F398" s="39"/>
      <c r="G398" s="40"/>
      <c r="H398" s="38" t="e">
        <f>MONTH(Libro_Diario[[#This Row],[Fecha]])</f>
        <v>#VALUE!</v>
      </c>
      <c r="I398" s="38" t="e">
        <f>YEAR(Libro_Diario[[#This Row],[Fecha]])</f>
        <v>#VALUE!</v>
      </c>
    </row>
    <row r="399" spans="3:9" x14ac:dyDescent="0.3">
      <c r="C399" s="37"/>
      <c r="D399" s="38"/>
      <c r="E399" s="38"/>
      <c r="F399" s="39"/>
      <c r="G399" s="40"/>
      <c r="H399" s="38" t="e">
        <f>MONTH(Libro_Diario[[#This Row],[Fecha]])</f>
        <v>#VALUE!</v>
      </c>
      <c r="I399" s="38" t="e">
        <f>YEAR(Libro_Diario[[#This Row],[Fecha]])</f>
        <v>#VALUE!</v>
      </c>
    </row>
    <row r="400" spans="3:9" x14ac:dyDescent="0.3">
      <c r="C400" s="37"/>
      <c r="D400" s="38"/>
      <c r="E400" s="38"/>
      <c r="F400" s="39"/>
      <c r="G400" s="40"/>
      <c r="H400" s="38" t="e">
        <f>MONTH(Libro_Diario[[#This Row],[Fecha]])</f>
        <v>#VALUE!</v>
      </c>
      <c r="I400" s="38" t="e">
        <f>YEAR(Libro_Diario[[#This Row],[Fecha]])</f>
        <v>#VALUE!</v>
      </c>
    </row>
    <row r="401" spans="3:9" x14ac:dyDescent="0.3">
      <c r="C401" s="37"/>
      <c r="D401" s="38"/>
      <c r="E401" s="38"/>
      <c r="F401" s="39"/>
      <c r="G401" s="40"/>
      <c r="H401" s="38" t="e">
        <f>MONTH(Libro_Diario[[#This Row],[Fecha]])</f>
        <v>#VALUE!</v>
      </c>
      <c r="I401" s="38" t="e">
        <f>YEAR(Libro_Diario[[#This Row],[Fecha]])</f>
        <v>#VALUE!</v>
      </c>
    </row>
    <row r="402" spans="3:9" x14ac:dyDescent="0.3">
      <c r="C402" s="37"/>
      <c r="D402" s="38"/>
      <c r="E402" s="38"/>
      <c r="F402" s="39"/>
      <c r="G402" s="40"/>
      <c r="H402" s="38" t="e">
        <f>MONTH(Libro_Diario[[#This Row],[Fecha]])</f>
        <v>#VALUE!</v>
      </c>
      <c r="I402" s="38" t="e">
        <f>YEAR(Libro_Diario[[#This Row],[Fecha]])</f>
        <v>#VALUE!</v>
      </c>
    </row>
    <row r="403" spans="3:9" x14ac:dyDescent="0.3">
      <c r="C403" s="37"/>
      <c r="D403" s="38"/>
      <c r="E403" s="38"/>
      <c r="F403" s="39"/>
      <c r="G403" s="40"/>
      <c r="H403" s="38" t="e">
        <f>MONTH(Libro_Diario[[#This Row],[Fecha]])</f>
        <v>#VALUE!</v>
      </c>
      <c r="I403" s="38" t="e">
        <f>YEAR(Libro_Diario[[#This Row],[Fecha]])</f>
        <v>#VALUE!</v>
      </c>
    </row>
    <row r="404" spans="3:9" x14ac:dyDescent="0.3">
      <c r="C404" s="37"/>
      <c r="D404" s="38"/>
      <c r="E404" s="38"/>
      <c r="F404" s="39"/>
      <c r="G404" s="40"/>
      <c r="H404" s="38" t="e">
        <f>MONTH(Libro_Diario[[#This Row],[Fecha]])</f>
        <v>#VALUE!</v>
      </c>
      <c r="I404" s="38" t="e">
        <f>YEAR(Libro_Diario[[#This Row],[Fecha]])</f>
        <v>#VALUE!</v>
      </c>
    </row>
    <row r="405" spans="3:9" x14ac:dyDescent="0.3">
      <c r="C405" s="37"/>
      <c r="D405" s="38"/>
      <c r="E405" s="38"/>
      <c r="F405" s="39"/>
      <c r="G405" s="40"/>
      <c r="H405" s="38" t="e">
        <f>MONTH(Libro_Diario[[#This Row],[Fecha]])</f>
        <v>#VALUE!</v>
      </c>
      <c r="I405" s="38" t="e">
        <f>YEAR(Libro_Diario[[#This Row],[Fecha]])</f>
        <v>#VALUE!</v>
      </c>
    </row>
    <row r="406" spans="3:9" x14ac:dyDescent="0.3">
      <c r="C406" s="37"/>
      <c r="D406" s="38"/>
      <c r="E406" s="38"/>
      <c r="F406" s="39"/>
      <c r="G406" s="40"/>
      <c r="H406" s="38" t="e">
        <f>MONTH(Libro_Diario[[#This Row],[Fecha]])</f>
        <v>#VALUE!</v>
      </c>
      <c r="I406" s="38" t="e">
        <f>YEAR(Libro_Diario[[#This Row],[Fecha]])</f>
        <v>#VALUE!</v>
      </c>
    </row>
    <row r="407" spans="3:9" x14ac:dyDescent="0.3">
      <c r="C407" s="37"/>
      <c r="D407" s="38"/>
      <c r="E407" s="38"/>
      <c r="F407" s="39"/>
      <c r="G407" s="40"/>
      <c r="H407" s="38" t="e">
        <f>MONTH(Libro_Diario[[#This Row],[Fecha]])</f>
        <v>#VALUE!</v>
      </c>
      <c r="I407" s="38" t="e">
        <f>YEAR(Libro_Diario[[#This Row],[Fecha]])</f>
        <v>#VALUE!</v>
      </c>
    </row>
    <row r="408" spans="3:9" x14ac:dyDescent="0.3">
      <c r="C408" s="37"/>
      <c r="D408" s="38"/>
      <c r="E408" s="38"/>
      <c r="F408" s="39"/>
      <c r="G408" s="40"/>
      <c r="H408" s="38" t="e">
        <f>MONTH(Libro_Diario[[#This Row],[Fecha]])</f>
        <v>#VALUE!</v>
      </c>
      <c r="I408" s="38" t="e">
        <f>YEAR(Libro_Diario[[#This Row],[Fecha]])</f>
        <v>#VALUE!</v>
      </c>
    </row>
    <row r="409" spans="3:9" x14ac:dyDescent="0.3">
      <c r="C409" s="37"/>
      <c r="D409" s="38"/>
      <c r="E409" s="38"/>
      <c r="F409" s="39"/>
      <c r="G409" s="40"/>
      <c r="H409" s="38" t="e">
        <f>MONTH(Libro_Diario[[#This Row],[Fecha]])</f>
        <v>#VALUE!</v>
      </c>
      <c r="I409" s="38" t="e">
        <f>YEAR(Libro_Diario[[#This Row],[Fecha]])</f>
        <v>#VALUE!</v>
      </c>
    </row>
    <row r="410" spans="3:9" x14ac:dyDescent="0.3">
      <c r="C410" s="37"/>
      <c r="D410" s="38"/>
      <c r="E410" s="38"/>
      <c r="F410" s="39"/>
      <c r="G410" s="40"/>
      <c r="H410" s="38" t="e">
        <f>MONTH(Libro_Diario[[#This Row],[Fecha]])</f>
        <v>#VALUE!</v>
      </c>
      <c r="I410" s="38" t="e">
        <f>YEAR(Libro_Diario[[#This Row],[Fecha]])</f>
        <v>#VALUE!</v>
      </c>
    </row>
    <row r="411" spans="3:9" x14ac:dyDescent="0.3">
      <c r="C411" s="37"/>
      <c r="D411" s="38"/>
      <c r="E411" s="38"/>
      <c r="F411" s="39"/>
      <c r="G411" s="40"/>
      <c r="H411" s="38" t="e">
        <f>MONTH(Libro_Diario[[#This Row],[Fecha]])</f>
        <v>#VALUE!</v>
      </c>
      <c r="I411" s="38" t="e">
        <f>YEAR(Libro_Diario[[#This Row],[Fecha]])</f>
        <v>#VALUE!</v>
      </c>
    </row>
    <row r="412" spans="3:9" x14ac:dyDescent="0.3">
      <c r="C412" s="37"/>
      <c r="D412" s="38"/>
      <c r="E412" s="38"/>
      <c r="F412" s="39"/>
      <c r="G412" s="40"/>
      <c r="H412" s="38" t="e">
        <f>MONTH(Libro_Diario[[#This Row],[Fecha]])</f>
        <v>#VALUE!</v>
      </c>
      <c r="I412" s="38" t="e">
        <f>YEAR(Libro_Diario[[#This Row],[Fecha]])</f>
        <v>#VALUE!</v>
      </c>
    </row>
    <row r="413" spans="3:9" x14ac:dyDescent="0.3">
      <c r="C413" s="37"/>
      <c r="D413" s="38"/>
      <c r="E413" s="38"/>
      <c r="F413" s="39"/>
      <c r="G413" s="40"/>
      <c r="H413" s="38" t="e">
        <f>MONTH(Libro_Diario[[#This Row],[Fecha]])</f>
        <v>#VALUE!</v>
      </c>
      <c r="I413" s="38" t="e">
        <f>YEAR(Libro_Diario[[#This Row],[Fecha]])</f>
        <v>#VALUE!</v>
      </c>
    </row>
    <row r="414" spans="3:9" x14ac:dyDescent="0.3">
      <c r="C414" s="37"/>
      <c r="D414" s="38"/>
      <c r="E414" s="38"/>
      <c r="F414" s="39"/>
      <c r="G414" s="40"/>
      <c r="H414" s="38" t="e">
        <f>MONTH(Libro_Diario[[#This Row],[Fecha]])</f>
        <v>#VALUE!</v>
      </c>
      <c r="I414" s="38" t="e">
        <f>YEAR(Libro_Diario[[#This Row],[Fecha]])</f>
        <v>#VALUE!</v>
      </c>
    </row>
    <row r="415" spans="3:9" x14ac:dyDescent="0.3">
      <c r="C415" s="37"/>
      <c r="D415" s="38"/>
      <c r="E415" s="38"/>
      <c r="F415" s="39"/>
      <c r="G415" s="40"/>
      <c r="H415" s="38" t="e">
        <f>MONTH(Libro_Diario[[#This Row],[Fecha]])</f>
        <v>#VALUE!</v>
      </c>
      <c r="I415" s="38" t="e">
        <f>YEAR(Libro_Diario[[#This Row],[Fecha]])</f>
        <v>#VALUE!</v>
      </c>
    </row>
    <row r="416" spans="3:9" x14ac:dyDescent="0.3">
      <c r="C416" s="37"/>
      <c r="D416" s="38"/>
      <c r="E416" s="38"/>
      <c r="F416" s="39"/>
      <c r="G416" s="40"/>
      <c r="H416" s="38" t="e">
        <f>MONTH(Libro_Diario[[#This Row],[Fecha]])</f>
        <v>#VALUE!</v>
      </c>
      <c r="I416" s="38" t="e">
        <f>YEAR(Libro_Diario[[#This Row],[Fecha]])</f>
        <v>#VALUE!</v>
      </c>
    </row>
    <row r="417" spans="3:9" x14ac:dyDescent="0.3">
      <c r="C417" s="37"/>
      <c r="D417" s="38"/>
      <c r="E417" s="38"/>
      <c r="F417" s="39"/>
      <c r="G417" s="40"/>
      <c r="H417" s="38" t="e">
        <f>MONTH(Libro_Diario[[#This Row],[Fecha]])</f>
        <v>#VALUE!</v>
      </c>
      <c r="I417" s="38" t="e">
        <f>YEAR(Libro_Diario[[#This Row],[Fecha]])</f>
        <v>#VALUE!</v>
      </c>
    </row>
    <row r="418" spans="3:9" x14ac:dyDescent="0.3">
      <c r="C418" s="37"/>
      <c r="D418" s="38"/>
      <c r="E418" s="38"/>
      <c r="F418" s="39"/>
      <c r="G418" s="40"/>
      <c r="H418" s="38" t="e">
        <f>MONTH(Libro_Diario[[#This Row],[Fecha]])</f>
        <v>#VALUE!</v>
      </c>
      <c r="I418" s="38" t="e">
        <f>YEAR(Libro_Diario[[#This Row],[Fecha]])</f>
        <v>#VALUE!</v>
      </c>
    </row>
    <row r="419" spans="3:9" x14ac:dyDescent="0.3">
      <c r="C419" s="37"/>
      <c r="D419" s="38"/>
      <c r="E419" s="38"/>
      <c r="F419" s="39"/>
      <c r="G419" s="40"/>
      <c r="H419" s="38" t="e">
        <f>MONTH(Libro_Diario[[#This Row],[Fecha]])</f>
        <v>#VALUE!</v>
      </c>
      <c r="I419" s="38" t="e">
        <f>YEAR(Libro_Diario[[#This Row],[Fecha]])</f>
        <v>#VALUE!</v>
      </c>
    </row>
    <row r="420" spans="3:9" x14ac:dyDescent="0.3">
      <c r="C420" s="37"/>
      <c r="D420" s="38"/>
      <c r="E420" s="38"/>
      <c r="F420" s="39"/>
      <c r="G420" s="40"/>
      <c r="H420" s="38" t="e">
        <f>MONTH(Libro_Diario[[#This Row],[Fecha]])</f>
        <v>#VALUE!</v>
      </c>
      <c r="I420" s="38" t="e">
        <f>YEAR(Libro_Diario[[#This Row],[Fecha]])</f>
        <v>#VALUE!</v>
      </c>
    </row>
    <row r="421" spans="3:9" x14ac:dyDescent="0.3">
      <c r="C421" s="37"/>
      <c r="D421" s="38"/>
      <c r="E421" s="38"/>
      <c r="F421" s="39"/>
      <c r="G421" s="40"/>
      <c r="H421" s="38" t="e">
        <f>MONTH(Libro_Diario[[#This Row],[Fecha]])</f>
        <v>#VALUE!</v>
      </c>
      <c r="I421" s="38" t="e">
        <f>YEAR(Libro_Diario[[#This Row],[Fecha]])</f>
        <v>#VALUE!</v>
      </c>
    </row>
    <row r="422" spans="3:9" x14ac:dyDescent="0.3">
      <c r="C422" s="37"/>
      <c r="D422" s="38"/>
      <c r="E422" s="38"/>
      <c r="F422" s="39"/>
      <c r="G422" s="40"/>
      <c r="H422" s="38" t="e">
        <f>MONTH(Libro_Diario[[#This Row],[Fecha]])</f>
        <v>#VALUE!</v>
      </c>
      <c r="I422" s="38" t="e">
        <f>YEAR(Libro_Diario[[#This Row],[Fecha]])</f>
        <v>#VALUE!</v>
      </c>
    </row>
    <row r="423" spans="3:9" x14ac:dyDescent="0.3">
      <c r="C423" s="37"/>
      <c r="D423" s="38"/>
      <c r="E423" s="38"/>
      <c r="F423" s="39"/>
      <c r="G423" s="40"/>
      <c r="H423" s="38" t="e">
        <f>MONTH(Libro_Diario[[#This Row],[Fecha]])</f>
        <v>#VALUE!</v>
      </c>
      <c r="I423" s="38" t="e">
        <f>YEAR(Libro_Diario[[#This Row],[Fecha]])</f>
        <v>#VALUE!</v>
      </c>
    </row>
    <row r="424" spans="3:9" x14ac:dyDescent="0.3">
      <c r="C424" s="37"/>
      <c r="D424" s="38"/>
      <c r="E424" s="38"/>
      <c r="F424" s="39"/>
      <c r="G424" s="40"/>
      <c r="H424" s="38" t="e">
        <f>MONTH(Libro_Diario[[#This Row],[Fecha]])</f>
        <v>#VALUE!</v>
      </c>
      <c r="I424" s="38" t="e">
        <f>YEAR(Libro_Diario[[#This Row],[Fecha]])</f>
        <v>#VALUE!</v>
      </c>
    </row>
    <row r="425" spans="3:9" x14ac:dyDescent="0.3">
      <c r="C425" s="37"/>
      <c r="D425" s="38"/>
      <c r="E425" s="38"/>
      <c r="F425" s="39"/>
      <c r="G425" s="40"/>
      <c r="H425" s="38" t="e">
        <f>MONTH(Libro_Diario[[#This Row],[Fecha]])</f>
        <v>#VALUE!</v>
      </c>
      <c r="I425" s="38" t="e">
        <f>YEAR(Libro_Diario[[#This Row],[Fecha]])</f>
        <v>#VALUE!</v>
      </c>
    </row>
    <row r="426" spans="3:9" x14ac:dyDescent="0.3">
      <c r="C426" s="37"/>
      <c r="D426" s="38"/>
      <c r="E426" s="38"/>
      <c r="F426" s="39"/>
      <c r="G426" s="40"/>
      <c r="H426" s="38" t="e">
        <f>MONTH(Libro_Diario[[#This Row],[Fecha]])</f>
        <v>#VALUE!</v>
      </c>
      <c r="I426" s="38" t="e">
        <f>YEAR(Libro_Diario[[#This Row],[Fecha]])</f>
        <v>#VALUE!</v>
      </c>
    </row>
    <row r="427" spans="3:9" x14ac:dyDescent="0.3">
      <c r="C427" s="37"/>
      <c r="D427" s="38"/>
      <c r="E427" s="38"/>
      <c r="F427" s="39"/>
      <c r="G427" s="40"/>
      <c r="H427" s="38" t="e">
        <f>MONTH(Libro_Diario[[#This Row],[Fecha]])</f>
        <v>#VALUE!</v>
      </c>
      <c r="I427" s="38" t="e">
        <f>YEAR(Libro_Diario[[#This Row],[Fecha]])</f>
        <v>#VALUE!</v>
      </c>
    </row>
    <row r="428" spans="3:9" x14ac:dyDescent="0.3">
      <c r="C428" s="37"/>
      <c r="D428" s="38"/>
      <c r="E428" s="38"/>
      <c r="F428" s="39"/>
      <c r="G428" s="40"/>
      <c r="H428" s="38" t="e">
        <f>MONTH(Libro_Diario[[#This Row],[Fecha]])</f>
        <v>#VALUE!</v>
      </c>
      <c r="I428" s="38" t="e">
        <f>YEAR(Libro_Diario[[#This Row],[Fecha]])</f>
        <v>#VALUE!</v>
      </c>
    </row>
    <row r="429" spans="3:9" x14ac:dyDescent="0.3">
      <c r="C429" s="37"/>
      <c r="D429" s="38"/>
      <c r="E429" s="38"/>
      <c r="F429" s="39"/>
      <c r="G429" s="40"/>
      <c r="H429" s="38" t="e">
        <f>MONTH(Libro_Diario[[#This Row],[Fecha]])</f>
        <v>#VALUE!</v>
      </c>
      <c r="I429" s="38" t="e">
        <f>YEAR(Libro_Diario[[#This Row],[Fecha]])</f>
        <v>#VALUE!</v>
      </c>
    </row>
    <row r="430" spans="3:9" x14ac:dyDescent="0.3">
      <c r="C430" s="37"/>
      <c r="D430" s="38"/>
      <c r="E430" s="38"/>
      <c r="F430" s="39"/>
      <c r="G430" s="40"/>
      <c r="H430" s="38" t="e">
        <f>MONTH(Libro_Diario[[#This Row],[Fecha]])</f>
        <v>#VALUE!</v>
      </c>
      <c r="I430" s="38" t="e">
        <f>YEAR(Libro_Diario[[#This Row],[Fecha]])</f>
        <v>#VALUE!</v>
      </c>
    </row>
    <row r="431" spans="3:9" x14ac:dyDescent="0.3">
      <c r="C431" s="37"/>
      <c r="D431" s="38"/>
      <c r="E431" s="38"/>
      <c r="F431" s="39"/>
      <c r="G431" s="40"/>
      <c r="H431" s="38" t="e">
        <f>MONTH(Libro_Diario[[#This Row],[Fecha]])</f>
        <v>#VALUE!</v>
      </c>
      <c r="I431" s="38" t="e">
        <f>YEAR(Libro_Diario[[#This Row],[Fecha]])</f>
        <v>#VALUE!</v>
      </c>
    </row>
    <row r="432" spans="3:9" x14ac:dyDescent="0.3">
      <c r="C432" s="37"/>
      <c r="D432" s="38"/>
      <c r="E432" s="38"/>
      <c r="F432" s="39"/>
      <c r="G432" s="40"/>
      <c r="H432" s="38" t="e">
        <f>MONTH(Libro_Diario[[#This Row],[Fecha]])</f>
        <v>#VALUE!</v>
      </c>
      <c r="I432" s="38" t="e">
        <f>YEAR(Libro_Diario[[#This Row],[Fecha]])</f>
        <v>#VALUE!</v>
      </c>
    </row>
    <row r="433" spans="3:9" x14ac:dyDescent="0.3">
      <c r="C433" s="37"/>
      <c r="D433" s="38"/>
      <c r="E433" s="38"/>
      <c r="F433" s="39"/>
      <c r="G433" s="40"/>
      <c r="H433" s="38" t="e">
        <f>MONTH(Libro_Diario[[#This Row],[Fecha]])</f>
        <v>#VALUE!</v>
      </c>
      <c r="I433" s="38" t="e">
        <f>YEAR(Libro_Diario[[#This Row],[Fecha]])</f>
        <v>#VALUE!</v>
      </c>
    </row>
    <row r="434" spans="3:9" x14ac:dyDescent="0.3">
      <c r="C434" s="37"/>
      <c r="D434" s="38"/>
      <c r="E434" s="38"/>
      <c r="F434" s="39"/>
      <c r="G434" s="40"/>
      <c r="H434" s="38" t="e">
        <f>MONTH(Libro_Diario[[#This Row],[Fecha]])</f>
        <v>#VALUE!</v>
      </c>
      <c r="I434" s="38" t="e">
        <f>YEAR(Libro_Diario[[#This Row],[Fecha]])</f>
        <v>#VALUE!</v>
      </c>
    </row>
    <row r="435" spans="3:9" x14ac:dyDescent="0.3">
      <c r="C435" s="37"/>
      <c r="D435" s="38"/>
      <c r="E435" s="38"/>
      <c r="F435" s="39"/>
      <c r="G435" s="40"/>
      <c r="H435" s="38" t="e">
        <f>MONTH(Libro_Diario[[#This Row],[Fecha]])</f>
        <v>#VALUE!</v>
      </c>
      <c r="I435" s="38" t="e">
        <f>YEAR(Libro_Diario[[#This Row],[Fecha]])</f>
        <v>#VALUE!</v>
      </c>
    </row>
    <row r="436" spans="3:9" x14ac:dyDescent="0.3">
      <c r="C436" s="37"/>
      <c r="D436" s="38"/>
      <c r="E436" s="38"/>
      <c r="F436" s="39"/>
      <c r="G436" s="40"/>
      <c r="H436" s="38" t="e">
        <f>MONTH(Libro_Diario[[#This Row],[Fecha]])</f>
        <v>#VALUE!</v>
      </c>
      <c r="I436" s="38" t="e">
        <f>YEAR(Libro_Diario[[#This Row],[Fecha]])</f>
        <v>#VALUE!</v>
      </c>
    </row>
    <row r="437" spans="3:9" x14ac:dyDescent="0.3">
      <c r="C437" s="37"/>
      <c r="D437" s="38"/>
      <c r="E437" s="38"/>
      <c r="F437" s="39"/>
      <c r="G437" s="40"/>
      <c r="H437" s="38" t="e">
        <f>MONTH(Libro_Diario[[#This Row],[Fecha]])</f>
        <v>#VALUE!</v>
      </c>
      <c r="I437" s="38" t="e">
        <f>YEAR(Libro_Diario[[#This Row],[Fecha]])</f>
        <v>#VALUE!</v>
      </c>
    </row>
    <row r="438" spans="3:9" x14ac:dyDescent="0.3">
      <c r="C438" s="37"/>
      <c r="D438" s="38"/>
      <c r="E438" s="38"/>
      <c r="F438" s="39"/>
      <c r="G438" s="40"/>
      <c r="H438" s="38" t="e">
        <f>MONTH(Libro_Diario[[#This Row],[Fecha]])</f>
        <v>#VALUE!</v>
      </c>
      <c r="I438" s="38" t="e">
        <f>YEAR(Libro_Diario[[#This Row],[Fecha]])</f>
        <v>#VALUE!</v>
      </c>
    </row>
    <row r="439" spans="3:9" x14ac:dyDescent="0.3">
      <c r="C439" s="37"/>
      <c r="D439" s="38"/>
      <c r="E439" s="38"/>
      <c r="F439" s="39"/>
      <c r="G439" s="40"/>
      <c r="H439" s="38" t="e">
        <f>MONTH(Libro_Diario[[#This Row],[Fecha]])</f>
        <v>#VALUE!</v>
      </c>
      <c r="I439" s="38" t="e">
        <f>YEAR(Libro_Diario[[#This Row],[Fecha]])</f>
        <v>#VALUE!</v>
      </c>
    </row>
    <row r="440" spans="3:9" x14ac:dyDescent="0.3">
      <c r="C440" s="37"/>
      <c r="D440" s="38"/>
      <c r="E440" s="38"/>
      <c r="F440" s="39"/>
      <c r="G440" s="40"/>
      <c r="H440" s="38" t="e">
        <f>MONTH(Libro_Diario[[#This Row],[Fecha]])</f>
        <v>#VALUE!</v>
      </c>
      <c r="I440" s="38" t="e">
        <f>YEAR(Libro_Diario[[#This Row],[Fecha]])</f>
        <v>#VALUE!</v>
      </c>
    </row>
    <row r="441" spans="3:9" x14ac:dyDescent="0.3">
      <c r="C441" s="37"/>
      <c r="D441" s="38"/>
      <c r="E441" s="38"/>
      <c r="F441" s="39"/>
      <c r="G441" s="40"/>
      <c r="H441" s="38" t="e">
        <f>MONTH(Libro_Diario[[#This Row],[Fecha]])</f>
        <v>#VALUE!</v>
      </c>
      <c r="I441" s="38" t="e">
        <f>YEAR(Libro_Diario[[#This Row],[Fecha]])</f>
        <v>#VALUE!</v>
      </c>
    </row>
    <row r="442" spans="3:9" x14ac:dyDescent="0.3">
      <c r="C442" s="37"/>
      <c r="D442" s="38"/>
      <c r="E442" s="38"/>
      <c r="F442" s="39"/>
      <c r="G442" s="40"/>
      <c r="H442" s="38" t="e">
        <f>MONTH(Libro_Diario[[#This Row],[Fecha]])</f>
        <v>#VALUE!</v>
      </c>
      <c r="I442" s="38" t="e">
        <f>YEAR(Libro_Diario[[#This Row],[Fecha]])</f>
        <v>#VALUE!</v>
      </c>
    </row>
    <row r="443" spans="3:9" x14ac:dyDescent="0.3">
      <c r="C443" s="37"/>
      <c r="D443" s="38"/>
      <c r="E443" s="38"/>
      <c r="F443" s="39"/>
      <c r="G443" s="40"/>
      <c r="H443" s="38" t="e">
        <f>MONTH(Libro_Diario[[#This Row],[Fecha]])</f>
        <v>#VALUE!</v>
      </c>
      <c r="I443" s="38" t="e">
        <f>YEAR(Libro_Diario[[#This Row],[Fecha]])</f>
        <v>#VALUE!</v>
      </c>
    </row>
    <row r="444" spans="3:9" x14ac:dyDescent="0.3">
      <c r="C444" s="37"/>
      <c r="D444" s="38"/>
      <c r="E444" s="38"/>
      <c r="F444" s="39"/>
      <c r="G444" s="40"/>
      <c r="H444" s="38" t="e">
        <f>MONTH(Libro_Diario[[#This Row],[Fecha]])</f>
        <v>#VALUE!</v>
      </c>
      <c r="I444" s="38" t="e">
        <f>YEAR(Libro_Diario[[#This Row],[Fecha]])</f>
        <v>#VALUE!</v>
      </c>
    </row>
    <row r="445" spans="3:9" x14ac:dyDescent="0.3">
      <c r="C445" s="37"/>
      <c r="D445" s="38"/>
      <c r="E445" s="38"/>
      <c r="F445" s="39"/>
      <c r="G445" s="40"/>
      <c r="H445" s="38" t="e">
        <f>MONTH(Libro_Diario[[#This Row],[Fecha]])</f>
        <v>#VALUE!</v>
      </c>
      <c r="I445" s="38" t="e">
        <f>YEAR(Libro_Diario[[#This Row],[Fecha]])</f>
        <v>#VALUE!</v>
      </c>
    </row>
    <row r="446" spans="3:9" x14ac:dyDescent="0.3">
      <c r="C446" s="37"/>
      <c r="D446" s="38"/>
      <c r="E446" s="38"/>
      <c r="F446" s="39"/>
      <c r="G446" s="40"/>
      <c r="H446" s="38" t="e">
        <f>MONTH(Libro_Diario[[#This Row],[Fecha]])</f>
        <v>#VALUE!</v>
      </c>
      <c r="I446" s="38" t="e">
        <f>YEAR(Libro_Diario[[#This Row],[Fecha]])</f>
        <v>#VALUE!</v>
      </c>
    </row>
    <row r="447" spans="3:9" x14ac:dyDescent="0.3">
      <c r="C447" s="37"/>
      <c r="D447" s="38"/>
      <c r="E447" s="38"/>
      <c r="F447" s="39"/>
      <c r="G447" s="40"/>
      <c r="H447" s="38" t="e">
        <f>MONTH(Libro_Diario[[#This Row],[Fecha]])</f>
        <v>#VALUE!</v>
      </c>
      <c r="I447" s="38" t="e">
        <f>YEAR(Libro_Diario[[#This Row],[Fecha]])</f>
        <v>#VALUE!</v>
      </c>
    </row>
    <row r="448" spans="3:9" x14ac:dyDescent="0.3">
      <c r="C448" s="37"/>
      <c r="D448" s="38"/>
      <c r="E448" s="38"/>
      <c r="F448" s="39"/>
      <c r="G448" s="40"/>
      <c r="H448" s="38" t="e">
        <f>MONTH(Libro_Diario[[#This Row],[Fecha]])</f>
        <v>#VALUE!</v>
      </c>
      <c r="I448" s="38" t="e">
        <f>YEAR(Libro_Diario[[#This Row],[Fecha]])</f>
        <v>#VALUE!</v>
      </c>
    </row>
    <row r="449" spans="3:9" x14ac:dyDescent="0.3">
      <c r="C449" s="37"/>
      <c r="D449" s="38"/>
      <c r="E449" s="38"/>
      <c r="F449" s="39"/>
      <c r="G449" s="40"/>
      <c r="H449" s="38" t="e">
        <f>MONTH(Libro_Diario[[#This Row],[Fecha]])</f>
        <v>#VALUE!</v>
      </c>
      <c r="I449" s="38" t="e">
        <f>YEAR(Libro_Diario[[#This Row],[Fecha]])</f>
        <v>#VALUE!</v>
      </c>
    </row>
    <row r="450" spans="3:9" x14ac:dyDescent="0.3">
      <c r="C450" s="37"/>
      <c r="D450" s="38"/>
      <c r="E450" s="38"/>
      <c r="F450" s="39"/>
      <c r="G450" s="40"/>
      <c r="H450" s="38" t="e">
        <f>MONTH(Libro_Diario[[#This Row],[Fecha]])</f>
        <v>#VALUE!</v>
      </c>
      <c r="I450" s="38" t="e">
        <f>YEAR(Libro_Diario[[#This Row],[Fecha]])</f>
        <v>#VALUE!</v>
      </c>
    </row>
    <row r="451" spans="3:9" x14ac:dyDescent="0.3">
      <c r="C451" s="37"/>
      <c r="D451" s="38"/>
      <c r="E451" s="38"/>
      <c r="F451" s="39"/>
      <c r="G451" s="40"/>
      <c r="H451" s="38" t="e">
        <f>MONTH(Libro_Diario[[#This Row],[Fecha]])</f>
        <v>#VALUE!</v>
      </c>
      <c r="I451" s="38" t="e">
        <f>YEAR(Libro_Diario[[#This Row],[Fecha]])</f>
        <v>#VALUE!</v>
      </c>
    </row>
    <row r="452" spans="3:9" x14ac:dyDescent="0.3">
      <c r="C452" s="37"/>
      <c r="D452" s="38"/>
      <c r="E452" s="38"/>
      <c r="F452" s="39"/>
      <c r="G452" s="40"/>
      <c r="H452" s="38" t="e">
        <f>MONTH(Libro_Diario[[#This Row],[Fecha]])</f>
        <v>#VALUE!</v>
      </c>
      <c r="I452" s="38" t="e">
        <f>YEAR(Libro_Diario[[#This Row],[Fecha]])</f>
        <v>#VALUE!</v>
      </c>
    </row>
    <row r="453" spans="3:9" x14ac:dyDescent="0.3">
      <c r="C453" s="37"/>
      <c r="D453" s="38"/>
      <c r="E453" s="38"/>
      <c r="F453" s="39"/>
      <c r="G453" s="40"/>
      <c r="H453" s="38" t="e">
        <f>MONTH(Libro_Diario[[#This Row],[Fecha]])</f>
        <v>#VALUE!</v>
      </c>
      <c r="I453" s="38" t="e">
        <f>YEAR(Libro_Diario[[#This Row],[Fecha]])</f>
        <v>#VALUE!</v>
      </c>
    </row>
    <row r="454" spans="3:9" x14ac:dyDescent="0.3">
      <c r="C454" s="37"/>
      <c r="D454" s="38"/>
      <c r="E454" s="38"/>
      <c r="F454" s="39"/>
      <c r="G454" s="40"/>
      <c r="H454" s="38" t="e">
        <f>MONTH(Libro_Diario[[#This Row],[Fecha]])</f>
        <v>#VALUE!</v>
      </c>
      <c r="I454" s="38" t="e">
        <f>YEAR(Libro_Diario[[#This Row],[Fecha]])</f>
        <v>#VALUE!</v>
      </c>
    </row>
    <row r="455" spans="3:9" x14ac:dyDescent="0.3">
      <c r="C455" s="37"/>
      <c r="D455" s="38"/>
      <c r="E455" s="38"/>
      <c r="F455" s="39"/>
      <c r="G455" s="40"/>
      <c r="H455" s="38" t="e">
        <f>MONTH(Libro_Diario[[#This Row],[Fecha]])</f>
        <v>#VALUE!</v>
      </c>
      <c r="I455" s="38" t="e">
        <f>YEAR(Libro_Diario[[#This Row],[Fecha]])</f>
        <v>#VALUE!</v>
      </c>
    </row>
    <row r="456" spans="3:9" x14ac:dyDescent="0.3">
      <c r="C456" s="37"/>
      <c r="D456" s="38"/>
      <c r="E456" s="38"/>
      <c r="F456" s="39"/>
      <c r="G456" s="40"/>
      <c r="H456" s="38" t="e">
        <f>MONTH(Libro_Diario[[#This Row],[Fecha]])</f>
        <v>#VALUE!</v>
      </c>
      <c r="I456" s="38" t="e">
        <f>YEAR(Libro_Diario[[#This Row],[Fecha]])</f>
        <v>#VALUE!</v>
      </c>
    </row>
    <row r="457" spans="3:9" x14ac:dyDescent="0.3">
      <c r="C457" s="37"/>
      <c r="D457" s="38"/>
      <c r="E457" s="38"/>
      <c r="F457" s="39"/>
      <c r="G457" s="40"/>
      <c r="H457" s="38" t="e">
        <f>MONTH(Libro_Diario[[#This Row],[Fecha]])</f>
        <v>#VALUE!</v>
      </c>
      <c r="I457" s="38" t="e">
        <f>YEAR(Libro_Diario[[#This Row],[Fecha]])</f>
        <v>#VALUE!</v>
      </c>
    </row>
    <row r="458" spans="3:9" x14ac:dyDescent="0.3">
      <c r="C458" s="37"/>
      <c r="D458" s="38"/>
      <c r="E458" s="38"/>
      <c r="F458" s="39"/>
      <c r="G458" s="40"/>
      <c r="H458" s="38" t="e">
        <f>MONTH(Libro_Diario[[#This Row],[Fecha]])</f>
        <v>#VALUE!</v>
      </c>
      <c r="I458" s="38" t="e">
        <f>YEAR(Libro_Diario[[#This Row],[Fecha]])</f>
        <v>#VALUE!</v>
      </c>
    </row>
    <row r="459" spans="3:9" x14ac:dyDescent="0.3">
      <c r="C459" s="37"/>
      <c r="D459" s="38"/>
      <c r="E459" s="38"/>
      <c r="F459" s="39"/>
      <c r="G459" s="40"/>
      <c r="H459" s="38" t="e">
        <f>MONTH(Libro_Diario[[#This Row],[Fecha]])</f>
        <v>#VALUE!</v>
      </c>
      <c r="I459" s="38" t="e">
        <f>YEAR(Libro_Diario[[#This Row],[Fecha]])</f>
        <v>#VALUE!</v>
      </c>
    </row>
    <row r="460" spans="3:9" x14ac:dyDescent="0.3">
      <c r="C460" s="37"/>
      <c r="D460" s="38"/>
      <c r="E460" s="38"/>
      <c r="F460" s="39"/>
      <c r="G460" s="40"/>
      <c r="H460" s="38" t="e">
        <f>MONTH(Libro_Diario[[#This Row],[Fecha]])</f>
        <v>#VALUE!</v>
      </c>
      <c r="I460" s="38" t="e">
        <f>YEAR(Libro_Diario[[#This Row],[Fecha]])</f>
        <v>#VALUE!</v>
      </c>
    </row>
    <row r="461" spans="3:9" x14ac:dyDescent="0.3">
      <c r="C461" s="37"/>
      <c r="D461" s="38"/>
      <c r="E461" s="38"/>
      <c r="F461" s="39"/>
      <c r="G461" s="40"/>
      <c r="H461" s="38" t="e">
        <f>MONTH(Libro_Diario[[#This Row],[Fecha]])</f>
        <v>#VALUE!</v>
      </c>
      <c r="I461" s="38" t="e">
        <f>YEAR(Libro_Diario[[#This Row],[Fecha]])</f>
        <v>#VALUE!</v>
      </c>
    </row>
    <row r="462" spans="3:9" x14ac:dyDescent="0.3">
      <c r="C462" s="37"/>
      <c r="D462" s="38"/>
      <c r="E462" s="38"/>
      <c r="F462" s="39"/>
      <c r="G462" s="40"/>
      <c r="H462" s="38" t="e">
        <f>MONTH(Libro_Diario[[#This Row],[Fecha]])</f>
        <v>#VALUE!</v>
      </c>
      <c r="I462" s="38" t="e">
        <f>YEAR(Libro_Diario[[#This Row],[Fecha]])</f>
        <v>#VALUE!</v>
      </c>
    </row>
    <row r="463" spans="3:9" x14ac:dyDescent="0.3">
      <c r="C463" s="37"/>
      <c r="D463" s="38"/>
      <c r="E463" s="38"/>
      <c r="F463" s="39"/>
      <c r="G463" s="40"/>
      <c r="H463" s="38" t="e">
        <f>MONTH(Libro_Diario[[#This Row],[Fecha]])</f>
        <v>#VALUE!</v>
      </c>
      <c r="I463" s="38" t="e">
        <f>YEAR(Libro_Diario[[#This Row],[Fecha]])</f>
        <v>#VALUE!</v>
      </c>
    </row>
    <row r="464" spans="3:9" x14ac:dyDescent="0.3">
      <c r="C464" s="37"/>
      <c r="D464" s="38"/>
      <c r="E464" s="38"/>
      <c r="F464" s="39"/>
      <c r="G464" s="40"/>
      <c r="H464" s="38" t="e">
        <f>MONTH(Libro_Diario[[#This Row],[Fecha]])</f>
        <v>#VALUE!</v>
      </c>
      <c r="I464" s="38" t="e">
        <f>YEAR(Libro_Diario[[#This Row],[Fecha]])</f>
        <v>#VALUE!</v>
      </c>
    </row>
    <row r="465" spans="3:9" x14ac:dyDescent="0.3">
      <c r="C465" s="37"/>
      <c r="D465" s="38"/>
      <c r="E465" s="38"/>
      <c r="F465" s="39"/>
      <c r="G465" s="40"/>
      <c r="H465" s="38" t="e">
        <f>MONTH(Libro_Diario[[#This Row],[Fecha]])</f>
        <v>#VALUE!</v>
      </c>
      <c r="I465" s="38" t="e">
        <f>YEAR(Libro_Diario[[#This Row],[Fecha]])</f>
        <v>#VALUE!</v>
      </c>
    </row>
    <row r="466" spans="3:9" x14ac:dyDescent="0.3">
      <c r="C466" s="37"/>
      <c r="D466" s="38"/>
      <c r="E466" s="38"/>
      <c r="F466" s="39"/>
      <c r="G466" s="40"/>
      <c r="H466" s="38" t="e">
        <f>MONTH(Libro_Diario[[#This Row],[Fecha]])</f>
        <v>#VALUE!</v>
      </c>
      <c r="I466" s="38" t="e">
        <f>YEAR(Libro_Diario[[#This Row],[Fecha]])</f>
        <v>#VALUE!</v>
      </c>
    </row>
    <row r="467" spans="3:9" x14ac:dyDescent="0.3">
      <c r="C467" s="37"/>
      <c r="D467" s="38"/>
      <c r="E467" s="38"/>
      <c r="F467" s="39"/>
      <c r="G467" s="40"/>
      <c r="H467" s="38" t="e">
        <f>MONTH(Libro_Diario[[#This Row],[Fecha]])</f>
        <v>#VALUE!</v>
      </c>
      <c r="I467" s="38" t="e">
        <f>YEAR(Libro_Diario[[#This Row],[Fecha]])</f>
        <v>#VALUE!</v>
      </c>
    </row>
    <row r="468" spans="3:9" x14ac:dyDescent="0.3">
      <c r="C468" s="37"/>
      <c r="D468" s="38"/>
      <c r="E468" s="38"/>
      <c r="F468" s="39"/>
      <c r="G468" s="40"/>
      <c r="H468" s="38" t="e">
        <f>MONTH(Libro_Diario[[#This Row],[Fecha]])</f>
        <v>#VALUE!</v>
      </c>
      <c r="I468" s="38" t="e">
        <f>YEAR(Libro_Diario[[#This Row],[Fecha]])</f>
        <v>#VALUE!</v>
      </c>
    </row>
    <row r="469" spans="3:9" x14ac:dyDescent="0.3">
      <c r="C469" s="37"/>
      <c r="D469" s="38"/>
      <c r="E469" s="38"/>
      <c r="F469" s="39"/>
      <c r="G469" s="40"/>
      <c r="H469" s="38" t="e">
        <f>MONTH(Libro_Diario[[#This Row],[Fecha]])</f>
        <v>#VALUE!</v>
      </c>
      <c r="I469" s="38" t="e">
        <f>YEAR(Libro_Diario[[#This Row],[Fecha]])</f>
        <v>#VALUE!</v>
      </c>
    </row>
    <row r="470" spans="3:9" x14ac:dyDescent="0.3">
      <c r="C470" s="37"/>
      <c r="D470" s="38"/>
      <c r="E470" s="38"/>
      <c r="F470" s="39"/>
      <c r="G470" s="40"/>
      <c r="H470" s="38" t="e">
        <f>MONTH(Libro_Diario[[#This Row],[Fecha]])</f>
        <v>#VALUE!</v>
      </c>
      <c r="I470" s="38" t="e">
        <f>YEAR(Libro_Diario[[#This Row],[Fecha]])</f>
        <v>#VALUE!</v>
      </c>
    </row>
    <row r="471" spans="3:9" x14ac:dyDescent="0.3">
      <c r="C471" s="37"/>
      <c r="D471" s="38"/>
      <c r="E471" s="38"/>
      <c r="F471" s="39"/>
      <c r="G471" s="40"/>
      <c r="H471" s="38" t="e">
        <f>MONTH(Libro_Diario[[#This Row],[Fecha]])</f>
        <v>#VALUE!</v>
      </c>
      <c r="I471" s="38" t="e">
        <f>YEAR(Libro_Diario[[#This Row],[Fecha]])</f>
        <v>#VALUE!</v>
      </c>
    </row>
    <row r="472" spans="3:9" x14ac:dyDescent="0.3">
      <c r="C472" s="37"/>
      <c r="D472" s="38"/>
      <c r="E472" s="38"/>
      <c r="F472" s="39"/>
      <c r="G472" s="40"/>
      <c r="H472" s="38" t="e">
        <f>MONTH(Libro_Diario[[#This Row],[Fecha]])</f>
        <v>#VALUE!</v>
      </c>
      <c r="I472" s="38" t="e">
        <f>YEAR(Libro_Diario[[#This Row],[Fecha]])</f>
        <v>#VALUE!</v>
      </c>
    </row>
    <row r="473" spans="3:9" x14ac:dyDescent="0.3">
      <c r="C473" s="37"/>
      <c r="D473" s="38"/>
      <c r="E473" s="38"/>
      <c r="F473" s="39"/>
      <c r="G473" s="40"/>
      <c r="H473" s="38" t="e">
        <f>MONTH(Libro_Diario[[#This Row],[Fecha]])</f>
        <v>#VALUE!</v>
      </c>
      <c r="I473" s="38" t="e">
        <f>YEAR(Libro_Diario[[#This Row],[Fecha]])</f>
        <v>#VALUE!</v>
      </c>
    </row>
    <row r="474" spans="3:9" x14ac:dyDescent="0.3">
      <c r="C474" s="37"/>
      <c r="D474" s="38"/>
      <c r="E474" s="38"/>
      <c r="F474" s="39"/>
      <c r="G474" s="40"/>
      <c r="H474" s="38" t="e">
        <f>MONTH(Libro_Diario[[#This Row],[Fecha]])</f>
        <v>#VALUE!</v>
      </c>
      <c r="I474" s="38" t="e">
        <f>YEAR(Libro_Diario[[#This Row],[Fecha]])</f>
        <v>#VALUE!</v>
      </c>
    </row>
    <row r="475" spans="3:9" x14ac:dyDescent="0.3">
      <c r="C475" s="37"/>
      <c r="D475" s="38"/>
      <c r="E475" s="38"/>
      <c r="F475" s="39"/>
      <c r="G475" s="40"/>
      <c r="H475" s="38" t="e">
        <f>MONTH(Libro_Diario[[#This Row],[Fecha]])</f>
        <v>#VALUE!</v>
      </c>
      <c r="I475" s="38" t="e">
        <f>YEAR(Libro_Diario[[#This Row],[Fecha]])</f>
        <v>#VALUE!</v>
      </c>
    </row>
    <row r="476" spans="3:9" x14ac:dyDescent="0.3">
      <c r="C476" s="37"/>
      <c r="D476" s="38"/>
      <c r="E476" s="38"/>
      <c r="F476" s="39"/>
      <c r="G476" s="40"/>
      <c r="H476" s="38" t="e">
        <f>MONTH(Libro_Diario[[#This Row],[Fecha]])</f>
        <v>#VALUE!</v>
      </c>
      <c r="I476" s="38" t="e">
        <f>YEAR(Libro_Diario[[#This Row],[Fecha]])</f>
        <v>#VALUE!</v>
      </c>
    </row>
    <row r="477" spans="3:9" x14ac:dyDescent="0.3">
      <c r="C477" s="37"/>
      <c r="D477" s="38"/>
      <c r="E477" s="38"/>
      <c r="F477" s="39"/>
      <c r="G477" s="40"/>
      <c r="H477" s="38" t="e">
        <f>MONTH(Libro_Diario[[#This Row],[Fecha]])</f>
        <v>#VALUE!</v>
      </c>
      <c r="I477" s="38" t="e">
        <f>YEAR(Libro_Diario[[#This Row],[Fecha]])</f>
        <v>#VALUE!</v>
      </c>
    </row>
    <row r="478" spans="3:9" x14ac:dyDescent="0.3">
      <c r="C478" s="37"/>
      <c r="D478" s="38"/>
      <c r="E478" s="38"/>
      <c r="F478" s="39"/>
      <c r="G478" s="40"/>
      <c r="H478" s="38" t="e">
        <f>MONTH(Libro_Diario[[#This Row],[Fecha]])</f>
        <v>#VALUE!</v>
      </c>
      <c r="I478" s="38" t="e">
        <f>YEAR(Libro_Diario[[#This Row],[Fecha]])</f>
        <v>#VALUE!</v>
      </c>
    </row>
    <row r="479" spans="3:9" x14ac:dyDescent="0.3">
      <c r="C479" s="37"/>
      <c r="D479" s="38"/>
      <c r="E479" s="38"/>
      <c r="F479" s="39"/>
      <c r="G479" s="40"/>
      <c r="H479" s="38" t="e">
        <f>MONTH(Libro_Diario[[#This Row],[Fecha]])</f>
        <v>#VALUE!</v>
      </c>
      <c r="I479" s="38" t="e">
        <f>YEAR(Libro_Diario[[#This Row],[Fecha]])</f>
        <v>#VALUE!</v>
      </c>
    </row>
    <row r="480" spans="3:9" x14ac:dyDescent="0.3">
      <c r="C480" s="37"/>
      <c r="D480" s="38"/>
      <c r="E480" s="38"/>
      <c r="F480" s="39"/>
      <c r="G480" s="40"/>
      <c r="H480" s="38" t="e">
        <f>MONTH(Libro_Diario[[#This Row],[Fecha]])</f>
        <v>#VALUE!</v>
      </c>
      <c r="I480" s="38" t="e">
        <f>YEAR(Libro_Diario[[#This Row],[Fecha]])</f>
        <v>#VALUE!</v>
      </c>
    </row>
    <row r="481" spans="3:9" x14ac:dyDescent="0.3">
      <c r="C481" s="37"/>
      <c r="D481" s="38"/>
      <c r="E481" s="38"/>
      <c r="F481" s="39"/>
      <c r="G481" s="40"/>
      <c r="H481" s="38" t="e">
        <f>MONTH(Libro_Diario[[#This Row],[Fecha]])</f>
        <v>#VALUE!</v>
      </c>
      <c r="I481" s="38" t="e">
        <f>YEAR(Libro_Diario[[#This Row],[Fecha]])</f>
        <v>#VALUE!</v>
      </c>
    </row>
    <row r="482" spans="3:9" x14ac:dyDescent="0.3">
      <c r="C482" s="37"/>
      <c r="D482" s="38"/>
      <c r="E482" s="38"/>
      <c r="F482" s="39"/>
      <c r="G482" s="40"/>
      <c r="H482" s="38" t="e">
        <f>MONTH(Libro_Diario[[#This Row],[Fecha]])</f>
        <v>#VALUE!</v>
      </c>
      <c r="I482" s="38" t="e">
        <f>YEAR(Libro_Diario[[#This Row],[Fecha]])</f>
        <v>#VALUE!</v>
      </c>
    </row>
    <row r="483" spans="3:9" x14ac:dyDescent="0.3">
      <c r="C483" s="37"/>
      <c r="D483" s="38"/>
      <c r="E483" s="38"/>
      <c r="F483" s="39"/>
      <c r="G483" s="40"/>
      <c r="H483" s="38" t="e">
        <f>MONTH(Libro_Diario[[#This Row],[Fecha]])</f>
        <v>#VALUE!</v>
      </c>
      <c r="I483" s="38" t="e">
        <f>YEAR(Libro_Diario[[#This Row],[Fecha]])</f>
        <v>#VALUE!</v>
      </c>
    </row>
    <row r="484" spans="3:9" x14ac:dyDescent="0.3">
      <c r="C484" s="37"/>
      <c r="D484" s="38"/>
      <c r="E484" s="38"/>
      <c r="F484" s="39"/>
      <c r="G484" s="40"/>
      <c r="H484" s="38" t="e">
        <f>MONTH(Libro_Diario[[#This Row],[Fecha]])</f>
        <v>#VALUE!</v>
      </c>
      <c r="I484" s="38" t="e">
        <f>YEAR(Libro_Diario[[#This Row],[Fecha]])</f>
        <v>#VALUE!</v>
      </c>
    </row>
    <row r="485" spans="3:9" x14ac:dyDescent="0.3">
      <c r="C485" s="37"/>
      <c r="D485" s="38"/>
      <c r="E485" s="38"/>
      <c r="F485" s="39"/>
      <c r="G485" s="40"/>
      <c r="H485" s="38" t="e">
        <f>MONTH(Libro_Diario[[#This Row],[Fecha]])</f>
        <v>#VALUE!</v>
      </c>
      <c r="I485" s="38" t="e">
        <f>YEAR(Libro_Diario[[#This Row],[Fecha]])</f>
        <v>#VALUE!</v>
      </c>
    </row>
    <row r="486" spans="3:9" x14ac:dyDescent="0.3">
      <c r="C486" s="37"/>
      <c r="D486" s="38"/>
      <c r="E486" s="38"/>
      <c r="F486" s="39"/>
      <c r="G486" s="40"/>
      <c r="H486" s="38" t="e">
        <f>MONTH(Libro_Diario[[#This Row],[Fecha]])</f>
        <v>#VALUE!</v>
      </c>
      <c r="I486" s="38" t="e">
        <f>YEAR(Libro_Diario[[#This Row],[Fecha]])</f>
        <v>#VALUE!</v>
      </c>
    </row>
    <row r="487" spans="3:9" x14ac:dyDescent="0.3">
      <c r="C487" s="37"/>
      <c r="D487" s="38"/>
      <c r="E487" s="38"/>
      <c r="F487" s="39"/>
      <c r="G487" s="40"/>
      <c r="H487" s="38" t="e">
        <f>MONTH(Libro_Diario[[#This Row],[Fecha]])</f>
        <v>#VALUE!</v>
      </c>
      <c r="I487" s="38" t="e">
        <f>YEAR(Libro_Diario[[#This Row],[Fecha]])</f>
        <v>#VALUE!</v>
      </c>
    </row>
    <row r="488" spans="3:9" x14ac:dyDescent="0.3">
      <c r="C488" s="37"/>
      <c r="D488" s="38"/>
      <c r="E488" s="38"/>
      <c r="F488" s="39"/>
      <c r="G488" s="40"/>
      <c r="H488" s="38" t="e">
        <f>MONTH(Libro_Diario[[#This Row],[Fecha]])</f>
        <v>#VALUE!</v>
      </c>
      <c r="I488" s="38" t="e">
        <f>YEAR(Libro_Diario[[#This Row],[Fecha]])</f>
        <v>#VALUE!</v>
      </c>
    </row>
    <row r="489" spans="3:9" x14ac:dyDescent="0.3">
      <c r="C489" s="37"/>
      <c r="D489" s="38"/>
      <c r="E489" s="38"/>
      <c r="F489" s="39"/>
      <c r="G489" s="40"/>
      <c r="H489" s="38" t="e">
        <f>MONTH(Libro_Diario[[#This Row],[Fecha]])</f>
        <v>#VALUE!</v>
      </c>
      <c r="I489" s="38" t="e">
        <f>YEAR(Libro_Diario[[#This Row],[Fecha]])</f>
        <v>#VALUE!</v>
      </c>
    </row>
    <row r="490" spans="3:9" x14ac:dyDescent="0.3">
      <c r="C490" s="37"/>
      <c r="D490" s="38"/>
      <c r="E490" s="38"/>
      <c r="F490" s="39"/>
      <c r="G490" s="40"/>
      <c r="H490" s="38" t="e">
        <f>MONTH(Libro_Diario[[#This Row],[Fecha]])</f>
        <v>#VALUE!</v>
      </c>
      <c r="I490" s="38" t="e">
        <f>YEAR(Libro_Diario[[#This Row],[Fecha]])</f>
        <v>#VALUE!</v>
      </c>
    </row>
    <row r="491" spans="3:9" x14ac:dyDescent="0.3">
      <c r="C491" s="37"/>
      <c r="D491" s="38"/>
      <c r="E491" s="38"/>
      <c r="F491" s="39"/>
      <c r="G491" s="40"/>
      <c r="H491" s="38" t="e">
        <f>MONTH(Libro_Diario[[#This Row],[Fecha]])</f>
        <v>#VALUE!</v>
      </c>
      <c r="I491" s="38" t="e">
        <f>YEAR(Libro_Diario[[#This Row],[Fecha]])</f>
        <v>#VALUE!</v>
      </c>
    </row>
    <row r="492" spans="3:9" x14ac:dyDescent="0.3">
      <c r="C492" s="37"/>
      <c r="D492" s="38"/>
      <c r="E492" s="38"/>
      <c r="F492" s="39"/>
      <c r="G492" s="40"/>
      <c r="H492" s="38" t="e">
        <f>MONTH(Libro_Diario[[#This Row],[Fecha]])</f>
        <v>#VALUE!</v>
      </c>
      <c r="I492" s="38" t="e">
        <f>YEAR(Libro_Diario[[#This Row],[Fecha]])</f>
        <v>#VALUE!</v>
      </c>
    </row>
    <row r="493" spans="3:9" x14ac:dyDescent="0.3">
      <c r="C493" s="37"/>
      <c r="D493" s="38"/>
      <c r="E493" s="38"/>
      <c r="F493" s="39"/>
      <c r="G493" s="40"/>
      <c r="H493" s="38" t="e">
        <f>MONTH(Libro_Diario[[#This Row],[Fecha]])</f>
        <v>#VALUE!</v>
      </c>
      <c r="I493" s="38" t="e">
        <f>YEAR(Libro_Diario[[#This Row],[Fecha]])</f>
        <v>#VALUE!</v>
      </c>
    </row>
    <row r="494" spans="3:9" x14ac:dyDescent="0.3">
      <c r="C494" s="37"/>
      <c r="D494" s="38"/>
      <c r="E494" s="38"/>
      <c r="F494" s="39"/>
      <c r="G494" s="40"/>
      <c r="H494" s="38" t="e">
        <f>MONTH(Libro_Diario[[#This Row],[Fecha]])</f>
        <v>#VALUE!</v>
      </c>
      <c r="I494" s="38" t="e">
        <f>YEAR(Libro_Diario[[#This Row],[Fecha]])</f>
        <v>#VALUE!</v>
      </c>
    </row>
    <row r="495" spans="3:9" x14ac:dyDescent="0.3">
      <c r="C495" s="37"/>
      <c r="D495" s="38"/>
      <c r="E495" s="38"/>
      <c r="F495" s="39"/>
      <c r="G495" s="40"/>
      <c r="H495" s="38" t="e">
        <f>MONTH(Libro_Diario[[#This Row],[Fecha]])</f>
        <v>#VALUE!</v>
      </c>
      <c r="I495" s="38" t="e">
        <f>YEAR(Libro_Diario[[#This Row],[Fecha]])</f>
        <v>#VALUE!</v>
      </c>
    </row>
    <row r="496" spans="3:9" x14ac:dyDescent="0.3">
      <c r="C496" s="37"/>
      <c r="D496" s="38"/>
      <c r="E496" s="38"/>
      <c r="F496" s="39"/>
      <c r="G496" s="40"/>
      <c r="H496" s="38" t="e">
        <f>MONTH(Libro_Diario[[#This Row],[Fecha]])</f>
        <v>#VALUE!</v>
      </c>
      <c r="I496" s="38" t="e">
        <f>YEAR(Libro_Diario[[#This Row],[Fecha]])</f>
        <v>#VALUE!</v>
      </c>
    </row>
    <row r="497" spans="3:9" x14ac:dyDescent="0.3">
      <c r="C497" s="37"/>
      <c r="D497" s="38"/>
      <c r="E497" s="38"/>
      <c r="F497" s="39"/>
      <c r="G497" s="40"/>
      <c r="H497" s="38" t="e">
        <f>MONTH(Libro_Diario[[#This Row],[Fecha]])</f>
        <v>#VALUE!</v>
      </c>
      <c r="I497" s="38" t="e">
        <f>YEAR(Libro_Diario[[#This Row],[Fecha]])</f>
        <v>#VALUE!</v>
      </c>
    </row>
    <row r="498" spans="3:9" x14ac:dyDescent="0.3">
      <c r="C498" s="37"/>
      <c r="D498" s="38"/>
      <c r="E498" s="38"/>
      <c r="F498" s="39"/>
      <c r="G498" s="40"/>
      <c r="H498" s="38" t="e">
        <f>MONTH(Libro_Diario[[#This Row],[Fecha]])</f>
        <v>#VALUE!</v>
      </c>
      <c r="I498" s="38" t="e">
        <f>YEAR(Libro_Diario[[#This Row],[Fecha]])</f>
        <v>#VALUE!</v>
      </c>
    </row>
    <row r="499" spans="3:9" x14ac:dyDescent="0.3">
      <c r="C499" s="37"/>
      <c r="D499" s="38"/>
      <c r="E499" s="38"/>
      <c r="F499" s="39"/>
      <c r="G499" s="40"/>
      <c r="H499" s="38" t="e">
        <f>MONTH(Libro_Diario[[#This Row],[Fecha]])</f>
        <v>#VALUE!</v>
      </c>
      <c r="I499" s="38" t="e">
        <f>YEAR(Libro_Diario[[#This Row],[Fecha]])</f>
        <v>#VALUE!</v>
      </c>
    </row>
    <row r="500" spans="3:9" x14ac:dyDescent="0.3">
      <c r="C500" s="37"/>
      <c r="D500" s="38"/>
      <c r="E500" s="38"/>
      <c r="F500" s="39"/>
      <c r="G500" s="40"/>
      <c r="H500" s="38" t="e">
        <f>MONTH(Libro_Diario[[#This Row],[Fecha]])</f>
        <v>#VALUE!</v>
      </c>
      <c r="I500" s="38" t="e">
        <f>YEAR(Libro_Diario[[#This Row],[Fecha]])</f>
        <v>#VALUE!</v>
      </c>
    </row>
    <row r="501" spans="3:9" x14ac:dyDescent="0.3">
      <c r="C501" s="37"/>
      <c r="D501" s="38"/>
      <c r="E501" s="38"/>
      <c r="F501" s="39"/>
      <c r="G501" s="40"/>
      <c r="H501" s="38" t="e">
        <f>MONTH(Libro_Diario[[#This Row],[Fecha]])</f>
        <v>#VALUE!</v>
      </c>
      <c r="I501" s="38" t="e">
        <f>YEAR(Libro_Diario[[#This Row],[Fecha]])</f>
        <v>#VALUE!</v>
      </c>
    </row>
    <row r="502" spans="3:9" x14ac:dyDescent="0.3">
      <c r="C502" s="37"/>
      <c r="D502" s="38"/>
      <c r="E502" s="38"/>
      <c r="F502" s="39"/>
      <c r="G502" s="40"/>
      <c r="H502" s="38" t="e">
        <f>MONTH(Libro_Diario[[#This Row],[Fecha]])</f>
        <v>#VALUE!</v>
      </c>
      <c r="I502" s="38" t="e">
        <f>YEAR(Libro_Diario[[#This Row],[Fecha]])</f>
        <v>#VALUE!</v>
      </c>
    </row>
    <row r="503" spans="3:9" x14ac:dyDescent="0.3">
      <c r="C503" s="37"/>
      <c r="D503" s="38"/>
      <c r="E503" s="38"/>
      <c r="F503" s="39"/>
      <c r="G503" s="40"/>
      <c r="H503" s="38" t="e">
        <f>MONTH(Libro_Diario[[#This Row],[Fecha]])</f>
        <v>#VALUE!</v>
      </c>
      <c r="I503" s="38" t="e">
        <f>YEAR(Libro_Diario[[#This Row],[Fecha]])</f>
        <v>#VALUE!</v>
      </c>
    </row>
    <row r="504" spans="3:9" x14ac:dyDescent="0.3">
      <c r="C504" s="37"/>
      <c r="D504" s="38"/>
      <c r="E504" s="38"/>
      <c r="F504" s="39"/>
      <c r="G504" s="40"/>
      <c r="H504" s="38" t="e">
        <f>MONTH(Libro_Diario[[#This Row],[Fecha]])</f>
        <v>#VALUE!</v>
      </c>
      <c r="I504" s="38" t="e">
        <f>YEAR(Libro_Diario[[#This Row],[Fecha]])</f>
        <v>#VALUE!</v>
      </c>
    </row>
    <row r="505" spans="3:9" x14ac:dyDescent="0.3">
      <c r="C505" s="37"/>
      <c r="D505" s="38"/>
      <c r="E505" s="38"/>
      <c r="F505" s="39"/>
      <c r="G505" s="40"/>
      <c r="H505" s="38" t="e">
        <f>MONTH(Libro_Diario[[#This Row],[Fecha]])</f>
        <v>#VALUE!</v>
      </c>
      <c r="I505" s="38" t="e">
        <f>YEAR(Libro_Diario[[#This Row],[Fecha]])</f>
        <v>#VALUE!</v>
      </c>
    </row>
    <row r="506" spans="3:9" x14ac:dyDescent="0.3">
      <c r="C506" s="37"/>
      <c r="D506" s="38"/>
      <c r="E506" s="38"/>
      <c r="F506" s="39"/>
      <c r="G506" s="40"/>
      <c r="H506" s="38" t="e">
        <f>MONTH(Libro_Diario[[#This Row],[Fecha]])</f>
        <v>#VALUE!</v>
      </c>
      <c r="I506" s="38" t="e">
        <f>YEAR(Libro_Diario[[#This Row],[Fecha]])</f>
        <v>#VALUE!</v>
      </c>
    </row>
    <row r="507" spans="3:9" x14ac:dyDescent="0.3">
      <c r="C507" s="37"/>
      <c r="D507" s="38"/>
      <c r="E507" s="38"/>
      <c r="F507" s="39"/>
      <c r="G507" s="40"/>
      <c r="H507" s="38" t="e">
        <f>MONTH(Libro_Diario[[#This Row],[Fecha]])</f>
        <v>#VALUE!</v>
      </c>
      <c r="I507" s="38" t="e">
        <f>YEAR(Libro_Diario[[#This Row],[Fecha]])</f>
        <v>#VALUE!</v>
      </c>
    </row>
    <row r="508" spans="3:9" x14ac:dyDescent="0.3">
      <c r="C508" s="37"/>
      <c r="D508" s="38"/>
      <c r="E508" s="38"/>
      <c r="F508" s="39"/>
      <c r="G508" s="40"/>
      <c r="H508" s="38" t="e">
        <f>MONTH(Libro_Diario[[#This Row],[Fecha]])</f>
        <v>#VALUE!</v>
      </c>
      <c r="I508" s="38" t="e">
        <f>YEAR(Libro_Diario[[#This Row],[Fecha]])</f>
        <v>#VALUE!</v>
      </c>
    </row>
    <row r="509" spans="3:9" x14ac:dyDescent="0.3">
      <c r="C509" s="37"/>
      <c r="D509" s="38"/>
      <c r="E509" s="38"/>
      <c r="F509" s="39"/>
      <c r="G509" s="40"/>
      <c r="H509" s="38" t="e">
        <f>MONTH(Libro_Diario[[#This Row],[Fecha]])</f>
        <v>#VALUE!</v>
      </c>
      <c r="I509" s="38" t="e">
        <f>YEAR(Libro_Diario[[#This Row],[Fecha]])</f>
        <v>#VALUE!</v>
      </c>
    </row>
    <row r="510" spans="3:9" x14ac:dyDescent="0.3">
      <c r="C510" s="37"/>
      <c r="D510" s="38"/>
      <c r="E510" s="38"/>
      <c r="F510" s="39"/>
      <c r="G510" s="40"/>
      <c r="H510" s="38" t="e">
        <f>MONTH(Libro_Diario[[#This Row],[Fecha]])</f>
        <v>#VALUE!</v>
      </c>
      <c r="I510" s="38" t="e">
        <f>YEAR(Libro_Diario[[#This Row],[Fecha]])</f>
        <v>#VALUE!</v>
      </c>
    </row>
    <row r="511" spans="3:9" x14ac:dyDescent="0.3">
      <c r="C511" s="37"/>
      <c r="D511" s="38"/>
      <c r="E511" s="38"/>
      <c r="F511" s="39"/>
      <c r="G511" s="40"/>
      <c r="H511" s="38" t="e">
        <f>MONTH(Libro_Diario[[#This Row],[Fecha]])</f>
        <v>#VALUE!</v>
      </c>
      <c r="I511" s="38" t="e">
        <f>YEAR(Libro_Diario[[#This Row],[Fecha]])</f>
        <v>#VALUE!</v>
      </c>
    </row>
    <row r="512" spans="3:9" x14ac:dyDescent="0.3">
      <c r="C512" s="37"/>
      <c r="D512" s="38"/>
      <c r="E512" s="38"/>
      <c r="F512" s="39"/>
      <c r="G512" s="40"/>
      <c r="H512" s="38" t="e">
        <f>MONTH(Libro_Diario[[#This Row],[Fecha]])</f>
        <v>#VALUE!</v>
      </c>
      <c r="I512" s="38" t="e">
        <f>YEAR(Libro_Diario[[#This Row],[Fecha]])</f>
        <v>#VALUE!</v>
      </c>
    </row>
    <row r="513" spans="3:9" x14ac:dyDescent="0.3">
      <c r="C513" s="37"/>
      <c r="D513" s="38"/>
      <c r="E513" s="38"/>
      <c r="F513" s="39"/>
      <c r="G513" s="40"/>
      <c r="H513" s="38" t="e">
        <f>MONTH(Libro_Diario[[#This Row],[Fecha]])</f>
        <v>#VALUE!</v>
      </c>
      <c r="I513" s="38" t="e">
        <f>YEAR(Libro_Diario[[#This Row],[Fecha]])</f>
        <v>#VALUE!</v>
      </c>
    </row>
    <row r="514" spans="3:9" x14ac:dyDescent="0.3">
      <c r="C514" s="37"/>
      <c r="D514" s="38"/>
      <c r="E514" s="38"/>
      <c r="F514" s="39"/>
      <c r="G514" s="40"/>
      <c r="H514" s="38" t="e">
        <f>MONTH(Libro_Diario[[#This Row],[Fecha]])</f>
        <v>#VALUE!</v>
      </c>
      <c r="I514" s="38" t="e">
        <f>YEAR(Libro_Diario[[#This Row],[Fecha]])</f>
        <v>#VALUE!</v>
      </c>
    </row>
    <row r="515" spans="3:9" x14ac:dyDescent="0.3">
      <c r="C515" s="37"/>
      <c r="D515" s="38"/>
      <c r="E515" s="38"/>
      <c r="F515" s="39"/>
      <c r="G515" s="40"/>
      <c r="H515" s="38" t="e">
        <f>MONTH(Libro_Diario[[#This Row],[Fecha]])</f>
        <v>#VALUE!</v>
      </c>
      <c r="I515" s="38" t="e">
        <f>YEAR(Libro_Diario[[#This Row],[Fecha]])</f>
        <v>#VALUE!</v>
      </c>
    </row>
    <row r="516" spans="3:9" x14ac:dyDescent="0.3">
      <c r="C516" s="37"/>
      <c r="D516" s="38"/>
      <c r="E516" s="38"/>
      <c r="F516" s="39"/>
      <c r="G516" s="40"/>
      <c r="H516" s="38" t="e">
        <f>MONTH(Libro_Diario[[#This Row],[Fecha]])</f>
        <v>#VALUE!</v>
      </c>
      <c r="I516" s="38" t="e">
        <f>YEAR(Libro_Diario[[#This Row],[Fecha]])</f>
        <v>#VALUE!</v>
      </c>
    </row>
    <row r="517" spans="3:9" x14ac:dyDescent="0.3">
      <c r="C517" s="37"/>
      <c r="D517" s="38"/>
      <c r="E517" s="38"/>
      <c r="F517" s="39"/>
      <c r="G517" s="40"/>
      <c r="H517" s="38" t="e">
        <f>MONTH(Libro_Diario[[#This Row],[Fecha]])</f>
        <v>#VALUE!</v>
      </c>
      <c r="I517" s="38" t="e">
        <f>YEAR(Libro_Diario[[#This Row],[Fecha]])</f>
        <v>#VALUE!</v>
      </c>
    </row>
    <row r="518" spans="3:9" x14ac:dyDescent="0.3">
      <c r="C518" s="37"/>
      <c r="D518" s="38"/>
      <c r="E518" s="38"/>
      <c r="F518" s="39"/>
      <c r="G518" s="40"/>
      <c r="H518" s="38" t="e">
        <f>MONTH(Libro_Diario[[#This Row],[Fecha]])</f>
        <v>#VALUE!</v>
      </c>
      <c r="I518" s="38" t="e">
        <f>YEAR(Libro_Diario[[#This Row],[Fecha]])</f>
        <v>#VALUE!</v>
      </c>
    </row>
    <row r="519" spans="3:9" x14ac:dyDescent="0.3">
      <c r="C519" s="37"/>
      <c r="D519" s="38"/>
      <c r="E519" s="38"/>
      <c r="F519" s="39"/>
      <c r="G519" s="40"/>
      <c r="H519" s="38" t="e">
        <f>MONTH(Libro_Diario[[#This Row],[Fecha]])</f>
        <v>#VALUE!</v>
      </c>
      <c r="I519" s="38" t="e">
        <f>YEAR(Libro_Diario[[#This Row],[Fecha]])</f>
        <v>#VALUE!</v>
      </c>
    </row>
    <row r="520" spans="3:9" x14ac:dyDescent="0.3">
      <c r="C520" s="37"/>
      <c r="D520" s="38"/>
      <c r="E520" s="38"/>
      <c r="F520" s="39"/>
      <c r="G520" s="40"/>
      <c r="H520" s="38" t="e">
        <f>MONTH(Libro_Diario[[#This Row],[Fecha]])</f>
        <v>#VALUE!</v>
      </c>
      <c r="I520" s="38" t="e">
        <f>YEAR(Libro_Diario[[#This Row],[Fecha]])</f>
        <v>#VALUE!</v>
      </c>
    </row>
    <row r="521" spans="3:9" x14ac:dyDescent="0.3">
      <c r="C521" s="37"/>
      <c r="D521" s="38"/>
      <c r="E521" s="38"/>
      <c r="F521" s="39"/>
      <c r="G521" s="40"/>
      <c r="H521" s="38" t="e">
        <f>MONTH(Libro_Diario[[#This Row],[Fecha]])</f>
        <v>#VALUE!</v>
      </c>
      <c r="I521" s="38" t="e">
        <f>YEAR(Libro_Diario[[#This Row],[Fecha]])</f>
        <v>#VALUE!</v>
      </c>
    </row>
    <row r="522" spans="3:9" x14ac:dyDescent="0.3">
      <c r="C522" s="37"/>
      <c r="D522" s="38"/>
      <c r="E522" s="38"/>
      <c r="F522" s="39"/>
      <c r="G522" s="40"/>
      <c r="H522" s="38" t="e">
        <f>MONTH(Libro_Diario[[#This Row],[Fecha]])</f>
        <v>#VALUE!</v>
      </c>
      <c r="I522" s="38" t="e">
        <f>YEAR(Libro_Diario[[#This Row],[Fecha]])</f>
        <v>#VALUE!</v>
      </c>
    </row>
    <row r="523" spans="3:9" x14ac:dyDescent="0.3">
      <c r="C523" s="37"/>
      <c r="D523" s="38"/>
      <c r="E523" s="38"/>
      <c r="F523" s="39"/>
      <c r="G523" s="40"/>
      <c r="H523" s="38" t="e">
        <f>MONTH(Libro_Diario[[#This Row],[Fecha]])</f>
        <v>#VALUE!</v>
      </c>
      <c r="I523" s="38" t="e">
        <f>YEAR(Libro_Diario[[#This Row],[Fecha]])</f>
        <v>#VALUE!</v>
      </c>
    </row>
    <row r="524" spans="3:9" x14ac:dyDescent="0.3">
      <c r="C524" s="37"/>
      <c r="D524" s="38"/>
      <c r="E524" s="38"/>
      <c r="F524" s="39"/>
      <c r="G524" s="40"/>
      <c r="H524" s="38" t="e">
        <f>MONTH(Libro_Diario[[#This Row],[Fecha]])</f>
        <v>#VALUE!</v>
      </c>
      <c r="I524" s="38" t="e">
        <f>YEAR(Libro_Diario[[#This Row],[Fecha]])</f>
        <v>#VALUE!</v>
      </c>
    </row>
    <row r="525" spans="3:9" x14ac:dyDescent="0.3">
      <c r="C525" s="37"/>
      <c r="D525" s="38"/>
      <c r="E525" s="38"/>
      <c r="F525" s="39"/>
      <c r="G525" s="40"/>
      <c r="H525" s="38" t="e">
        <f>MONTH(Libro_Diario[[#This Row],[Fecha]])</f>
        <v>#VALUE!</v>
      </c>
      <c r="I525" s="38" t="e">
        <f>YEAR(Libro_Diario[[#This Row],[Fecha]])</f>
        <v>#VALUE!</v>
      </c>
    </row>
    <row r="526" spans="3:9" x14ac:dyDescent="0.3">
      <c r="C526" s="37"/>
      <c r="D526" s="38"/>
      <c r="E526" s="38"/>
      <c r="F526" s="39"/>
      <c r="G526" s="40"/>
      <c r="H526" s="38" t="e">
        <f>MONTH(Libro_Diario[[#This Row],[Fecha]])</f>
        <v>#VALUE!</v>
      </c>
      <c r="I526" s="38" t="e">
        <f>YEAR(Libro_Diario[[#This Row],[Fecha]])</f>
        <v>#VALUE!</v>
      </c>
    </row>
    <row r="527" spans="3:9" x14ac:dyDescent="0.3">
      <c r="C527" s="37"/>
      <c r="D527" s="38"/>
      <c r="E527" s="38"/>
      <c r="F527" s="39"/>
      <c r="G527" s="40"/>
      <c r="H527" s="38" t="e">
        <f>MONTH(Libro_Diario[[#This Row],[Fecha]])</f>
        <v>#VALUE!</v>
      </c>
      <c r="I527" s="38" t="e">
        <f>YEAR(Libro_Diario[[#This Row],[Fecha]])</f>
        <v>#VALUE!</v>
      </c>
    </row>
    <row r="528" spans="3:9" x14ac:dyDescent="0.3">
      <c r="C528" s="37"/>
      <c r="D528" s="38"/>
      <c r="E528" s="38"/>
      <c r="F528" s="39"/>
      <c r="G528" s="40"/>
      <c r="H528" s="38" t="e">
        <f>MONTH(Libro_Diario[[#This Row],[Fecha]])</f>
        <v>#VALUE!</v>
      </c>
      <c r="I528" s="38" t="e">
        <f>YEAR(Libro_Diario[[#This Row],[Fecha]])</f>
        <v>#VALUE!</v>
      </c>
    </row>
    <row r="529" spans="3:9" x14ac:dyDescent="0.3">
      <c r="C529" s="37"/>
      <c r="D529" s="38"/>
      <c r="E529" s="38"/>
      <c r="F529" s="39"/>
      <c r="G529" s="40"/>
      <c r="H529" s="38" t="e">
        <f>MONTH(Libro_Diario[[#This Row],[Fecha]])</f>
        <v>#VALUE!</v>
      </c>
      <c r="I529" s="38" t="e">
        <f>YEAR(Libro_Diario[[#This Row],[Fecha]])</f>
        <v>#VALUE!</v>
      </c>
    </row>
    <row r="530" spans="3:9" x14ac:dyDescent="0.3">
      <c r="C530" s="37"/>
      <c r="D530" s="38"/>
      <c r="E530" s="38"/>
      <c r="F530" s="39"/>
      <c r="G530" s="40"/>
      <c r="H530" s="38" t="e">
        <f>MONTH(Libro_Diario[[#This Row],[Fecha]])</f>
        <v>#VALUE!</v>
      </c>
      <c r="I530" s="38" t="e">
        <f>YEAR(Libro_Diario[[#This Row],[Fecha]])</f>
        <v>#VALUE!</v>
      </c>
    </row>
    <row r="531" spans="3:9" x14ac:dyDescent="0.3">
      <c r="C531" s="37"/>
      <c r="D531" s="38"/>
      <c r="E531" s="38"/>
      <c r="F531" s="39"/>
      <c r="G531" s="40"/>
      <c r="H531" s="38" t="e">
        <f>MONTH(Libro_Diario[[#This Row],[Fecha]])</f>
        <v>#VALUE!</v>
      </c>
      <c r="I531" s="38" t="e">
        <f>YEAR(Libro_Diario[[#This Row],[Fecha]])</f>
        <v>#VALUE!</v>
      </c>
    </row>
    <row r="532" spans="3:9" x14ac:dyDescent="0.3">
      <c r="C532" s="37"/>
      <c r="D532" s="38"/>
      <c r="E532" s="38"/>
      <c r="F532" s="39"/>
      <c r="G532" s="40"/>
      <c r="H532" s="38" t="e">
        <f>MONTH(Libro_Diario[[#This Row],[Fecha]])</f>
        <v>#VALUE!</v>
      </c>
      <c r="I532" s="38" t="e">
        <f>YEAR(Libro_Diario[[#This Row],[Fecha]])</f>
        <v>#VALUE!</v>
      </c>
    </row>
    <row r="533" spans="3:9" x14ac:dyDescent="0.3">
      <c r="C533" s="37"/>
      <c r="D533" s="38"/>
      <c r="E533" s="38"/>
      <c r="F533" s="39"/>
      <c r="G533" s="40"/>
      <c r="H533" s="38" t="e">
        <f>MONTH(Libro_Diario[[#This Row],[Fecha]])</f>
        <v>#VALUE!</v>
      </c>
      <c r="I533" s="38" t="e">
        <f>YEAR(Libro_Diario[[#This Row],[Fecha]])</f>
        <v>#VALUE!</v>
      </c>
    </row>
    <row r="534" spans="3:9" x14ac:dyDescent="0.3">
      <c r="C534" s="37"/>
      <c r="D534" s="38"/>
      <c r="E534" s="38"/>
      <c r="F534" s="39"/>
      <c r="G534" s="40"/>
      <c r="H534" s="38" t="e">
        <f>MONTH(Libro_Diario[[#This Row],[Fecha]])</f>
        <v>#VALUE!</v>
      </c>
      <c r="I534" s="38" t="e">
        <f>YEAR(Libro_Diario[[#This Row],[Fecha]])</f>
        <v>#VALUE!</v>
      </c>
    </row>
    <row r="535" spans="3:9" x14ac:dyDescent="0.3">
      <c r="C535" s="37"/>
      <c r="D535" s="38"/>
      <c r="E535" s="38"/>
      <c r="F535" s="39"/>
      <c r="G535" s="40"/>
      <c r="H535" s="38" t="e">
        <f>MONTH(Libro_Diario[[#This Row],[Fecha]])</f>
        <v>#VALUE!</v>
      </c>
      <c r="I535" s="38" t="e">
        <f>YEAR(Libro_Diario[[#This Row],[Fecha]])</f>
        <v>#VALUE!</v>
      </c>
    </row>
    <row r="536" spans="3:9" x14ac:dyDescent="0.3">
      <c r="C536" s="37"/>
      <c r="D536" s="38"/>
      <c r="E536" s="38"/>
      <c r="F536" s="39"/>
      <c r="G536" s="40"/>
      <c r="H536" s="38" t="e">
        <f>MONTH(Libro_Diario[[#This Row],[Fecha]])</f>
        <v>#VALUE!</v>
      </c>
      <c r="I536" s="38" t="e">
        <f>YEAR(Libro_Diario[[#This Row],[Fecha]])</f>
        <v>#VALUE!</v>
      </c>
    </row>
    <row r="537" spans="3:9" x14ac:dyDescent="0.3">
      <c r="C537" s="37"/>
      <c r="D537" s="38"/>
      <c r="E537" s="38"/>
      <c r="F537" s="39"/>
      <c r="G537" s="40"/>
      <c r="H537" s="38" t="e">
        <f>MONTH(Libro_Diario[[#This Row],[Fecha]])</f>
        <v>#VALUE!</v>
      </c>
      <c r="I537" s="38" t="e">
        <f>YEAR(Libro_Diario[[#This Row],[Fecha]])</f>
        <v>#VALUE!</v>
      </c>
    </row>
    <row r="538" spans="3:9" x14ac:dyDescent="0.3">
      <c r="C538" s="37"/>
      <c r="D538" s="38"/>
      <c r="E538" s="38"/>
      <c r="F538" s="39"/>
      <c r="G538" s="40"/>
      <c r="H538" s="38" t="e">
        <f>MONTH(Libro_Diario[[#This Row],[Fecha]])</f>
        <v>#VALUE!</v>
      </c>
      <c r="I538" s="38" t="e">
        <f>YEAR(Libro_Diario[[#This Row],[Fecha]])</f>
        <v>#VALUE!</v>
      </c>
    </row>
    <row r="539" spans="3:9" x14ac:dyDescent="0.3">
      <c r="C539" s="37"/>
      <c r="D539" s="38"/>
      <c r="E539" s="38"/>
      <c r="F539" s="39"/>
      <c r="G539" s="40"/>
      <c r="H539" s="38" t="e">
        <f>MONTH(Libro_Diario[[#This Row],[Fecha]])</f>
        <v>#VALUE!</v>
      </c>
      <c r="I539" s="38" t="e">
        <f>YEAR(Libro_Diario[[#This Row],[Fecha]])</f>
        <v>#VALUE!</v>
      </c>
    </row>
    <row r="540" spans="3:9" x14ac:dyDescent="0.3">
      <c r="C540" s="37"/>
      <c r="D540" s="38"/>
      <c r="E540" s="38"/>
      <c r="F540" s="39"/>
      <c r="G540" s="40"/>
      <c r="H540" s="38" t="e">
        <f>MONTH(Libro_Diario[[#This Row],[Fecha]])</f>
        <v>#VALUE!</v>
      </c>
      <c r="I540" s="38" t="e">
        <f>YEAR(Libro_Diario[[#This Row],[Fecha]])</f>
        <v>#VALUE!</v>
      </c>
    </row>
    <row r="541" spans="3:9" x14ac:dyDescent="0.3">
      <c r="C541" s="37"/>
      <c r="D541" s="38"/>
      <c r="E541" s="38"/>
      <c r="F541" s="39"/>
      <c r="G541" s="40"/>
      <c r="H541" s="38" t="e">
        <f>MONTH(Libro_Diario[[#This Row],[Fecha]])</f>
        <v>#VALUE!</v>
      </c>
      <c r="I541" s="38" t="e">
        <f>YEAR(Libro_Diario[[#This Row],[Fecha]])</f>
        <v>#VALUE!</v>
      </c>
    </row>
    <row r="542" spans="3:9" x14ac:dyDescent="0.3">
      <c r="C542" s="37"/>
      <c r="D542" s="38"/>
      <c r="E542" s="38"/>
      <c r="F542" s="39"/>
      <c r="G542" s="40"/>
      <c r="H542" s="38" t="e">
        <f>MONTH(Libro_Diario[[#This Row],[Fecha]])</f>
        <v>#VALUE!</v>
      </c>
      <c r="I542" s="38" t="e">
        <f>YEAR(Libro_Diario[[#This Row],[Fecha]])</f>
        <v>#VALUE!</v>
      </c>
    </row>
    <row r="543" spans="3:9" x14ac:dyDescent="0.3">
      <c r="C543" s="37"/>
      <c r="D543" s="38"/>
      <c r="E543" s="38"/>
      <c r="F543" s="39"/>
      <c r="G543" s="40"/>
      <c r="H543" s="38" t="e">
        <f>MONTH(Libro_Diario[[#This Row],[Fecha]])</f>
        <v>#VALUE!</v>
      </c>
      <c r="I543" s="38" t="e">
        <f>YEAR(Libro_Diario[[#This Row],[Fecha]])</f>
        <v>#VALUE!</v>
      </c>
    </row>
    <row r="544" spans="3:9" x14ac:dyDescent="0.3">
      <c r="C544" s="37"/>
      <c r="D544" s="38"/>
      <c r="E544" s="38"/>
      <c r="F544" s="39"/>
      <c r="G544" s="40"/>
      <c r="H544" s="38" t="e">
        <f>MONTH(Libro_Diario[[#This Row],[Fecha]])</f>
        <v>#VALUE!</v>
      </c>
      <c r="I544" s="38" t="e">
        <f>YEAR(Libro_Diario[[#This Row],[Fecha]])</f>
        <v>#VALUE!</v>
      </c>
    </row>
    <row r="545" spans="3:9" x14ac:dyDescent="0.3">
      <c r="C545" s="37"/>
      <c r="D545" s="38"/>
      <c r="E545" s="38"/>
      <c r="F545" s="39"/>
      <c r="G545" s="40"/>
      <c r="H545" s="38" t="e">
        <f>MONTH(Libro_Diario[[#This Row],[Fecha]])</f>
        <v>#VALUE!</v>
      </c>
      <c r="I545" s="38" t="e">
        <f>YEAR(Libro_Diario[[#This Row],[Fecha]])</f>
        <v>#VALUE!</v>
      </c>
    </row>
    <row r="546" spans="3:9" x14ac:dyDescent="0.3">
      <c r="C546" s="37"/>
      <c r="D546" s="38"/>
      <c r="E546" s="38"/>
      <c r="F546" s="39"/>
      <c r="G546" s="40"/>
      <c r="H546" s="38" t="e">
        <f>MONTH(Libro_Diario[[#This Row],[Fecha]])</f>
        <v>#VALUE!</v>
      </c>
      <c r="I546" s="38" t="e">
        <f>YEAR(Libro_Diario[[#This Row],[Fecha]])</f>
        <v>#VALUE!</v>
      </c>
    </row>
    <row r="547" spans="3:9" x14ac:dyDescent="0.3">
      <c r="C547" s="37"/>
      <c r="D547" s="38"/>
      <c r="E547" s="38"/>
      <c r="F547" s="39"/>
      <c r="G547" s="40"/>
      <c r="H547" s="38" t="e">
        <f>MONTH(Libro_Diario[[#This Row],[Fecha]])</f>
        <v>#VALUE!</v>
      </c>
      <c r="I547" s="38" t="e">
        <f>YEAR(Libro_Diario[[#This Row],[Fecha]])</f>
        <v>#VALUE!</v>
      </c>
    </row>
    <row r="548" spans="3:9" x14ac:dyDescent="0.3">
      <c r="C548" s="37"/>
      <c r="D548" s="38"/>
      <c r="E548" s="38"/>
      <c r="F548" s="39"/>
      <c r="G548" s="40"/>
      <c r="H548" s="38" t="e">
        <f>MONTH(Libro_Diario[[#This Row],[Fecha]])</f>
        <v>#VALUE!</v>
      </c>
      <c r="I548" s="38" t="e">
        <f>YEAR(Libro_Diario[[#This Row],[Fecha]])</f>
        <v>#VALUE!</v>
      </c>
    </row>
    <row r="549" spans="3:9" x14ac:dyDescent="0.3">
      <c r="C549" s="37"/>
      <c r="D549" s="38"/>
      <c r="E549" s="38"/>
      <c r="F549" s="39"/>
      <c r="G549" s="40"/>
      <c r="H549" s="38" t="e">
        <f>MONTH(Libro_Diario[[#This Row],[Fecha]])</f>
        <v>#VALUE!</v>
      </c>
      <c r="I549" s="38" t="e">
        <f>YEAR(Libro_Diario[[#This Row],[Fecha]])</f>
        <v>#VALUE!</v>
      </c>
    </row>
    <row r="550" spans="3:9" x14ac:dyDescent="0.3">
      <c r="C550" s="37"/>
      <c r="D550" s="38"/>
      <c r="E550" s="38"/>
      <c r="F550" s="39"/>
      <c r="G550" s="40"/>
      <c r="H550" s="38" t="e">
        <f>MONTH(Libro_Diario[[#This Row],[Fecha]])</f>
        <v>#VALUE!</v>
      </c>
      <c r="I550" s="38" t="e">
        <f>YEAR(Libro_Diario[[#This Row],[Fecha]])</f>
        <v>#VALUE!</v>
      </c>
    </row>
    <row r="551" spans="3:9" x14ac:dyDescent="0.3">
      <c r="C551" s="37"/>
      <c r="D551" s="38"/>
      <c r="E551" s="38"/>
      <c r="F551" s="39"/>
      <c r="G551" s="40"/>
      <c r="H551" s="38" t="e">
        <f>MONTH(Libro_Diario[[#This Row],[Fecha]])</f>
        <v>#VALUE!</v>
      </c>
      <c r="I551" s="38" t="e">
        <f>YEAR(Libro_Diario[[#This Row],[Fecha]])</f>
        <v>#VALUE!</v>
      </c>
    </row>
    <row r="552" spans="3:9" x14ac:dyDescent="0.3">
      <c r="C552" s="37"/>
      <c r="D552" s="38"/>
      <c r="E552" s="38"/>
      <c r="F552" s="39"/>
      <c r="G552" s="40"/>
      <c r="H552" s="38" t="e">
        <f>MONTH(Libro_Diario[[#This Row],[Fecha]])</f>
        <v>#VALUE!</v>
      </c>
      <c r="I552" s="38" t="e">
        <f>YEAR(Libro_Diario[[#This Row],[Fecha]])</f>
        <v>#VALUE!</v>
      </c>
    </row>
    <row r="553" spans="3:9" x14ac:dyDescent="0.3">
      <c r="C553" s="37"/>
      <c r="D553" s="38"/>
      <c r="E553" s="38"/>
      <c r="F553" s="39"/>
      <c r="G553" s="40"/>
      <c r="H553" s="38" t="e">
        <f>MONTH(Libro_Diario[[#This Row],[Fecha]])</f>
        <v>#VALUE!</v>
      </c>
      <c r="I553" s="38" t="e">
        <f>YEAR(Libro_Diario[[#This Row],[Fecha]])</f>
        <v>#VALUE!</v>
      </c>
    </row>
    <row r="554" spans="3:9" x14ac:dyDescent="0.3">
      <c r="C554" s="37"/>
      <c r="D554" s="38"/>
      <c r="E554" s="38"/>
      <c r="F554" s="39"/>
      <c r="G554" s="40"/>
      <c r="H554" s="38" t="e">
        <f>MONTH(Libro_Diario[[#This Row],[Fecha]])</f>
        <v>#VALUE!</v>
      </c>
      <c r="I554" s="38" t="e">
        <f>YEAR(Libro_Diario[[#This Row],[Fecha]])</f>
        <v>#VALUE!</v>
      </c>
    </row>
    <row r="555" spans="3:9" x14ac:dyDescent="0.3">
      <c r="C555" s="37"/>
      <c r="D555" s="38"/>
      <c r="E555" s="38"/>
      <c r="F555" s="39"/>
      <c r="G555" s="40"/>
      <c r="H555" s="38" t="e">
        <f>MONTH(Libro_Diario[[#This Row],[Fecha]])</f>
        <v>#VALUE!</v>
      </c>
      <c r="I555" s="38" t="e">
        <f>YEAR(Libro_Diario[[#This Row],[Fecha]])</f>
        <v>#VALUE!</v>
      </c>
    </row>
    <row r="556" spans="3:9" x14ac:dyDescent="0.3">
      <c r="C556" s="37"/>
      <c r="D556" s="38"/>
      <c r="E556" s="38"/>
      <c r="F556" s="39"/>
      <c r="G556" s="40"/>
      <c r="H556" s="38" t="e">
        <f>MONTH(Libro_Diario[[#This Row],[Fecha]])</f>
        <v>#VALUE!</v>
      </c>
      <c r="I556" s="38" t="e">
        <f>YEAR(Libro_Diario[[#This Row],[Fecha]])</f>
        <v>#VALUE!</v>
      </c>
    </row>
    <row r="557" spans="3:9" x14ac:dyDescent="0.3">
      <c r="C557" s="37"/>
      <c r="D557" s="38"/>
      <c r="E557" s="38"/>
      <c r="F557" s="39"/>
      <c r="G557" s="40"/>
      <c r="H557" s="38" t="e">
        <f>MONTH(Libro_Diario[[#This Row],[Fecha]])</f>
        <v>#VALUE!</v>
      </c>
      <c r="I557" s="38" t="e">
        <f>YEAR(Libro_Diario[[#This Row],[Fecha]])</f>
        <v>#VALUE!</v>
      </c>
    </row>
    <row r="558" spans="3:9" x14ac:dyDescent="0.3">
      <c r="C558" s="37"/>
      <c r="D558" s="38"/>
      <c r="E558" s="38"/>
      <c r="F558" s="39"/>
      <c r="G558" s="40"/>
      <c r="H558" s="38" t="e">
        <f>MONTH(Libro_Diario[[#This Row],[Fecha]])</f>
        <v>#VALUE!</v>
      </c>
      <c r="I558" s="38" t="e">
        <f>YEAR(Libro_Diario[[#This Row],[Fecha]])</f>
        <v>#VALUE!</v>
      </c>
    </row>
    <row r="559" spans="3:9" x14ac:dyDescent="0.3">
      <c r="C559" s="37"/>
      <c r="D559" s="38"/>
      <c r="E559" s="38"/>
      <c r="F559" s="39"/>
      <c r="G559" s="40"/>
      <c r="H559" s="38" t="e">
        <f>MONTH(Libro_Diario[[#This Row],[Fecha]])</f>
        <v>#VALUE!</v>
      </c>
      <c r="I559" s="38" t="e">
        <f>YEAR(Libro_Diario[[#This Row],[Fecha]])</f>
        <v>#VALUE!</v>
      </c>
    </row>
    <row r="560" spans="3:9" x14ac:dyDescent="0.3">
      <c r="C560" s="37"/>
      <c r="D560" s="38"/>
      <c r="E560" s="38"/>
      <c r="F560" s="39"/>
      <c r="G560" s="40"/>
      <c r="H560" s="38" t="e">
        <f>MONTH(Libro_Diario[[#This Row],[Fecha]])</f>
        <v>#VALUE!</v>
      </c>
      <c r="I560" s="38" t="e">
        <f>YEAR(Libro_Diario[[#This Row],[Fecha]])</f>
        <v>#VALUE!</v>
      </c>
    </row>
    <row r="561" spans="3:9" x14ac:dyDescent="0.3">
      <c r="C561" s="37"/>
      <c r="D561" s="38"/>
      <c r="E561" s="38"/>
      <c r="F561" s="39"/>
      <c r="G561" s="40"/>
      <c r="H561" s="38" t="e">
        <f>MONTH(Libro_Diario[[#This Row],[Fecha]])</f>
        <v>#VALUE!</v>
      </c>
      <c r="I561" s="38" t="e">
        <f>YEAR(Libro_Diario[[#This Row],[Fecha]])</f>
        <v>#VALUE!</v>
      </c>
    </row>
    <row r="562" spans="3:9" x14ac:dyDescent="0.3">
      <c r="C562" s="37"/>
      <c r="D562" s="38"/>
      <c r="E562" s="38"/>
      <c r="F562" s="39"/>
      <c r="G562" s="40"/>
      <c r="H562" s="38" t="e">
        <f>MONTH(Libro_Diario[[#This Row],[Fecha]])</f>
        <v>#VALUE!</v>
      </c>
      <c r="I562" s="38" t="e">
        <f>YEAR(Libro_Diario[[#This Row],[Fecha]])</f>
        <v>#VALUE!</v>
      </c>
    </row>
    <row r="563" spans="3:9" x14ac:dyDescent="0.3">
      <c r="C563" s="37"/>
      <c r="D563" s="38"/>
      <c r="E563" s="38"/>
      <c r="F563" s="39"/>
      <c r="G563" s="40"/>
      <c r="H563" s="38" t="e">
        <f>MONTH(Libro_Diario[[#This Row],[Fecha]])</f>
        <v>#VALUE!</v>
      </c>
      <c r="I563" s="38" t="e">
        <f>YEAR(Libro_Diario[[#This Row],[Fecha]])</f>
        <v>#VALUE!</v>
      </c>
    </row>
    <row r="564" spans="3:9" x14ac:dyDescent="0.3">
      <c r="C564" s="37"/>
      <c r="D564" s="38"/>
      <c r="E564" s="38"/>
      <c r="F564" s="39"/>
      <c r="G564" s="40"/>
      <c r="H564" s="38" t="e">
        <f>MONTH(Libro_Diario[[#This Row],[Fecha]])</f>
        <v>#VALUE!</v>
      </c>
      <c r="I564" s="38" t="e">
        <f>YEAR(Libro_Diario[[#This Row],[Fecha]])</f>
        <v>#VALUE!</v>
      </c>
    </row>
    <row r="565" spans="3:9" x14ac:dyDescent="0.3">
      <c r="C565" s="37"/>
      <c r="D565" s="38"/>
      <c r="E565" s="38"/>
      <c r="F565" s="39"/>
      <c r="G565" s="40"/>
      <c r="H565" s="38" t="e">
        <f>MONTH(Libro_Diario[[#This Row],[Fecha]])</f>
        <v>#VALUE!</v>
      </c>
      <c r="I565" s="38" t="e">
        <f>YEAR(Libro_Diario[[#This Row],[Fecha]])</f>
        <v>#VALUE!</v>
      </c>
    </row>
    <row r="566" spans="3:9" x14ac:dyDescent="0.3">
      <c r="C566" s="37"/>
      <c r="D566" s="38"/>
      <c r="E566" s="38"/>
      <c r="F566" s="39"/>
      <c r="G566" s="40"/>
      <c r="H566" s="38" t="e">
        <f>MONTH(Libro_Diario[[#This Row],[Fecha]])</f>
        <v>#VALUE!</v>
      </c>
      <c r="I566" s="38" t="e">
        <f>YEAR(Libro_Diario[[#This Row],[Fecha]])</f>
        <v>#VALUE!</v>
      </c>
    </row>
    <row r="567" spans="3:9" x14ac:dyDescent="0.3">
      <c r="C567" s="37"/>
      <c r="D567" s="38"/>
      <c r="E567" s="38"/>
      <c r="F567" s="39"/>
      <c r="G567" s="40"/>
      <c r="H567" s="38" t="e">
        <f>MONTH(Libro_Diario[[#This Row],[Fecha]])</f>
        <v>#VALUE!</v>
      </c>
      <c r="I567" s="38" t="e">
        <f>YEAR(Libro_Diario[[#This Row],[Fecha]])</f>
        <v>#VALUE!</v>
      </c>
    </row>
    <row r="568" spans="3:9" x14ac:dyDescent="0.3">
      <c r="C568" s="37"/>
      <c r="D568" s="38"/>
      <c r="E568" s="38"/>
      <c r="F568" s="39"/>
      <c r="G568" s="40"/>
      <c r="H568" s="38" t="e">
        <f>MONTH(Libro_Diario[[#This Row],[Fecha]])</f>
        <v>#VALUE!</v>
      </c>
      <c r="I568" s="38" t="e">
        <f>YEAR(Libro_Diario[[#This Row],[Fecha]])</f>
        <v>#VALUE!</v>
      </c>
    </row>
    <row r="569" spans="3:9" x14ac:dyDescent="0.3">
      <c r="C569" s="37"/>
      <c r="D569" s="38"/>
      <c r="E569" s="38"/>
      <c r="F569" s="39"/>
      <c r="G569" s="40"/>
      <c r="H569" s="38" t="e">
        <f>MONTH(Libro_Diario[[#This Row],[Fecha]])</f>
        <v>#VALUE!</v>
      </c>
      <c r="I569" s="38" t="e">
        <f>YEAR(Libro_Diario[[#This Row],[Fecha]])</f>
        <v>#VALUE!</v>
      </c>
    </row>
    <row r="570" spans="3:9" x14ac:dyDescent="0.3">
      <c r="C570" s="37"/>
      <c r="D570" s="38"/>
      <c r="E570" s="38"/>
      <c r="F570" s="39"/>
      <c r="G570" s="40"/>
      <c r="H570" s="38" t="e">
        <f>MONTH(Libro_Diario[[#This Row],[Fecha]])</f>
        <v>#VALUE!</v>
      </c>
      <c r="I570" s="38" t="e">
        <f>YEAR(Libro_Diario[[#This Row],[Fecha]])</f>
        <v>#VALUE!</v>
      </c>
    </row>
    <row r="571" spans="3:9" x14ac:dyDescent="0.3">
      <c r="C571" s="37"/>
      <c r="D571" s="38"/>
      <c r="E571" s="38"/>
      <c r="F571" s="39"/>
      <c r="G571" s="40"/>
      <c r="H571" s="38" t="e">
        <f>MONTH(Libro_Diario[[#This Row],[Fecha]])</f>
        <v>#VALUE!</v>
      </c>
      <c r="I571" s="38" t="e">
        <f>YEAR(Libro_Diario[[#This Row],[Fecha]])</f>
        <v>#VALUE!</v>
      </c>
    </row>
    <row r="572" spans="3:9" x14ac:dyDescent="0.3">
      <c r="C572" s="37"/>
      <c r="D572" s="38"/>
      <c r="E572" s="38"/>
      <c r="F572" s="39"/>
      <c r="G572" s="40"/>
      <c r="H572" s="38" t="e">
        <f>MONTH(Libro_Diario[[#This Row],[Fecha]])</f>
        <v>#VALUE!</v>
      </c>
      <c r="I572" s="38" t="e">
        <f>YEAR(Libro_Diario[[#This Row],[Fecha]])</f>
        <v>#VALUE!</v>
      </c>
    </row>
    <row r="573" spans="3:9" x14ac:dyDescent="0.3">
      <c r="C573" s="37"/>
      <c r="D573" s="38"/>
      <c r="E573" s="38"/>
      <c r="F573" s="39"/>
      <c r="G573" s="40"/>
      <c r="H573" s="38" t="e">
        <f>MONTH(Libro_Diario[[#This Row],[Fecha]])</f>
        <v>#VALUE!</v>
      </c>
      <c r="I573" s="38" t="e">
        <f>YEAR(Libro_Diario[[#This Row],[Fecha]])</f>
        <v>#VALUE!</v>
      </c>
    </row>
    <row r="574" spans="3:9" x14ac:dyDescent="0.3">
      <c r="C574" s="37"/>
      <c r="D574" s="38"/>
      <c r="E574" s="38"/>
      <c r="F574" s="39"/>
      <c r="G574" s="40"/>
      <c r="H574" s="38" t="e">
        <f>MONTH(Libro_Diario[[#This Row],[Fecha]])</f>
        <v>#VALUE!</v>
      </c>
      <c r="I574" s="38" t="e">
        <f>YEAR(Libro_Diario[[#This Row],[Fecha]])</f>
        <v>#VALUE!</v>
      </c>
    </row>
    <row r="575" spans="3:9" x14ac:dyDescent="0.3">
      <c r="C575" s="37"/>
      <c r="D575" s="38"/>
      <c r="E575" s="38"/>
      <c r="F575" s="39"/>
      <c r="G575" s="40"/>
      <c r="H575" s="38" t="e">
        <f>MONTH(Libro_Diario[[#This Row],[Fecha]])</f>
        <v>#VALUE!</v>
      </c>
      <c r="I575" s="38" t="e">
        <f>YEAR(Libro_Diario[[#This Row],[Fecha]])</f>
        <v>#VALUE!</v>
      </c>
    </row>
    <row r="576" spans="3:9" x14ac:dyDescent="0.3">
      <c r="C576" s="37"/>
      <c r="D576" s="38"/>
      <c r="E576" s="38"/>
      <c r="F576" s="39"/>
      <c r="G576" s="40"/>
      <c r="H576" s="38" t="e">
        <f>MONTH(Libro_Diario[[#This Row],[Fecha]])</f>
        <v>#VALUE!</v>
      </c>
      <c r="I576" s="38" t="e">
        <f>YEAR(Libro_Diario[[#This Row],[Fecha]])</f>
        <v>#VALUE!</v>
      </c>
    </row>
    <row r="577" spans="3:9" x14ac:dyDescent="0.3">
      <c r="C577" s="37"/>
      <c r="D577" s="38"/>
      <c r="E577" s="38"/>
      <c r="F577" s="39"/>
      <c r="G577" s="40"/>
      <c r="H577" s="38" t="e">
        <f>MONTH(Libro_Diario[[#This Row],[Fecha]])</f>
        <v>#VALUE!</v>
      </c>
      <c r="I577" s="38" t="e">
        <f>YEAR(Libro_Diario[[#This Row],[Fecha]])</f>
        <v>#VALUE!</v>
      </c>
    </row>
    <row r="578" spans="3:9" x14ac:dyDescent="0.3">
      <c r="C578" s="37"/>
      <c r="D578" s="38"/>
      <c r="E578" s="38"/>
      <c r="F578" s="39"/>
      <c r="G578" s="40"/>
      <c r="H578" s="38" t="e">
        <f>MONTH(Libro_Diario[[#This Row],[Fecha]])</f>
        <v>#VALUE!</v>
      </c>
      <c r="I578" s="38" t="e">
        <f>YEAR(Libro_Diario[[#This Row],[Fecha]])</f>
        <v>#VALUE!</v>
      </c>
    </row>
    <row r="579" spans="3:9" x14ac:dyDescent="0.3">
      <c r="C579" s="37"/>
      <c r="D579" s="38"/>
      <c r="E579" s="38"/>
      <c r="F579" s="39"/>
      <c r="G579" s="40"/>
      <c r="H579" s="38" t="e">
        <f>MONTH(Libro_Diario[[#This Row],[Fecha]])</f>
        <v>#VALUE!</v>
      </c>
      <c r="I579" s="38" t="e">
        <f>YEAR(Libro_Diario[[#This Row],[Fecha]])</f>
        <v>#VALUE!</v>
      </c>
    </row>
    <row r="580" spans="3:9" x14ac:dyDescent="0.3">
      <c r="C580" s="37"/>
      <c r="D580" s="38"/>
      <c r="E580" s="38"/>
      <c r="F580" s="39"/>
      <c r="G580" s="40"/>
      <c r="H580" s="38" t="e">
        <f>MONTH(Libro_Diario[[#This Row],[Fecha]])</f>
        <v>#VALUE!</v>
      </c>
      <c r="I580" s="38" t="e">
        <f>YEAR(Libro_Diario[[#This Row],[Fecha]])</f>
        <v>#VALUE!</v>
      </c>
    </row>
    <row r="581" spans="3:9" x14ac:dyDescent="0.3">
      <c r="C581" s="37"/>
      <c r="D581" s="38"/>
      <c r="E581" s="38"/>
      <c r="F581" s="39"/>
      <c r="G581" s="40"/>
      <c r="H581" s="38" t="e">
        <f>MONTH(Libro_Diario[[#This Row],[Fecha]])</f>
        <v>#VALUE!</v>
      </c>
      <c r="I581" s="38" t="e">
        <f>YEAR(Libro_Diario[[#This Row],[Fecha]])</f>
        <v>#VALUE!</v>
      </c>
    </row>
    <row r="582" spans="3:9" x14ac:dyDescent="0.3">
      <c r="C582" s="37"/>
      <c r="D582" s="38"/>
      <c r="E582" s="38"/>
      <c r="F582" s="39"/>
      <c r="G582" s="40"/>
      <c r="H582" s="38" t="e">
        <f>MONTH(Libro_Diario[[#This Row],[Fecha]])</f>
        <v>#VALUE!</v>
      </c>
      <c r="I582" s="38" t="e">
        <f>YEAR(Libro_Diario[[#This Row],[Fecha]])</f>
        <v>#VALUE!</v>
      </c>
    </row>
    <row r="583" spans="3:9" x14ac:dyDescent="0.3">
      <c r="C583" s="37"/>
      <c r="D583" s="38"/>
      <c r="E583" s="38"/>
      <c r="F583" s="39"/>
      <c r="G583" s="40"/>
      <c r="H583" s="38" t="e">
        <f>MONTH(Libro_Diario[[#This Row],[Fecha]])</f>
        <v>#VALUE!</v>
      </c>
      <c r="I583" s="38" t="e">
        <f>YEAR(Libro_Diario[[#This Row],[Fecha]])</f>
        <v>#VALUE!</v>
      </c>
    </row>
    <row r="584" spans="3:9" x14ac:dyDescent="0.3">
      <c r="C584" s="37"/>
      <c r="D584" s="38"/>
      <c r="E584" s="38"/>
      <c r="F584" s="39"/>
      <c r="G584" s="40"/>
      <c r="H584" s="38" t="e">
        <f>MONTH(Libro_Diario[[#This Row],[Fecha]])</f>
        <v>#VALUE!</v>
      </c>
      <c r="I584" s="38" t="e">
        <f>YEAR(Libro_Diario[[#This Row],[Fecha]])</f>
        <v>#VALUE!</v>
      </c>
    </row>
    <row r="585" spans="3:9" x14ac:dyDescent="0.3">
      <c r="C585" s="37"/>
      <c r="D585" s="38"/>
      <c r="E585" s="38"/>
      <c r="F585" s="39"/>
      <c r="G585" s="40"/>
      <c r="H585" s="38" t="e">
        <f>MONTH(Libro_Diario[[#This Row],[Fecha]])</f>
        <v>#VALUE!</v>
      </c>
      <c r="I585" s="38" t="e">
        <f>YEAR(Libro_Diario[[#This Row],[Fecha]])</f>
        <v>#VALUE!</v>
      </c>
    </row>
    <row r="586" spans="3:9" x14ac:dyDescent="0.3">
      <c r="C586" s="37"/>
      <c r="D586" s="38"/>
      <c r="E586" s="38"/>
      <c r="F586" s="39"/>
      <c r="G586" s="40"/>
      <c r="H586" s="38" t="e">
        <f>MONTH(Libro_Diario[[#This Row],[Fecha]])</f>
        <v>#VALUE!</v>
      </c>
      <c r="I586" s="38" t="e">
        <f>YEAR(Libro_Diario[[#This Row],[Fecha]])</f>
        <v>#VALUE!</v>
      </c>
    </row>
    <row r="587" spans="3:9" x14ac:dyDescent="0.3">
      <c r="C587" s="37"/>
      <c r="D587" s="38"/>
      <c r="E587" s="38"/>
      <c r="F587" s="39"/>
      <c r="G587" s="40"/>
      <c r="H587" s="38" t="e">
        <f>MONTH(Libro_Diario[[#This Row],[Fecha]])</f>
        <v>#VALUE!</v>
      </c>
      <c r="I587" s="38" t="e">
        <f>YEAR(Libro_Diario[[#This Row],[Fecha]])</f>
        <v>#VALUE!</v>
      </c>
    </row>
    <row r="588" spans="3:9" x14ac:dyDescent="0.3">
      <c r="C588" s="37"/>
      <c r="D588" s="38"/>
      <c r="E588" s="38"/>
      <c r="F588" s="39"/>
      <c r="G588" s="40"/>
      <c r="H588" s="38" t="e">
        <f>MONTH(Libro_Diario[[#This Row],[Fecha]])</f>
        <v>#VALUE!</v>
      </c>
      <c r="I588" s="38" t="e">
        <f>YEAR(Libro_Diario[[#This Row],[Fecha]])</f>
        <v>#VALUE!</v>
      </c>
    </row>
    <row r="589" spans="3:9" x14ac:dyDescent="0.3">
      <c r="C589" s="37"/>
      <c r="D589" s="38"/>
      <c r="E589" s="38"/>
      <c r="F589" s="39"/>
      <c r="G589" s="40"/>
      <c r="H589" s="38" t="e">
        <f>MONTH(Libro_Diario[[#This Row],[Fecha]])</f>
        <v>#VALUE!</v>
      </c>
      <c r="I589" s="38" t="e">
        <f>YEAR(Libro_Diario[[#This Row],[Fecha]])</f>
        <v>#VALUE!</v>
      </c>
    </row>
    <row r="590" spans="3:9" x14ac:dyDescent="0.3">
      <c r="C590" s="37"/>
      <c r="D590" s="38"/>
      <c r="E590" s="38"/>
      <c r="F590" s="39"/>
      <c r="G590" s="40"/>
      <c r="H590" s="38" t="e">
        <f>MONTH(Libro_Diario[[#This Row],[Fecha]])</f>
        <v>#VALUE!</v>
      </c>
      <c r="I590" s="38" t="e">
        <f>YEAR(Libro_Diario[[#This Row],[Fecha]])</f>
        <v>#VALUE!</v>
      </c>
    </row>
    <row r="591" spans="3:9" x14ac:dyDescent="0.3">
      <c r="C591" s="37"/>
      <c r="D591" s="38"/>
      <c r="E591" s="38"/>
      <c r="F591" s="39"/>
      <c r="G591" s="40"/>
      <c r="H591" s="38" t="e">
        <f>MONTH(Libro_Diario[[#This Row],[Fecha]])</f>
        <v>#VALUE!</v>
      </c>
      <c r="I591" s="38" t="e">
        <f>YEAR(Libro_Diario[[#This Row],[Fecha]])</f>
        <v>#VALUE!</v>
      </c>
    </row>
    <row r="592" spans="3:9" x14ac:dyDescent="0.3">
      <c r="C592" s="37"/>
      <c r="D592" s="38"/>
      <c r="E592" s="38"/>
      <c r="F592" s="39"/>
      <c r="G592" s="40"/>
      <c r="H592" s="38" t="e">
        <f>MONTH(Libro_Diario[[#This Row],[Fecha]])</f>
        <v>#VALUE!</v>
      </c>
      <c r="I592" s="38" t="e">
        <f>YEAR(Libro_Diario[[#This Row],[Fecha]])</f>
        <v>#VALUE!</v>
      </c>
    </row>
    <row r="593" spans="3:9" x14ac:dyDescent="0.3">
      <c r="C593" s="37"/>
      <c r="D593" s="38"/>
      <c r="E593" s="38"/>
      <c r="F593" s="39"/>
      <c r="G593" s="40"/>
      <c r="H593" s="38" t="e">
        <f>MONTH(Libro_Diario[[#This Row],[Fecha]])</f>
        <v>#VALUE!</v>
      </c>
      <c r="I593" s="38" t="e">
        <f>YEAR(Libro_Diario[[#This Row],[Fecha]])</f>
        <v>#VALUE!</v>
      </c>
    </row>
    <row r="594" spans="3:9" x14ac:dyDescent="0.3">
      <c r="C594" s="37"/>
      <c r="D594" s="38"/>
      <c r="E594" s="38"/>
      <c r="F594" s="39"/>
      <c r="G594" s="40"/>
      <c r="H594" s="38" t="e">
        <f>MONTH(Libro_Diario[[#This Row],[Fecha]])</f>
        <v>#VALUE!</v>
      </c>
      <c r="I594" s="38" t="e">
        <f>YEAR(Libro_Diario[[#This Row],[Fecha]])</f>
        <v>#VALUE!</v>
      </c>
    </row>
    <row r="595" spans="3:9" x14ac:dyDescent="0.3">
      <c r="C595" s="37"/>
      <c r="D595" s="38"/>
      <c r="E595" s="38"/>
      <c r="F595" s="39"/>
      <c r="G595" s="40"/>
      <c r="H595" s="38" t="e">
        <f>MONTH(Libro_Diario[[#This Row],[Fecha]])</f>
        <v>#VALUE!</v>
      </c>
      <c r="I595" s="38" t="e">
        <f>YEAR(Libro_Diario[[#This Row],[Fecha]])</f>
        <v>#VALUE!</v>
      </c>
    </row>
    <row r="596" spans="3:9" x14ac:dyDescent="0.3">
      <c r="C596" s="37"/>
      <c r="D596" s="38"/>
      <c r="E596" s="38"/>
      <c r="F596" s="39"/>
      <c r="G596" s="40"/>
      <c r="H596" s="38" t="e">
        <f>MONTH(Libro_Diario[[#This Row],[Fecha]])</f>
        <v>#VALUE!</v>
      </c>
      <c r="I596" s="38" t="e">
        <f>YEAR(Libro_Diario[[#This Row],[Fecha]])</f>
        <v>#VALUE!</v>
      </c>
    </row>
    <row r="597" spans="3:9" x14ac:dyDescent="0.3">
      <c r="C597" s="37"/>
      <c r="D597" s="38"/>
      <c r="E597" s="38"/>
      <c r="F597" s="39"/>
      <c r="G597" s="40"/>
      <c r="H597" s="38" t="e">
        <f>MONTH(Libro_Diario[[#This Row],[Fecha]])</f>
        <v>#VALUE!</v>
      </c>
      <c r="I597" s="38" t="e">
        <f>YEAR(Libro_Diario[[#This Row],[Fecha]])</f>
        <v>#VALUE!</v>
      </c>
    </row>
    <row r="598" spans="3:9" x14ac:dyDescent="0.3">
      <c r="C598" s="37"/>
      <c r="D598" s="38"/>
      <c r="E598" s="38"/>
      <c r="F598" s="39"/>
      <c r="G598" s="40"/>
      <c r="H598" s="38" t="e">
        <f>MONTH(Libro_Diario[[#This Row],[Fecha]])</f>
        <v>#VALUE!</v>
      </c>
      <c r="I598" s="38" t="e">
        <f>YEAR(Libro_Diario[[#This Row],[Fecha]])</f>
        <v>#VALUE!</v>
      </c>
    </row>
    <row r="599" spans="3:9" x14ac:dyDescent="0.3">
      <c r="C599" s="37"/>
      <c r="D599" s="38"/>
      <c r="E599" s="38"/>
      <c r="F599" s="39"/>
      <c r="G599" s="40"/>
      <c r="H599" s="38" t="e">
        <f>MONTH(Libro_Diario[[#This Row],[Fecha]])</f>
        <v>#VALUE!</v>
      </c>
      <c r="I599" s="38" t="e">
        <f>YEAR(Libro_Diario[[#This Row],[Fecha]])</f>
        <v>#VALUE!</v>
      </c>
    </row>
    <row r="600" spans="3:9" x14ac:dyDescent="0.3">
      <c r="C600" s="37"/>
      <c r="D600" s="38"/>
      <c r="E600" s="38"/>
      <c r="F600" s="39"/>
      <c r="G600" s="40"/>
      <c r="H600" s="38" t="e">
        <f>MONTH(Libro_Diario[[#This Row],[Fecha]])</f>
        <v>#VALUE!</v>
      </c>
      <c r="I600" s="38" t="e">
        <f>YEAR(Libro_Diario[[#This Row],[Fecha]])</f>
        <v>#VALUE!</v>
      </c>
    </row>
    <row r="601" spans="3:9" x14ac:dyDescent="0.3">
      <c r="C601" s="37"/>
      <c r="D601" s="38"/>
      <c r="E601" s="38"/>
      <c r="F601" s="39"/>
      <c r="G601" s="40"/>
      <c r="H601" s="38" t="e">
        <f>MONTH(Libro_Diario[[#This Row],[Fecha]])</f>
        <v>#VALUE!</v>
      </c>
      <c r="I601" s="38" t="e">
        <f>YEAR(Libro_Diario[[#This Row],[Fecha]])</f>
        <v>#VALUE!</v>
      </c>
    </row>
    <row r="602" spans="3:9" x14ac:dyDescent="0.3">
      <c r="C602" s="37"/>
      <c r="D602" s="38"/>
      <c r="E602" s="38"/>
      <c r="F602" s="39"/>
      <c r="G602" s="40"/>
      <c r="H602" s="38" t="e">
        <f>MONTH(Libro_Diario[[#This Row],[Fecha]])</f>
        <v>#VALUE!</v>
      </c>
      <c r="I602" s="38" t="e">
        <f>YEAR(Libro_Diario[[#This Row],[Fecha]])</f>
        <v>#VALUE!</v>
      </c>
    </row>
    <row r="603" spans="3:9" x14ac:dyDescent="0.3">
      <c r="C603" s="37"/>
      <c r="D603" s="38"/>
      <c r="E603" s="38"/>
      <c r="F603" s="39"/>
      <c r="G603" s="40"/>
      <c r="H603" s="38" t="e">
        <f>MONTH(Libro_Diario[[#This Row],[Fecha]])</f>
        <v>#VALUE!</v>
      </c>
      <c r="I603" s="38" t="e">
        <f>YEAR(Libro_Diario[[#This Row],[Fecha]])</f>
        <v>#VALUE!</v>
      </c>
    </row>
    <row r="604" spans="3:9" x14ac:dyDescent="0.3">
      <c r="C604" s="37"/>
      <c r="D604" s="38"/>
      <c r="E604" s="38"/>
      <c r="F604" s="39"/>
      <c r="G604" s="40"/>
      <c r="H604" s="38" t="e">
        <f>MONTH(Libro_Diario[[#This Row],[Fecha]])</f>
        <v>#VALUE!</v>
      </c>
      <c r="I604" s="38" t="e">
        <f>YEAR(Libro_Diario[[#This Row],[Fecha]])</f>
        <v>#VALUE!</v>
      </c>
    </row>
    <row r="605" spans="3:9" x14ac:dyDescent="0.3">
      <c r="C605" s="37"/>
      <c r="D605" s="38"/>
      <c r="E605" s="38"/>
      <c r="F605" s="39"/>
      <c r="G605" s="40"/>
      <c r="H605" s="38" t="e">
        <f>MONTH(Libro_Diario[[#This Row],[Fecha]])</f>
        <v>#VALUE!</v>
      </c>
      <c r="I605" s="38" t="e">
        <f>YEAR(Libro_Diario[[#This Row],[Fecha]])</f>
        <v>#VALUE!</v>
      </c>
    </row>
    <row r="606" spans="3:9" x14ac:dyDescent="0.3">
      <c r="C606" s="37"/>
      <c r="D606" s="38"/>
      <c r="E606" s="38"/>
      <c r="F606" s="39"/>
      <c r="G606" s="40"/>
      <c r="H606" s="38" t="e">
        <f>MONTH(Libro_Diario[[#This Row],[Fecha]])</f>
        <v>#VALUE!</v>
      </c>
      <c r="I606" s="38" t="e">
        <f>YEAR(Libro_Diario[[#This Row],[Fecha]])</f>
        <v>#VALUE!</v>
      </c>
    </row>
    <row r="607" spans="3:9" x14ac:dyDescent="0.3">
      <c r="C607" s="37"/>
      <c r="D607" s="38"/>
      <c r="E607" s="38"/>
      <c r="F607" s="39"/>
      <c r="G607" s="40"/>
      <c r="H607" s="38" t="e">
        <f>MONTH(Libro_Diario[[#This Row],[Fecha]])</f>
        <v>#VALUE!</v>
      </c>
      <c r="I607" s="38" t="e">
        <f>YEAR(Libro_Diario[[#This Row],[Fecha]])</f>
        <v>#VALUE!</v>
      </c>
    </row>
    <row r="608" spans="3:9" x14ac:dyDescent="0.3">
      <c r="C608" s="37"/>
      <c r="D608" s="38"/>
      <c r="E608" s="38"/>
      <c r="F608" s="39"/>
      <c r="G608" s="40"/>
      <c r="H608" s="38" t="e">
        <f>MONTH(Libro_Diario[[#This Row],[Fecha]])</f>
        <v>#VALUE!</v>
      </c>
      <c r="I608" s="38" t="e">
        <f>YEAR(Libro_Diario[[#This Row],[Fecha]])</f>
        <v>#VALUE!</v>
      </c>
    </row>
    <row r="609" spans="3:9" x14ac:dyDescent="0.3">
      <c r="C609" s="37"/>
      <c r="D609" s="38"/>
      <c r="E609" s="38"/>
      <c r="F609" s="39"/>
      <c r="G609" s="40"/>
      <c r="H609" s="38" t="e">
        <f>MONTH(Libro_Diario[[#This Row],[Fecha]])</f>
        <v>#VALUE!</v>
      </c>
      <c r="I609" s="38" t="e">
        <f>YEAR(Libro_Diario[[#This Row],[Fecha]])</f>
        <v>#VALUE!</v>
      </c>
    </row>
    <row r="610" spans="3:9" x14ac:dyDescent="0.3">
      <c r="C610" s="37"/>
      <c r="D610" s="38"/>
      <c r="E610" s="38"/>
      <c r="F610" s="39"/>
      <c r="G610" s="40"/>
      <c r="H610" s="38" t="e">
        <f>MONTH(Libro_Diario[[#This Row],[Fecha]])</f>
        <v>#VALUE!</v>
      </c>
      <c r="I610" s="38" t="e">
        <f>YEAR(Libro_Diario[[#This Row],[Fecha]])</f>
        <v>#VALUE!</v>
      </c>
    </row>
    <row r="611" spans="3:9" x14ac:dyDescent="0.3">
      <c r="C611" s="37"/>
      <c r="D611" s="38"/>
      <c r="E611" s="38"/>
      <c r="F611" s="39"/>
      <c r="G611" s="40"/>
      <c r="H611" s="38" t="e">
        <f>MONTH(Libro_Diario[[#This Row],[Fecha]])</f>
        <v>#VALUE!</v>
      </c>
      <c r="I611" s="38" t="e">
        <f>YEAR(Libro_Diario[[#This Row],[Fecha]])</f>
        <v>#VALUE!</v>
      </c>
    </row>
    <row r="612" spans="3:9" x14ac:dyDescent="0.3">
      <c r="C612" s="37"/>
      <c r="D612" s="38"/>
      <c r="E612" s="38"/>
      <c r="F612" s="39"/>
      <c r="G612" s="40"/>
      <c r="H612" s="38" t="e">
        <f>MONTH(Libro_Diario[[#This Row],[Fecha]])</f>
        <v>#VALUE!</v>
      </c>
      <c r="I612" s="38" t="e">
        <f>YEAR(Libro_Diario[[#This Row],[Fecha]])</f>
        <v>#VALUE!</v>
      </c>
    </row>
    <row r="613" spans="3:9" x14ac:dyDescent="0.3">
      <c r="C613" s="37"/>
      <c r="D613" s="38"/>
      <c r="E613" s="38"/>
      <c r="F613" s="39"/>
      <c r="G613" s="40"/>
      <c r="H613" s="38" t="e">
        <f>MONTH(Libro_Diario[[#This Row],[Fecha]])</f>
        <v>#VALUE!</v>
      </c>
      <c r="I613" s="38" t="e">
        <f>YEAR(Libro_Diario[[#This Row],[Fecha]])</f>
        <v>#VALUE!</v>
      </c>
    </row>
    <row r="614" spans="3:9" x14ac:dyDescent="0.3">
      <c r="C614" s="37"/>
      <c r="D614" s="38"/>
      <c r="E614" s="38"/>
      <c r="F614" s="39"/>
      <c r="G614" s="40"/>
      <c r="H614" s="38" t="e">
        <f>MONTH(Libro_Diario[[#This Row],[Fecha]])</f>
        <v>#VALUE!</v>
      </c>
      <c r="I614" s="38" t="e">
        <f>YEAR(Libro_Diario[[#This Row],[Fecha]])</f>
        <v>#VALUE!</v>
      </c>
    </row>
    <row r="615" spans="3:9" x14ac:dyDescent="0.3">
      <c r="C615" s="37"/>
      <c r="D615" s="38"/>
      <c r="E615" s="38"/>
      <c r="F615" s="39"/>
      <c r="G615" s="40"/>
      <c r="H615" s="38" t="e">
        <f>MONTH(Libro_Diario[[#This Row],[Fecha]])</f>
        <v>#VALUE!</v>
      </c>
      <c r="I615" s="38" t="e">
        <f>YEAR(Libro_Diario[[#This Row],[Fecha]])</f>
        <v>#VALUE!</v>
      </c>
    </row>
    <row r="616" spans="3:9" x14ac:dyDescent="0.3">
      <c r="C616" s="37"/>
      <c r="D616" s="38"/>
      <c r="E616" s="38"/>
      <c r="F616" s="39"/>
      <c r="G616" s="40"/>
      <c r="H616" s="38" t="e">
        <f>MONTH(Libro_Diario[[#This Row],[Fecha]])</f>
        <v>#VALUE!</v>
      </c>
      <c r="I616" s="38" t="e">
        <f>YEAR(Libro_Diario[[#This Row],[Fecha]])</f>
        <v>#VALUE!</v>
      </c>
    </row>
    <row r="617" spans="3:9" x14ac:dyDescent="0.3">
      <c r="C617" s="37"/>
      <c r="D617" s="38"/>
      <c r="E617" s="38"/>
      <c r="F617" s="39"/>
      <c r="G617" s="40"/>
      <c r="H617" s="38" t="e">
        <f>MONTH(Libro_Diario[[#This Row],[Fecha]])</f>
        <v>#VALUE!</v>
      </c>
      <c r="I617" s="38" t="e">
        <f>YEAR(Libro_Diario[[#This Row],[Fecha]])</f>
        <v>#VALUE!</v>
      </c>
    </row>
    <row r="618" spans="3:9" x14ac:dyDescent="0.3">
      <c r="C618" s="37"/>
      <c r="D618" s="38"/>
      <c r="E618" s="38"/>
      <c r="F618" s="39"/>
      <c r="G618" s="40"/>
      <c r="H618" s="38" t="e">
        <f>MONTH(Libro_Diario[[#This Row],[Fecha]])</f>
        <v>#VALUE!</v>
      </c>
      <c r="I618" s="38" t="e">
        <f>YEAR(Libro_Diario[[#This Row],[Fecha]])</f>
        <v>#VALUE!</v>
      </c>
    </row>
    <row r="619" spans="3:9" x14ac:dyDescent="0.3">
      <c r="C619" s="37"/>
      <c r="D619" s="38"/>
      <c r="E619" s="38"/>
      <c r="F619" s="39"/>
      <c r="G619" s="40"/>
      <c r="H619" s="38" t="e">
        <f>MONTH(Libro_Diario[[#This Row],[Fecha]])</f>
        <v>#VALUE!</v>
      </c>
      <c r="I619" s="38" t="e">
        <f>YEAR(Libro_Diario[[#This Row],[Fecha]])</f>
        <v>#VALUE!</v>
      </c>
    </row>
    <row r="620" spans="3:9" x14ac:dyDescent="0.3">
      <c r="C620" s="37"/>
      <c r="D620" s="38"/>
      <c r="E620" s="38"/>
      <c r="F620" s="39"/>
      <c r="G620" s="40"/>
      <c r="H620" s="38" t="e">
        <f>MONTH(Libro_Diario[[#This Row],[Fecha]])</f>
        <v>#VALUE!</v>
      </c>
      <c r="I620" s="38" t="e">
        <f>YEAR(Libro_Diario[[#This Row],[Fecha]])</f>
        <v>#VALUE!</v>
      </c>
    </row>
    <row r="621" spans="3:9" x14ac:dyDescent="0.3">
      <c r="C621" s="37"/>
      <c r="D621" s="38"/>
      <c r="E621" s="38"/>
      <c r="F621" s="39"/>
      <c r="G621" s="40"/>
      <c r="H621" s="38" t="e">
        <f>MONTH(Libro_Diario[[#This Row],[Fecha]])</f>
        <v>#VALUE!</v>
      </c>
      <c r="I621" s="38" t="e">
        <f>YEAR(Libro_Diario[[#This Row],[Fecha]])</f>
        <v>#VALUE!</v>
      </c>
    </row>
    <row r="622" spans="3:9" x14ac:dyDescent="0.3">
      <c r="C622" s="37"/>
      <c r="D622" s="38"/>
      <c r="E622" s="38"/>
      <c r="F622" s="39"/>
      <c r="G622" s="40"/>
      <c r="H622" s="38" t="e">
        <f>MONTH(Libro_Diario[[#This Row],[Fecha]])</f>
        <v>#VALUE!</v>
      </c>
      <c r="I622" s="38" t="e">
        <f>YEAR(Libro_Diario[[#This Row],[Fecha]])</f>
        <v>#VALUE!</v>
      </c>
    </row>
    <row r="623" spans="3:9" x14ac:dyDescent="0.3">
      <c r="C623" s="37"/>
      <c r="D623" s="38"/>
      <c r="E623" s="38"/>
      <c r="F623" s="39"/>
      <c r="G623" s="40"/>
      <c r="H623" s="38" t="e">
        <f>MONTH(Libro_Diario[[#This Row],[Fecha]])</f>
        <v>#VALUE!</v>
      </c>
      <c r="I623" s="38" t="e">
        <f>YEAR(Libro_Diario[[#This Row],[Fecha]])</f>
        <v>#VALUE!</v>
      </c>
    </row>
    <row r="624" spans="3:9" x14ac:dyDescent="0.3">
      <c r="C624" s="37"/>
      <c r="D624" s="38"/>
      <c r="E624" s="38"/>
      <c r="F624" s="39"/>
      <c r="G624" s="40"/>
      <c r="H624" s="38" t="e">
        <f>MONTH(Libro_Diario[[#This Row],[Fecha]])</f>
        <v>#VALUE!</v>
      </c>
      <c r="I624" s="38" t="e">
        <f>YEAR(Libro_Diario[[#This Row],[Fecha]])</f>
        <v>#VALUE!</v>
      </c>
    </row>
    <row r="625" spans="3:9" x14ac:dyDescent="0.3">
      <c r="C625" s="37"/>
      <c r="D625" s="38"/>
      <c r="E625" s="38"/>
      <c r="F625" s="39"/>
      <c r="G625" s="40"/>
      <c r="H625" s="38" t="e">
        <f>MONTH(Libro_Diario[[#This Row],[Fecha]])</f>
        <v>#VALUE!</v>
      </c>
      <c r="I625" s="38" t="e">
        <f>YEAR(Libro_Diario[[#This Row],[Fecha]])</f>
        <v>#VALUE!</v>
      </c>
    </row>
    <row r="626" spans="3:9" x14ac:dyDescent="0.3">
      <c r="C626" s="37"/>
      <c r="D626" s="38"/>
      <c r="E626" s="38"/>
      <c r="F626" s="39"/>
      <c r="G626" s="40"/>
      <c r="H626" s="38" t="e">
        <f>MONTH(Libro_Diario[[#This Row],[Fecha]])</f>
        <v>#VALUE!</v>
      </c>
      <c r="I626" s="38" t="e">
        <f>YEAR(Libro_Diario[[#This Row],[Fecha]])</f>
        <v>#VALUE!</v>
      </c>
    </row>
    <row r="627" spans="3:9" x14ac:dyDescent="0.3">
      <c r="C627" s="37"/>
      <c r="D627" s="38"/>
      <c r="E627" s="38"/>
      <c r="F627" s="39"/>
      <c r="G627" s="40"/>
      <c r="H627" s="38" t="e">
        <f>MONTH(Libro_Diario[[#This Row],[Fecha]])</f>
        <v>#VALUE!</v>
      </c>
      <c r="I627" s="38" t="e">
        <f>YEAR(Libro_Diario[[#This Row],[Fecha]])</f>
        <v>#VALUE!</v>
      </c>
    </row>
    <row r="628" spans="3:9" x14ac:dyDescent="0.3">
      <c r="C628" s="37"/>
      <c r="D628" s="38"/>
      <c r="E628" s="38"/>
      <c r="F628" s="39"/>
      <c r="G628" s="40"/>
      <c r="H628" s="38" t="e">
        <f>MONTH(Libro_Diario[[#This Row],[Fecha]])</f>
        <v>#VALUE!</v>
      </c>
      <c r="I628" s="38" t="e">
        <f>YEAR(Libro_Diario[[#This Row],[Fecha]])</f>
        <v>#VALUE!</v>
      </c>
    </row>
    <row r="629" spans="3:9" x14ac:dyDescent="0.3">
      <c r="C629" s="37"/>
      <c r="D629" s="38"/>
      <c r="E629" s="38"/>
      <c r="F629" s="39"/>
      <c r="G629" s="40"/>
      <c r="H629" s="38" t="e">
        <f>MONTH(Libro_Diario[[#This Row],[Fecha]])</f>
        <v>#VALUE!</v>
      </c>
      <c r="I629" s="38" t="e">
        <f>YEAR(Libro_Diario[[#This Row],[Fecha]])</f>
        <v>#VALUE!</v>
      </c>
    </row>
    <row r="630" spans="3:9" x14ac:dyDescent="0.3">
      <c r="C630" s="37"/>
      <c r="D630" s="38"/>
      <c r="E630" s="38"/>
      <c r="F630" s="39"/>
      <c r="G630" s="40"/>
      <c r="H630" s="38" t="e">
        <f>MONTH(Libro_Diario[[#This Row],[Fecha]])</f>
        <v>#VALUE!</v>
      </c>
      <c r="I630" s="38" t="e">
        <f>YEAR(Libro_Diario[[#This Row],[Fecha]])</f>
        <v>#VALUE!</v>
      </c>
    </row>
    <row r="631" spans="3:9" x14ac:dyDescent="0.3">
      <c r="C631" s="37"/>
      <c r="D631" s="38"/>
      <c r="E631" s="38"/>
      <c r="F631" s="39"/>
      <c r="G631" s="40"/>
      <c r="H631" s="38" t="e">
        <f>MONTH(Libro_Diario[[#This Row],[Fecha]])</f>
        <v>#VALUE!</v>
      </c>
      <c r="I631" s="38" t="e">
        <f>YEAR(Libro_Diario[[#This Row],[Fecha]])</f>
        <v>#VALUE!</v>
      </c>
    </row>
    <row r="632" spans="3:9" x14ac:dyDescent="0.3">
      <c r="C632" s="37"/>
      <c r="D632" s="38"/>
      <c r="E632" s="38"/>
      <c r="F632" s="39"/>
      <c r="G632" s="40"/>
      <c r="H632" s="38" t="e">
        <f>MONTH(Libro_Diario[[#This Row],[Fecha]])</f>
        <v>#VALUE!</v>
      </c>
      <c r="I632" s="38" t="e">
        <f>YEAR(Libro_Diario[[#This Row],[Fecha]])</f>
        <v>#VALUE!</v>
      </c>
    </row>
    <row r="633" spans="3:9" x14ac:dyDescent="0.3">
      <c r="C633" s="37"/>
      <c r="D633" s="38"/>
      <c r="E633" s="38"/>
      <c r="F633" s="39"/>
      <c r="G633" s="40"/>
      <c r="H633" s="38" t="e">
        <f>MONTH(Libro_Diario[[#This Row],[Fecha]])</f>
        <v>#VALUE!</v>
      </c>
      <c r="I633" s="38" t="e">
        <f>YEAR(Libro_Diario[[#This Row],[Fecha]])</f>
        <v>#VALUE!</v>
      </c>
    </row>
    <row r="634" spans="3:9" x14ac:dyDescent="0.3">
      <c r="C634" s="37"/>
      <c r="D634" s="38"/>
      <c r="E634" s="38"/>
      <c r="F634" s="39"/>
      <c r="G634" s="40"/>
      <c r="H634" s="38" t="e">
        <f>MONTH(Libro_Diario[[#This Row],[Fecha]])</f>
        <v>#VALUE!</v>
      </c>
      <c r="I634" s="38" t="e">
        <f>YEAR(Libro_Diario[[#This Row],[Fecha]])</f>
        <v>#VALUE!</v>
      </c>
    </row>
    <row r="635" spans="3:9" x14ac:dyDescent="0.3">
      <c r="C635" s="37"/>
      <c r="D635" s="38"/>
      <c r="E635" s="38"/>
      <c r="F635" s="39"/>
      <c r="G635" s="40"/>
      <c r="H635" s="38" t="e">
        <f>MONTH(Libro_Diario[[#This Row],[Fecha]])</f>
        <v>#VALUE!</v>
      </c>
      <c r="I635" s="38" t="e">
        <f>YEAR(Libro_Diario[[#This Row],[Fecha]])</f>
        <v>#VALUE!</v>
      </c>
    </row>
    <row r="636" spans="3:9" x14ac:dyDescent="0.3">
      <c r="C636" s="37"/>
      <c r="D636" s="38"/>
      <c r="E636" s="38"/>
      <c r="F636" s="39"/>
      <c r="G636" s="40"/>
      <c r="H636" s="38" t="e">
        <f>MONTH(Libro_Diario[[#This Row],[Fecha]])</f>
        <v>#VALUE!</v>
      </c>
      <c r="I636" s="38" t="e">
        <f>YEAR(Libro_Diario[[#This Row],[Fecha]])</f>
        <v>#VALUE!</v>
      </c>
    </row>
    <row r="637" spans="3:9" x14ac:dyDescent="0.3">
      <c r="C637" s="37"/>
      <c r="D637" s="38"/>
      <c r="E637" s="38"/>
      <c r="F637" s="39"/>
      <c r="G637" s="40"/>
      <c r="H637" s="38" t="e">
        <f>MONTH(Libro_Diario[[#This Row],[Fecha]])</f>
        <v>#VALUE!</v>
      </c>
      <c r="I637" s="38" t="e">
        <f>YEAR(Libro_Diario[[#This Row],[Fecha]])</f>
        <v>#VALUE!</v>
      </c>
    </row>
    <row r="638" spans="3:9" x14ac:dyDescent="0.3">
      <c r="C638" s="37"/>
      <c r="D638" s="38"/>
      <c r="E638" s="38"/>
      <c r="F638" s="39"/>
      <c r="G638" s="40"/>
      <c r="H638" s="38" t="e">
        <f>MONTH(Libro_Diario[[#This Row],[Fecha]])</f>
        <v>#VALUE!</v>
      </c>
      <c r="I638" s="38" t="e">
        <f>YEAR(Libro_Diario[[#This Row],[Fecha]])</f>
        <v>#VALUE!</v>
      </c>
    </row>
    <row r="639" spans="3:9" x14ac:dyDescent="0.3">
      <c r="C639" s="37"/>
      <c r="D639" s="38"/>
      <c r="E639" s="38"/>
      <c r="F639" s="39"/>
      <c r="G639" s="40"/>
      <c r="H639" s="38" t="e">
        <f>MONTH(Libro_Diario[[#This Row],[Fecha]])</f>
        <v>#VALUE!</v>
      </c>
      <c r="I639" s="38" t="e">
        <f>YEAR(Libro_Diario[[#This Row],[Fecha]])</f>
        <v>#VALUE!</v>
      </c>
    </row>
    <row r="640" spans="3:9" x14ac:dyDescent="0.3">
      <c r="C640" s="37"/>
      <c r="D640" s="38"/>
      <c r="E640" s="38"/>
      <c r="F640" s="39"/>
      <c r="G640" s="40"/>
      <c r="H640" s="38" t="e">
        <f>MONTH(Libro_Diario[[#This Row],[Fecha]])</f>
        <v>#VALUE!</v>
      </c>
      <c r="I640" s="38" t="e">
        <f>YEAR(Libro_Diario[[#This Row],[Fecha]])</f>
        <v>#VALUE!</v>
      </c>
    </row>
    <row r="641" spans="3:9" x14ac:dyDescent="0.3">
      <c r="C641" s="37"/>
      <c r="D641" s="38"/>
      <c r="E641" s="38"/>
      <c r="F641" s="39"/>
      <c r="G641" s="40"/>
      <c r="H641" s="38" t="e">
        <f>MONTH(Libro_Diario[[#This Row],[Fecha]])</f>
        <v>#VALUE!</v>
      </c>
      <c r="I641" s="38" t="e">
        <f>YEAR(Libro_Diario[[#This Row],[Fecha]])</f>
        <v>#VALUE!</v>
      </c>
    </row>
    <row r="642" spans="3:9" x14ac:dyDescent="0.3">
      <c r="C642" s="37"/>
      <c r="D642" s="38"/>
      <c r="E642" s="38"/>
      <c r="F642" s="39"/>
      <c r="G642" s="40"/>
      <c r="H642" s="38" t="e">
        <f>MONTH(Libro_Diario[[#This Row],[Fecha]])</f>
        <v>#VALUE!</v>
      </c>
      <c r="I642" s="38" t="e">
        <f>YEAR(Libro_Diario[[#This Row],[Fecha]])</f>
        <v>#VALUE!</v>
      </c>
    </row>
    <row r="643" spans="3:9" x14ac:dyDescent="0.3">
      <c r="C643" s="37"/>
      <c r="D643" s="38"/>
      <c r="E643" s="38"/>
      <c r="F643" s="39"/>
      <c r="G643" s="40"/>
      <c r="H643" s="38" t="e">
        <f>MONTH(Libro_Diario[[#This Row],[Fecha]])</f>
        <v>#VALUE!</v>
      </c>
      <c r="I643" s="38" t="e">
        <f>YEAR(Libro_Diario[[#This Row],[Fecha]])</f>
        <v>#VALUE!</v>
      </c>
    </row>
    <row r="644" spans="3:9" x14ac:dyDescent="0.3">
      <c r="C644" s="37"/>
      <c r="D644" s="38"/>
      <c r="E644" s="38"/>
      <c r="F644" s="39"/>
      <c r="G644" s="40"/>
      <c r="H644" s="38" t="e">
        <f>MONTH(Libro_Diario[[#This Row],[Fecha]])</f>
        <v>#VALUE!</v>
      </c>
      <c r="I644" s="38" t="e">
        <f>YEAR(Libro_Diario[[#This Row],[Fecha]])</f>
        <v>#VALUE!</v>
      </c>
    </row>
    <row r="645" spans="3:9" x14ac:dyDescent="0.3">
      <c r="C645" s="37"/>
      <c r="D645" s="38"/>
      <c r="E645" s="38"/>
      <c r="F645" s="39"/>
      <c r="G645" s="40"/>
      <c r="H645" s="38" t="e">
        <f>MONTH(Libro_Diario[[#This Row],[Fecha]])</f>
        <v>#VALUE!</v>
      </c>
      <c r="I645" s="38" t="e">
        <f>YEAR(Libro_Diario[[#This Row],[Fecha]])</f>
        <v>#VALUE!</v>
      </c>
    </row>
    <row r="646" spans="3:9" x14ac:dyDescent="0.3">
      <c r="C646" s="37"/>
      <c r="D646" s="38"/>
      <c r="E646" s="38"/>
      <c r="F646" s="39"/>
      <c r="G646" s="40"/>
      <c r="H646" s="38" t="e">
        <f>MONTH(Libro_Diario[[#This Row],[Fecha]])</f>
        <v>#VALUE!</v>
      </c>
      <c r="I646" s="38" t="e">
        <f>YEAR(Libro_Diario[[#This Row],[Fecha]])</f>
        <v>#VALUE!</v>
      </c>
    </row>
    <row r="647" spans="3:9" x14ac:dyDescent="0.3">
      <c r="C647" s="37"/>
      <c r="D647" s="38"/>
      <c r="E647" s="38"/>
      <c r="F647" s="39"/>
      <c r="G647" s="40"/>
      <c r="H647" s="38" t="e">
        <f>MONTH(Libro_Diario[[#This Row],[Fecha]])</f>
        <v>#VALUE!</v>
      </c>
      <c r="I647" s="38" t="e">
        <f>YEAR(Libro_Diario[[#This Row],[Fecha]])</f>
        <v>#VALUE!</v>
      </c>
    </row>
    <row r="648" spans="3:9" x14ac:dyDescent="0.3">
      <c r="C648" s="37"/>
      <c r="D648" s="38"/>
      <c r="E648" s="38"/>
      <c r="F648" s="39"/>
      <c r="G648" s="40"/>
      <c r="H648" s="38" t="e">
        <f>MONTH(Libro_Diario[[#This Row],[Fecha]])</f>
        <v>#VALUE!</v>
      </c>
      <c r="I648" s="38" t="e">
        <f>YEAR(Libro_Diario[[#This Row],[Fecha]])</f>
        <v>#VALUE!</v>
      </c>
    </row>
    <row r="649" spans="3:9" x14ac:dyDescent="0.3">
      <c r="C649" s="37"/>
      <c r="D649" s="38"/>
      <c r="E649" s="38"/>
      <c r="F649" s="39"/>
      <c r="G649" s="40"/>
      <c r="H649" s="38" t="e">
        <f>MONTH(Libro_Diario[[#This Row],[Fecha]])</f>
        <v>#VALUE!</v>
      </c>
      <c r="I649" s="38" t="e">
        <f>YEAR(Libro_Diario[[#This Row],[Fecha]])</f>
        <v>#VALUE!</v>
      </c>
    </row>
    <row r="650" spans="3:9" x14ac:dyDescent="0.3">
      <c r="C650" s="37"/>
      <c r="D650" s="38"/>
      <c r="E650" s="38"/>
      <c r="F650" s="39"/>
      <c r="G650" s="40"/>
      <c r="H650" s="38" t="e">
        <f>MONTH(Libro_Diario[[#This Row],[Fecha]])</f>
        <v>#VALUE!</v>
      </c>
      <c r="I650" s="38" t="e">
        <f>YEAR(Libro_Diario[[#This Row],[Fecha]])</f>
        <v>#VALUE!</v>
      </c>
    </row>
    <row r="651" spans="3:9" x14ac:dyDescent="0.3">
      <c r="C651" s="37"/>
      <c r="D651" s="38"/>
      <c r="E651" s="38"/>
      <c r="F651" s="39"/>
      <c r="G651" s="40"/>
      <c r="H651" s="38" t="e">
        <f>MONTH(Libro_Diario[[#This Row],[Fecha]])</f>
        <v>#VALUE!</v>
      </c>
      <c r="I651" s="38" t="e">
        <f>YEAR(Libro_Diario[[#This Row],[Fecha]])</f>
        <v>#VALUE!</v>
      </c>
    </row>
    <row r="652" spans="3:9" x14ac:dyDescent="0.3">
      <c r="C652" s="37"/>
      <c r="D652" s="38"/>
      <c r="E652" s="38"/>
      <c r="F652" s="39"/>
      <c r="G652" s="40"/>
      <c r="H652" s="38" t="e">
        <f>MONTH(Libro_Diario[[#This Row],[Fecha]])</f>
        <v>#VALUE!</v>
      </c>
      <c r="I652" s="38" t="e">
        <f>YEAR(Libro_Diario[[#This Row],[Fecha]])</f>
        <v>#VALUE!</v>
      </c>
    </row>
    <row r="653" spans="3:9" x14ac:dyDescent="0.3">
      <c r="C653" s="37"/>
      <c r="D653" s="38"/>
      <c r="E653" s="38"/>
      <c r="F653" s="39"/>
      <c r="G653" s="40"/>
      <c r="H653" s="38" t="e">
        <f>MONTH(Libro_Diario[[#This Row],[Fecha]])</f>
        <v>#VALUE!</v>
      </c>
      <c r="I653" s="38" t="e">
        <f>YEAR(Libro_Diario[[#This Row],[Fecha]])</f>
        <v>#VALUE!</v>
      </c>
    </row>
    <row r="654" spans="3:9" x14ac:dyDescent="0.3">
      <c r="C654" s="37"/>
      <c r="D654" s="38"/>
      <c r="E654" s="38"/>
      <c r="F654" s="39"/>
      <c r="G654" s="40"/>
      <c r="H654" s="38" t="e">
        <f>MONTH(Libro_Diario[[#This Row],[Fecha]])</f>
        <v>#VALUE!</v>
      </c>
      <c r="I654" s="38" t="e">
        <f>YEAR(Libro_Diario[[#This Row],[Fecha]])</f>
        <v>#VALUE!</v>
      </c>
    </row>
    <row r="655" spans="3:9" x14ac:dyDescent="0.3">
      <c r="C655" s="37"/>
      <c r="D655" s="38"/>
      <c r="E655" s="38"/>
      <c r="F655" s="39"/>
      <c r="G655" s="40"/>
      <c r="H655" s="38" t="e">
        <f>MONTH(Libro_Diario[[#This Row],[Fecha]])</f>
        <v>#VALUE!</v>
      </c>
      <c r="I655" s="38" t="e">
        <f>YEAR(Libro_Diario[[#This Row],[Fecha]])</f>
        <v>#VALUE!</v>
      </c>
    </row>
    <row r="656" spans="3:9" x14ac:dyDescent="0.3">
      <c r="C656" s="37"/>
      <c r="D656" s="38"/>
      <c r="E656" s="38"/>
      <c r="F656" s="39"/>
      <c r="G656" s="40"/>
      <c r="H656" s="38" t="e">
        <f>MONTH(Libro_Diario[[#This Row],[Fecha]])</f>
        <v>#VALUE!</v>
      </c>
      <c r="I656" s="38" t="e">
        <f>YEAR(Libro_Diario[[#This Row],[Fecha]])</f>
        <v>#VALUE!</v>
      </c>
    </row>
    <row r="657" spans="3:9" x14ac:dyDescent="0.3">
      <c r="C657" s="37"/>
      <c r="D657" s="38"/>
      <c r="E657" s="38"/>
      <c r="F657" s="39"/>
      <c r="G657" s="40"/>
      <c r="H657" s="38" t="e">
        <f>MONTH(Libro_Diario[[#This Row],[Fecha]])</f>
        <v>#VALUE!</v>
      </c>
      <c r="I657" s="38" t="e">
        <f>YEAR(Libro_Diario[[#This Row],[Fecha]])</f>
        <v>#VALUE!</v>
      </c>
    </row>
    <row r="658" spans="3:9" x14ac:dyDescent="0.3">
      <c r="C658" s="37"/>
      <c r="D658" s="38"/>
      <c r="E658" s="38"/>
      <c r="F658" s="39"/>
      <c r="G658" s="40"/>
      <c r="H658" s="38" t="e">
        <f>MONTH(Libro_Diario[[#This Row],[Fecha]])</f>
        <v>#VALUE!</v>
      </c>
      <c r="I658" s="38" t="e">
        <f>YEAR(Libro_Diario[[#This Row],[Fecha]])</f>
        <v>#VALUE!</v>
      </c>
    </row>
    <row r="659" spans="3:9" x14ac:dyDescent="0.3">
      <c r="C659" s="37"/>
      <c r="D659" s="38"/>
      <c r="E659" s="38"/>
      <c r="F659" s="39"/>
      <c r="G659" s="40"/>
      <c r="H659" s="38" t="e">
        <f>MONTH(Libro_Diario[[#This Row],[Fecha]])</f>
        <v>#VALUE!</v>
      </c>
      <c r="I659" s="38" t="e">
        <f>YEAR(Libro_Diario[[#This Row],[Fecha]])</f>
        <v>#VALUE!</v>
      </c>
    </row>
    <row r="660" spans="3:9" x14ac:dyDescent="0.3">
      <c r="C660" s="37"/>
      <c r="D660" s="38"/>
      <c r="E660" s="38"/>
      <c r="F660" s="39"/>
      <c r="G660" s="40"/>
      <c r="H660" s="38" t="e">
        <f>MONTH(Libro_Diario[[#This Row],[Fecha]])</f>
        <v>#VALUE!</v>
      </c>
      <c r="I660" s="38" t="e">
        <f>YEAR(Libro_Diario[[#This Row],[Fecha]])</f>
        <v>#VALUE!</v>
      </c>
    </row>
    <row r="661" spans="3:9" x14ac:dyDescent="0.3">
      <c r="C661" s="37"/>
      <c r="D661" s="38"/>
      <c r="E661" s="38"/>
      <c r="F661" s="39"/>
      <c r="G661" s="40"/>
      <c r="H661" s="38" t="e">
        <f>MONTH(Libro_Diario[[#This Row],[Fecha]])</f>
        <v>#VALUE!</v>
      </c>
      <c r="I661" s="38" t="e">
        <f>YEAR(Libro_Diario[[#This Row],[Fecha]])</f>
        <v>#VALUE!</v>
      </c>
    </row>
    <row r="662" spans="3:9" x14ac:dyDescent="0.3">
      <c r="C662" s="37"/>
      <c r="D662" s="38"/>
      <c r="E662" s="38"/>
      <c r="F662" s="39"/>
      <c r="G662" s="40"/>
      <c r="H662" s="38" t="e">
        <f>MONTH(Libro_Diario[[#This Row],[Fecha]])</f>
        <v>#VALUE!</v>
      </c>
      <c r="I662" s="38" t="e">
        <f>YEAR(Libro_Diario[[#This Row],[Fecha]])</f>
        <v>#VALUE!</v>
      </c>
    </row>
    <row r="663" spans="3:9" x14ac:dyDescent="0.3">
      <c r="C663" s="37"/>
      <c r="D663" s="38"/>
      <c r="E663" s="38"/>
      <c r="F663" s="39"/>
      <c r="G663" s="40"/>
      <c r="H663" s="38" t="e">
        <f>MONTH(Libro_Diario[[#This Row],[Fecha]])</f>
        <v>#VALUE!</v>
      </c>
      <c r="I663" s="38" t="e">
        <f>YEAR(Libro_Diario[[#This Row],[Fecha]])</f>
        <v>#VALUE!</v>
      </c>
    </row>
    <row r="664" spans="3:9" x14ac:dyDescent="0.3">
      <c r="C664" s="37"/>
      <c r="D664" s="38"/>
      <c r="E664" s="38"/>
      <c r="F664" s="39"/>
      <c r="G664" s="40"/>
      <c r="H664" s="38" t="e">
        <f>MONTH(Libro_Diario[[#This Row],[Fecha]])</f>
        <v>#VALUE!</v>
      </c>
      <c r="I664" s="38" t="e">
        <f>YEAR(Libro_Diario[[#This Row],[Fecha]])</f>
        <v>#VALUE!</v>
      </c>
    </row>
    <row r="665" spans="3:9" x14ac:dyDescent="0.3">
      <c r="C665" s="37"/>
      <c r="D665" s="38"/>
      <c r="E665" s="38"/>
      <c r="F665" s="39"/>
      <c r="G665" s="40"/>
      <c r="H665" s="38" t="e">
        <f>MONTH(Libro_Diario[[#This Row],[Fecha]])</f>
        <v>#VALUE!</v>
      </c>
      <c r="I665" s="38" t="e">
        <f>YEAR(Libro_Diario[[#This Row],[Fecha]])</f>
        <v>#VALUE!</v>
      </c>
    </row>
    <row r="666" spans="3:9" x14ac:dyDescent="0.3">
      <c r="C666" s="37"/>
      <c r="D666" s="38"/>
      <c r="E666" s="38"/>
      <c r="F666" s="39"/>
      <c r="G666" s="40"/>
      <c r="H666" s="38" t="e">
        <f>MONTH(Libro_Diario[[#This Row],[Fecha]])</f>
        <v>#VALUE!</v>
      </c>
      <c r="I666" s="38" t="e">
        <f>YEAR(Libro_Diario[[#This Row],[Fecha]])</f>
        <v>#VALUE!</v>
      </c>
    </row>
    <row r="667" spans="3:9" x14ac:dyDescent="0.3">
      <c r="C667" s="37"/>
      <c r="D667" s="38"/>
      <c r="E667" s="38"/>
      <c r="F667" s="39"/>
      <c r="G667" s="40"/>
      <c r="H667" s="38" t="e">
        <f>MONTH(Libro_Diario[[#This Row],[Fecha]])</f>
        <v>#VALUE!</v>
      </c>
      <c r="I667" s="38" t="e">
        <f>YEAR(Libro_Diario[[#This Row],[Fecha]])</f>
        <v>#VALUE!</v>
      </c>
    </row>
    <row r="668" spans="3:9" x14ac:dyDescent="0.3">
      <c r="C668" s="37"/>
      <c r="D668" s="38"/>
      <c r="E668" s="38"/>
      <c r="F668" s="39"/>
      <c r="G668" s="40"/>
      <c r="H668" s="38" t="e">
        <f>MONTH(Libro_Diario[[#This Row],[Fecha]])</f>
        <v>#VALUE!</v>
      </c>
      <c r="I668" s="38" t="e">
        <f>YEAR(Libro_Diario[[#This Row],[Fecha]])</f>
        <v>#VALUE!</v>
      </c>
    </row>
    <row r="669" spans="3:9" x14ac:dyDescent="0.3">
      <c r="C669" s="37"/>
      <c r="D669" s="38"/>
      <c r="E669" s="38"/>
      <c r="F669" s="39"/>
      <c r="G669" s="40"/>
      <c r="H669" s="38" t="e">
        <f>MONTH(Libro_Diario[[#This Row],[Fecha]])</f>
        <v>#VALUE!</v>
      </c>
      <c r="I669" s="38" t="e">
        <f>YEAR(Libro_Diario[[#This Row],[Fecha]])</f>
        <v>#VALUE!</v>
      </c>
    </row>
    <row r="670" spans="3:9" x14ac:dyDescent="0.3">
      <c r="C670" s="37"/>
      <c r="D670" s="38"/>
      <c r="E670" s="38"/>
      <c r="F670" s="39"/>
      <c r="G670" s="40"/>
      <c r="H670" s="38" t="e">
        <f>MONTH(Libro_Diario[[#This Row],[Fecha]])</f>
        <v>#VALUE!</v>
      </c>
      <c r="I670" s="38" t="e">
        <f>YEAR(Libro_Diario[[#This Row],[Fecha]])</f>
        <v>#VALUE!</v>
      </c>
    </row>
    <row r="671" spans="3:9" x14ac:dyDescent="0.3">
      <c r="C671" s="37"/>
      <c r="D671" s="38"/>
      <c r="E671" s="38"/>
      <c r="F671" s="39"/>
      <c r="G671" s="40"/>
      <c r="H671" s="38" t="e">
        <f>MONTH(Libro_Diario[[#This Row],[Fecha]])</f>
        <v>#VALUE!</v>
      </c>
      <c r="I671" s="38" t="e">
        <f>YEAR(Libro_Diario[[#This Row],[Fecha]])</f>
        <v>#VALUE!</v>
      </c>
    </row>
    <row r="672" spans="3:9" x14ac:dyDescent="0.3">
      <c r="C672" s="37"/>
      <c r="D672" s="38"/>
      <c r="E672" s="38"/>
      <c r="F672" s="39"/>
      <c r="G672" s="40"/>
      <c r="H672" s="38" t="e">
        <f>MONTH(Libro_Diario[[#This Row],[Fecha]])</f>
        <v>#VALUE!</v>
      </c>
      <c r="I672" s="38" t="e">
        <f>YEAR(Libro_Diario[[#This Row],[Fecha]])</f>
        <v>#VALUE!</v>
      </c>
    </row>
    <row r="673" spans="3:9" x14ac:dyDescent="0.3">
      <c r="C673" s="37"/>
      <c r="D673" s="38"/>
      <c r="E673" s="38"/>
      <c r="F673" s="39"/>
      <c r="G673" s="40"/>
      <c r="H673" s="38" t="e">
        <f>MONTH(Libro_Diario[[#This Row],[Fecha]])</f>
        <v>#VALUE!</v>
      </c>
      <c r="I673" s="38" t="e">
        <f>YEAR(Libro_Diario[[#This Row],[Fecha]])</f>
        <v>#VALUE!</v>
      </c>
    </row>
    <row r="674" spans="3:9" x14ac:dyDescent="0.3">
      <c r="C674" s="37"/>
      <c r="D674" s="38"/>
      <c r="E674" s="38"/>
      <c r="F674" s="39"/>
      <c r="G674" s="40"/>
      <c r="H674" s="38" t="e">
        <f>MONTH(Libro_Diario[[#This Row],[Fecha]])</f>
        <v>#VALUE!</v>
      </c>
      <c r="I674" s="38" t="e">
        <f>YEAR(Libro_Diario[[#This Row],[Fecha]])</f>
        <v>#VALUE!</v>
      </c>
    </row>
    <row r="675" spans="3:9" x14ac:dyDescent="0.3">
      <c r="C675" s="37"/>
      <c r="D675" s="38"/>
      <c r="E675" s="38"/>
      <c r="F675" s="39"/>
      <c r="G675" s="40"/>
      <c r="H675" s="38" t="e">
        <f>MONTH(Libro_Diario[[#This Row],[Fecha]])</f>
        <v>#VALUE!</v>
      </c>
      <c r="I675" s="38" t="e">
        <f>YEAR(Libro_Diario[[#This Row],[Fecha]])</f>
        <v>#VALUE!</v>
      </c>
    </row>
    <row r="676" spans="3:9" x14ac:dyDescent="0.3">
      <c r="C676" s="37"/>
      <c r="D676" s="38"/>
      <c r="E676" s="38"/>
      <c r="F676" s="39"/>
      <c r="G676" s="40"/>
      <c r="H676" s="38" t="e">
        <f>MONTH(Libro_Diario[[#This Row],[Fecha]])</f>
        <v>#VALUE!</v>
      </c>
      <c r="I676" s="38" t="e">
        <f>YEAR(Libro_Diario[[#This Row],[Fecha]])</f>
        <v>#VALUE!</v>
      </c>
    </row>
    <row r="677" spans="3:9" x14ac:dyDescent="0.3">
      <c r="C677" s="37"/>
      <c r="D677" s="38"/>
      <c r="E677" s="38"/>
      <c r="F677" s="39"/>
      <c r="G677" s="40"/>
      <c r="H677" s="38" t="e">
        <f>MONTH(Libro_Diario[[#This Row],[Fecha]])</f>
        <v>#VALUE!</v>
      </c>
      <c r="I677" s="38" t="e">
        <f>YEAR(Libro_Diario[[#This Row],[Fecha]])</f>
        <v>#VALUE!</v>
      </c>
    </row>
    <row r="678" spans="3:9" x14ac:dyDescent="0.3">
      <c r="C678" s="37"/>
      <c r="D678" s="38"/>
      <c r="E678" s="38"/>
      <c r="F678" s="39"/>
      <c r="G678" s="40"/>
      <c r="H678" s="38" t="e">
        <f>MONTH(Libro_Diario[[#This Row],[Fecha]])</f>
        <v>#VALUE!</v>
      </c>
      <c r="I678" s="38" t="e">
        <f>YEAR(Libro_Diario[[#This Row],[Fecha]])</f>
        <v>#VALUE!</v>
      </c>
    </row>
    <row r="679" spans="3:9" x14ac:dyDescent="0.3">
      <c r="C679" s="37"/>
      <c r="D679" s="38"/>
      <c r="E679" s="38"/>
      <c r="F679" s="39"/>
      <c r="G679" s="40"/>
      <c r="H679" s="38" t="e">
        <f>MONTH(Libro_Diario[[#This Row],[Fecha]])</f>
        <v>#VALUE!</v>
      </c>
      <c r="I679" s="38" t="e">
        <f>YEAR(Libro_Diario[[#This Row],[Fecha]])</f>
        <v>#VALUE!</v>
      </c>
    </row>
    <row r="680" spans="3:9" x14ac:dyDescent="0.3">
      <c r="C680" s="37"/>
      <c r="D680" s="38"/>
      <c r="E680" s="38"/>
      <c r="F680" s="39"/>
      <c r="G680" s="40"/>
      <c r="H680" s="38" t="e">
        <f>MONTH(Libro_Diario[[#This Row],[Fecha]])</f>
        <v>#VALUE!</v>
      </c>
      <c r="I680" s="38" t="e">
        <f>YEAR(Libro_Diario[[#This Row],[Fecha]])</f>
        <v>#VALUE!</v>
      </c>
    </row>
    <row r="681" spans="3:9" x14ac:dyDescent="0.3">
      <c r="C681" s="37"/>
      <c r="D681" s="38"/>
      <c r="E681" s="38"/>
      <c r="F681" s="39"/>
      <c r="G681" s="40"/>
      <c r="H681" s="38" t="e">
        <f>MONTH(Libro_Diario[[#This Row],[Fecha]])</f>
        <v>#VALUE!</v>
      </c>
      <c r="I681" s="38" t="e">
        <f>YEAR(Libro_Diario[[#This Row],[Fecha]])</f>
        <v>#VALUE!</v>
      </c>
    </row>
    <row r="682" spans="3:9" x14ac:dyDescent="0.3">
      <c r="C682" s="37"/>
      <c r="D682" s="38"/>
      <c r="E682" s="38"/>
      <c r="F682" s="39"/>
      <c r="G682" s="40"/>
      <c r="H682" s="38" t="e">
        <f>MONTH(Libro_Diario[[#This Row],[Fecha]])</f>
        <v>#VALUE!</v>
      </c>
      <c r="I682" s="38" t="e">
        <f>YEAR(Libro_Diario[[#This Row],[Fecha]])</f>
        <v>#VALUE!</v>
      </c>
    </row>
    <row r="683" spans="3:9" x14ac:dyDescent="0.3">
      <c r="C683" s="37"/>
      <c r="D683" s="38"/>
      <c r="E683" s="38"/>
      <c r="F683" s="39"/>
      <c r="G683" s="40"/>
      <c r="H683" s="38" t="e">
        <f>MONTH(Libro_Diario[[#This Row],[Fecha]])</f>
        <v>#VALUE!</v>
      </c>
      <c r="I683" s="38" t="e">
        <f>YEAR(Libro_Diario[[#This Row],[Fecha]])</f>
        <v>#VALUE!</v>
      </c>
    </row>
    <row r="684" spans="3:9" x14ac:dyDescent="0.3">
      <c r="C684" s="37"/>
      <c r="D684" s="38"/>
      <c r="E684" s="38"/>
      <c r="F684" s="39"/>
      <c r="G684" s="40"/>
      <c r="H684" s="38" t="e">
        <f>MONTH(Libro_Diario[[#This Row],[Fecha]])</f>
        <v>#VALUE!</v>
      </c>
      <c r="I684" s="38" t="e">
        <f>YEAR(Libro_Diario[[#This Row],[Fecha]])</f>
        <v>#VALUE!</v>
      </c>
    </row>
    <row r="685" spans="3:9" x14ac:dyDescent="0.3">
      <c r="C685" s="37"/>
      <c r="D685" s="38"/>
      <c r="E685" s="38"/>
      <c r="F685" s="39"/>
      <c r="G685" s="40"/>
      <c r="H685" s="38" t="e">
        <f>MONTH(Libro_Diario[[#This Row],[Fecha]])</f>
        <v>#VALUE!</v>
      </c>
      <c r="I685" s="38" t="e">
        <f>YEAR(Libro_Diario[[#This Row],[Fecha]])</f>
        <v>#VALUE!</v>
      </c>
    </row>
    <row r="686" spans="3:9" x14ac:dyDescent="0.3">
      <c r="C686" s="37"/>
      <c r="D686" s="38"/>
      <c r="E686" s="38"/>
      <c r="F686" s="39"/>
      <c r="G686" s="40"/>
      <c r="H686" s="38" t="e">
        <f>MONTH(Libro_Diario[[#This Row],[Fecha]])</f>
        <v>#VALUE!</v>
      </c>
      <c r="I686" s="38" t="e">
        <f>YEAR(Libro_Diario[[#This Row],[Fecha]])</f>
        <v>#VALUE!</v>
      </c>
    </row>
    <row r="687" spans="3:9" x14ac:dyDescent="0.3">
      <c r="C687" s="37"/>
      <c r="D687" s="38"/>
      <c r="E687" s="38"/>
      <c r="F687" s="39"/>
      <c r="G687" s="40"/>
      <c r="H687" s="38" t="e">
        <f>MONTH(Libro_Diario[[#This Row],[Fecha]])</f>
        <v>#VALUE!</v>
      </c>
      <c r="I687" s="38" t="e">
        <f>YEAR(Libro_Diario[[#This Row],[Fecha]])</f>
        <v>#VALUE!</v>
      </c>
    </row>
    <row r="688" spans="3:9" x14ac:dyDescent="0.3">
      <c r="C688" s="37"/>
      <c r="D688" s="38"/>
      <c r="E688" s="38"/>
      <c r="F688" s="39"/>
      <c r="G688" s="40"/>
      <c r="H688" s="38" t="e">
        <f>MONTH(Libro_Diario[[#This Row],[Fecha]])</f>
        <v>#VALUE!</v>
      </c>
      <c r="I688" s="38" t="e">
        <f>YEAR(Libro_Diario[[#This Row],[Fecha]])</f>
        <v>#VALUE!</v>
      </c>
    </row>
    <row r="689" spans="3:9" x14ac:dyDescent="0.3">
      <c r="C689" s="37"/>
      <c r="D689" s="38"/>
      <c r="E689" s="38"/>
      <c r="F689" s="39"/>
      <c r="G689" s="40"/>
      <c r="H689" s="38" t="e">
        <f>MONTH(Libro_Diario[[#This Row],[Fecha]])</f>
        <v>#VALUE!</v>
      </c>
      <c r="I689" s="38" t="e">
        <f>YEAR(Libro_Diario[[#This Row],[Fecha]])</f>
        <v>#VALUE!</v>
      </c>
    </row>
    <row r="690" spans="3:9" x14ac:dyDescent="0.3">
      <c r="C690" s="37"/>
      <c r="D690" s="38"/>
      <c r="E690" s="38"/>
      <c r="F690" s="39"/>
      <c r="G690" s="40"/>
      <c r="H690" s="38" t="e">
        <f>MONTH(Libro_Diario[[#This Row],[Fecha]])</f>
        <v>#VALUE!</v>
      </c>
      <c r="I690" s="38" t="e">
        <f>YEAR(Libro_Diario[[#This Row],[Fecha]])</f>
        <v>#VALUE!</v>
      </c>
    </row>
    <row r="691" spans="3:9" x14ac:dyDescent="0.3">
      <c r="C691" s="37"/>
      <c r="D691" s="38"/>
      <c r="E691" s="38"/>
      <c r="F691" s="39"/>
      <c r="G691" s="40"/>
      <c r="H691" s="38" t="e">
        <f>MONTH(Libro_Diario[[#This Row],[Fecha]])</f>
        <v>#VALUE!</v>
      </c>
      <c r="I691" s="38" t="e">
        <f>YEAR(Libro_Diario[[#This Row],[Fecha]])</f>
        <v>#VALUE!</v>
      </c>
    </row>
    <row r="692" spans="3:9" x14ac:dyDescent="0.3">
      <c r="C692" s="37"/>
      <c r="D692" s="38"/>
      <c r="E692" s="38"/>
      <c r="F692" s="39"/>
      <c r="G692" s="40"/>
      <c r="H692" s="38" t="e">
        <f>MONTH(Libro_Diario[[#This Row],[Fecha]])</f>
        <v>#VALUE!</v>
      </c>
      <c r="I692" s="38" t="e">
        <f>YEAR(Libro_Diario[[#This Row],[Fecha]])</f>
        <v>#VALUE!</v>
      </c>
    </row>
    <row r="693" spans="3:9" x14ac:dyDescent="0.3">
      <c r="C693" s="37"/>
      <c r="D693" s="38"/>
      <c r="E693" s="38"/>
      <c r="F693" s="39"/>
      <c r="G693" s="40"/>
      <c r="H693" s="38" t="e">
        <f>MONTH(Libro_Diario[[#This Row],[Fecha]])</f>
        <v>#VALUE!</v>
      </c>
      <c r="I693" s="38" t="e">
        <f>YEAR(Libro_Diario[[#This Row],[Fecha]])</f>
        <v>#VALUE!</v>
      </c>
    </row>
    <row r="694" spans="3:9" x14ac:dyDescent="0.3">
      <c r="C694" s="37"/>
      <c r="D694" s="38"/>
      <c r="E694" s="38"/>
      <c r="F694" s="39"/>
      <c r="G694" s="40"/>
      <c r="H694" s="38" t="e">
        <f>MONTH(Libro_Diario[[#This Row],[Fecha]])</f>
        <v>#VALUE!</v>
      </c>
      <c r="I694" s="38" t="e">
        <f>YEAR(Libro_Diario[[#This Row],[Fecha]])</f>
        <v>#VALUE!</v>
      </c>
    </row>
    <row r="695" spans="3:9" x14ac:dyDescent="0.3">
      <c r="C695" s="37"/>
      <c r="D695" s="38"/>
      <c r="E695" s="38"/>
      <c r="F695" s="39"/>
      <c r="G695" s="40"/>
      <c r="H695" s="38" t="e">
        <f>MONTH(Libro_Diario[[#This Row],[Fecha]])</f>
        <v>#VALUE!</v>
      </c>
      <c r="I695" s="38" t="e">
        <f>YEAR(Libro_Diario[[#This Row],[Fecha]])</f>
        <v>#VALUE!</v>
      </c>
    </row>
    <row r="696" spans="3:9" x14ac:dyDescent="0.3">
      <c r="C696" s="37"/>
      <c r="D696" s="38"/>
      <c r="E696" s="38"/>
      <c r="F696" s="39"/>
      <c r="G696" s="40"/>
      <c r="H696" s="38" t="e">
        <f>MONTH(Libro_Diario[[#This Row],[Fecha]])</f>
        <v>#VALUE!</v>
      </c>
      <c r="I696" s="38" t="e">
        <f>YEAR(Libro_Diario[[#This Row],[Fecha]])</f>
        <v>#VALUE!</v>
      </c>
    </row>
    <row r="697" spans="3:9" x14ac:dyDescent="0.3">
      <c r="C697" s="37"/>
      <c r="D697" s="38"/>
      <c r="E697" s="38"/>
      <c r="F697" s="39"/>
      <c r="G697" s="40"/>
      <c r="H697" s="38" t="e">
        <f>MONTH(Libro_Diario[[#This Row],[Fecha]])</f>
        <v>#VALUE!</v>
      </c>
      <c r="I697" s="38" t="e">
        <f>YEAR(Libro_Diario[[#This Row],[Fecha]])</f>
        <v>#VALUE!</v>
      </c>
    </row>
    <row r="698" spans="3:9" x14ac:dyDescent="0.3">
      <c r="C698" s="37"/>
      <c r="D698" s="38"/>
      <c r="E698" s="38"/>
      <c r="F698" s="39"/>
      <c r="G698" s="40"/>
      <c r="H698" s="38" t="e">
        <f>MONTH(Libro_Diario[[#This Row],[Fecha]])</f>
        <v>#VALUE!</v>
      </c>
      <c r="I698" s="38" t="e">
        <f>YEAR(Libro_Diario[[#This Row],[Fecha]])</f>
        <v>#VALUE!</v>
      </c>
    </row>
    <row r="699" spans="3:9" x14ac:dyDescent="0.3">
      <c r="C699" s="37"/>
      <c r="D699" s="38"/>
      <c r="E699" s="38"/>
      <c r="F699" s="39"/>
      <c r="G699" s="40"/>
      <c r="H699" s="38" t="e">
        <f>MONTH(Libro_Diario[[#This Row],[Fecha]])</f>
        <v>#VALUE!</v>
      </c>
      <c r="I699" s="38" t="e">
        <f>YEAR(Libro_Diario[[#This Row],[Fecha]])</f>
        <v>#VALUE!</v>
      </c>
    </row>
    <row r="700" spans="3:9" x14ac:dyDescent="0.3">
      <c r="C700" s="37"/>
      <c r="D700" s="38"/>
      <c r="E700" s="38"/>
      <c r="F700" s="39"/>
      <c r="G700" s="40"/>
      <c r="H700" s="38" t="e">
        <f>MONTH(Libro_Diario[[#This Row],[Fecha]])</f>
        <v>#VALUE!</v>
      </c>
      <c r="I700" s="38" t="e">
        <f>YEAR(Libro_Diario[[#This Row],[Fecha]])</f>
        <v>#VALUE!</v>
      </c>
    </row>
    <row r="701" spans="3:9" x14ac:dyDescent="0.3">
      <c r="C701" s="37"/>
      <c r="D701" s="38"/>
      <c r="E701" s="38"/>
      <c r="F701" s="39"/>
      <c r="G701" s="40"/>
      <c r="H701" s="38" t="e">
        <f>MONTH(Libro_Diario[[#This Row],[Fecha]])</f>
        <v>#VALUE!</v>
      </c>
      <c r="I701" s="38" t="e">
        <f>YEAR(Libro_Diario[[#This Row],[Fecha]])</f>
        <v>#VALUE!</v>
      </c>
    </row>
    <row r="702" spans="3:9" x14ac:dyDescent="0.3">
      <c r="C702" s="37"/>
      <c r="D702" s="38"/>
      <c r="E702" s="38"/>
      <c r="F702" s="39"/>
      <c r="G702" s="40"/>
      <c r="H702" s="38" t="e">
        <f>MONTH(Libro_Diario[[#This Row],[Fecha]])</f>
        <v>#VALUE!</v>
      </c>
      <c r="I702" s="38" t="e">
        <f>YEAR(Libro_Diario[[#This Row],[Fecha]])</f>
        <v>#VALUE!</v>
      </c>
    </row>
    <row r="703" spans="3:9" x14ac:dyDescent="0.3">
      <c r="C703" s="37"/>
      <c r="D703" s="38"/>
      <c r="E703" s="38"/>
      <c r="F703" s="39"/>
      <c r="G703" s="40"/>
      <c r="H703" s="38" t="e">
        <f>MONTH(Libro_Diario[[#This Row],[Fecha]])</f>
        <v>#VALUE!</v>
      </c>
      <c r="I703" s="38" t="e">
        <f>YEAR(Libro_Diario[[#This Row],[Fecha]])</f>
        <v>#VALUE!</v>
      </c>
    </row>
    <row r="704" spans="3:9" x14ac:dyDescent="0.3">
      <c r="C704" s="37"/>
      <c r="D704" s="38"/>
      <c r="E704" s="38"/>
      <c r="F704" s="39"/>
      <c r="G704" s="40"/>
      <c r="H704" s="38" t="e">
        <f>MONTH(Libro_Diario[[#This Row],[Fecha]])</f>
        <v>#VALUE!</v>
      </c>
      <c r="I704" s="38" t="e">
        <f>YEAR(Libro_Diario[[#This Row],[Fecha]])</f>
        <v>#VALUE!</v>
      </c>
    </row>
    <row r="705" spans="3:9" x14ac:dyDescent="0.3">
      <c r="C705" s="37"/>
      <c r="D705" s="38"/>
      <c r="E705" s="38"/>
      <c r="F705" s="39"/>
      <c r="G705" s="40"/>
      <c r="H705" s="38" t="e">
        <f>MONTH(Libro_Diario[[#This Row],[Fecha]])</f>
        <v>#VALUE!</v>
      </c>
      <c r="I705" s="38" t="e">
        <f>YEAR(Libro_Diario[[#This Row],[Fecha]])</f>
        <v>#VALUE!</v>
      </c>
    </row>
    <row r="706" spans="3:9" x14ac:dyDescent="0.3">
      <c r="C706" s="37"/>
      <c r="D706" s="38"/>
      <c r="E706" s="38"/>
      <c r="F706" s="39"/>
      <c r="G706" s="40"/>
      <c r="H706" s="38" t="e">
        <f>MONTH(Libro_Diario[[#This Row],[Fecha]])</f>
        <v>#VALUE!</v>
      </c>
      <c r="I706" s="38" t="e">
        <f>YEAR(Libro_Diario[[#This Row],[Fecha]])</f>
        <v>#VALUE!</v>
      </c>
    </row>
    <row r="707" spans="3:9" x14ac:dyDescent="0.3">
      <c r="C707" s="37"/>
      <c r="D707" s="38"/>
      <c r="E707" s="38"/>
      <c r="F707" s="39"/>
      <c r="G707" s="40"/>
      <c r="H707" s="38" t="e">
        <f>MONTH(Libro_Diario[[#This Row],[Fecha]])</f>
        <v>#VALUE!</v>
      </c>
      <c r="I707" s="38" t="e">
        <f>YEAR(Libro_Diario[[#This Row],[Fecha]])</f>
        <v>#VALUE!</v>
      </c>
    </row>
    <row r="708" spans="3:9" x14ac:dyDescent="0.3">
      <c r="C708" s="37"/>
      <c r="D708" s="38"/>
      <c r="E708" s="38"/>
      <c r="F708" s="39"/>
      <c r="G708" s="40"/>
      <c r="H708" s="38" t="e">
        <f>MONTH(Libro_Diario[[#This Row],[Fecha]])</f>
        <v>#VALUE!</v>
      </c>
      <c r="I708" s="38" t="e">
        <f>YEAR(Libro_Diario[[#This Row],[Fecha]])</f>
        <v>#VALUE!</v>
      </c>
    </row>
    <row r="709" spans="3:9" x14ac:dyDescent="0.3">
      <c r="C709" s="37"/>
      <c r="D709" s="38"/>
      <c r="E709" s="38"/>
      <c r="F709" s="39"/>
      <c r="G709" s="40"/>
      <c r="H709" s="38" t="e">
        <f>MONTH(Libro_Diario[[#This Row],[Fecha]])</f>
        <v>#VALUE!</v>
      </c>
      <c r="I709" s="38" t="e">
        <f>YEAR(Libro_Diario[[#This Row],[Fecha]])</f>
        <v>#VALUE!</v>
      </c>
    </row>
    <row r="710" spans="3:9" x14ac:dyDescent="0.3">
      <c r="C710" s="37"/>
      <c r="D710" s="38"/>
      <c r="E710" s="38"/>
      <c r="F710" s="39"/>
      <c r="G710" s="40"/>
      <c r="H710" s="38" t="e">
        <f>MONTH(Libro_Diario[[#This Row],[Fecha]])</f>
        <v>#VALUE!</v>
      </c>
      <c r="I710" s="38" t="e">
        <f>YEAR(Libro_Diario[[#This Row],[Fecha]])</f>
        <v>#VALUE!</v>
      </c>
    </row>
    <row r="711" spans="3:9" x14ac:dyDescent="0.3">
      <c r="C711" s="37"/>
      <c r="D711" s="38"/>
      <c r="E711" s="38"/>
      <c r="F711" s="39"/>
      <c r="G711" s="40"/>
      <c r="H711" s="38" t="e">
        <f>MONTH(Libro_Diario[[#This Row],[Fecha]])</f>
        <v>#VALUE!</v>
      </c>
      <c r="I711" s="38" t="e">
        <f>YEAR(Libro_Diario[[#This Row],[Fecha]])</f>
        <v>#VALUE!</v>
      </c>
    </row>
    <row r="712" spans="3:9" x14ac:dyDescent="0.3">
      <c r="C712" s="37"/>
      <c r="D712" s="38"/>
      <c r="E712" s="38"/>
      <c r="F712" s="39"/>
      <c r="G712" s="40"/>
      <c r="H712" s="38" t="e">
        <f>MONTH(Libro_Diario[[#This Row],[Fecha]])</f>
        <v>#VALUE!</v>
      </c>
      <c r="I712" s="38" t="e">
        <f>YEAR(Libro_Diario[[#This Row],[Fecha]])</f>
        <v>#VALUE!</v>
      </c>
    </row>
    <row r="713" spans="3:9" x14ac:dyDescent="0.3">
      <c r="C713" s="37"/>
      <c r="D713" s="38"/>
      <c r="E713" s="38"/>
      <c r="F713" s="39"/>
      <c r="G713" s="40"/>
      <c r="H713" s="38" t="e">
        <f>MONTH(Libro_Diario[[#This Row],[Fecha]])</f>
        <v>#VALUE!</v>
      </c>
      <c r="I713" s="38" t="e">
        <f>YEAR(Libro_Diario[[#This Row],[Fecha]])</f>
        <v>#VALUE!</v>
      </c>
    </row>
    <row r="714" spans="3:9" x14ac:dyDescent="0.3">
      <c r="C714" s="37"/>
      <c r="D714" s="38"/>
      <c r="E714" s="38"/>
      <c r="F714" s="39"/>
      <c r="G714" s="40"/>
      <c r="H714" s="38" t="e">
        <f>MONTH(Libro_Diario[[#This Row],[Fecha]])</f>
        <v>#VALUE!</v>
      </c>
      <c r="I714" s="38" t="e">
        <f>YEAR(Libro_Diario[[#This Row],[Fecha]])</f>
        <v>#VALUE!</v>
      </c>
    </row>
    <row r="715" spans="3:9" x14ac:dyDescent="0.3">
      <c r="C715" s="37"/>
      <c r="D715" s="38"/>
      <c r="E715" s="38"/>
      <c r="F715" s="39"/>
      <c r="G715" s="40"/>
      <c r="H715" s="38" t="e">
        <f>MONTH(Libro_Diario[[#This Row],[Fecha]])</f>
        <v>#VALUE!</v>
      </c>
      <c r="I715" s="38" t="e">
        <f>YEAR(Libro_Diario[[#This Row],[Fecha]])</f>
        <v>#VALUE!</v>
      </c>
    </row>
    <row r="716" spans="3:9" x14ac:dyDescent="0.3">
      <c r="C716" s="37"/>
      <c r="D716" s="38"/>
      <c r="E716" s="38"/>
      <c r="F716" s="39"/>
      <c r="G716" s="40"/>
      <c r="H716" s="38" t="e">
        <f>MONTH(Libro_Diario[[#This Row],[Fecha]])</f>
        <v>#VALUE!</v>
      </c>
      <c r="I716" s="38" t="e">
        <f>YEAR(Libro_Diario[[#This Row],[Fecha]])</f>
        <v>#VALUE!</v>
      </c>
    </row>
    <row r="717" spans="3:9" x14ac:dyDescent="0.3">
      <c r="C717" s="37"/>
      <c r="D717" s="38"/>
      <c r="E717" s="38"/>
      <c r="F717" s="39"/>
      <c r="G717" s="40"/>
      <c r="H717" s="38" t="e">
        <f>MONTH(Libro_Diario[[#This Row],[Fecha]])</f>
        <v>#VALUE!</v>
      </c>
      <c r="I717" s="38" t="e">
        <f>YEAR(Libro_Diario[[#This Row],[Fecha]])</f>
        <v>#VALUE!</v>
      </c>
    </row>
    <row r="718" spans="3:9" x14ac:dyDescent="0.3">
      <c r="C718" s="37"/>
      <c r="D718" s="38"/>
      <c r="E718" s="38"/>
      <c r="F718" s="39"/>
      <c r="G718" s="40"/>
      <c r="H718" s="38" t="e">
        <f>MONTH(Libro_Diario[[#This Row],[Fecha]])</f>
        <v>#VALUE!</v>
      </c>
      <c r="I718" s="38" t="e">
        <f>YEAR(Libro_Diario[[#This Row],[Fecha]])</f>
        <v>#VALUE!</v>
      </c>
    </row>
    <row r="719" spans="3:9" x14ac:dyDescent="0.3">
      <c r="C719" s="37"/>
      <c r="D719" s="38"/>
      <c r="E719" s="38"/>
      <c r="F719" s="39"/>
      <c r="G719" s="40"/>
      <c r="H719" s="38" t="e">
        <f>MONTH(Libro_Diario[[#This Row],[Fecha]])</f>
        <v>#VALUE!</v>
      </c>
      <c r="I719" s="38" t="e">
        <f>YEAR(Libro_Diario[[#This Row],[Fecha]])</f>
        <v>#VALUE!</v>
      </c>
    </row>
    <row r="720" spans="3:9" x14ac:dyDescent="0.3">
      <c r="C720" s="37"/>
      <c r="D720" s="38"/>
      <c r="E720" s="38"/>
      <c r="F720" s="39"/>
      <c r="G720" s="40"/>
      <c r="H720" s="38" t="e">
        <f>MONTH(Libro_Diario[[#This Row],[Fecha]])</f>
        <v>#VALUE!</v>
      </c>
      <c r="I720" s="38" t="e">
        <f>YEAR(Libro_Diario[[#This Row],[Fecha]])</f>
        <v>#VALUE!</v>
      </c>
    </row>
    <row r="721" spans="3:9" x14ac:dyDescent="0.3">
      <c r="C721" s="37"/>
      <c r="D721" s="38"/>
      <c r="E721" s="38"/>
      <c r="F721" s="39"/>
      <c r="G721" s="40"/>
      <c r="H721" s="38" t="e">
        <f>MONTH(Libro_Diario[[#This Row],[Fecha]])</f>
        <v>#VALUE!</v>
      </c>
      <c r="I721" s="38" t="e">
        <f>YEAR(Libro_Diario[[#This Row],[Fecha]])</f>
        <v>#VALUE!</v>
      </c>
    </row>
    <row r="722" spans="3:9" x14ac:dyDescent="0.3">
      <c r="C722" s="37"/>
      <c r="D722" s="38"/>
      <c r="E722" s="38"/>
      <c r="F722" s="39"/>
      <c r="G722" s="40"/>
      <c r="H722" s="38" t="e">
        <f>MONTH(Libro_Diario[[#This Row],[Fecha]])</f>
        <v>#VALUE!</v>
      </c>
      <c r="I722" s="38" t="e">
        <f>YEAR(Libro_Diario[[#This Row],[Fecha]])</f>
        <v>#VALUE!</v>
      </c>
    </row>
    <row r="723" spans="3:9" x14ac:dyDescent="0.3">
      <c r="C723" s="37"/>
      <c r="D723" s="38"/>
      <c r="E723" s="38"/>
      <c r="F723" s="39"/>
      <c r="G723" s="40"/>
      <c r="H723" s="38" t="e">
        <f>MONTH(Libro_Diario[[#This Row],[Fecha]])</f>
        <v>#VALUE!</v>
      </c>
      <c r="I723" s="38" t="e">
        <f>YEAR(Libro_Diario[[#This Row],[Fecha]])</f>
        <v>#VALUE!</v>
      </c>
    </row>
    <row r="724" spans="3:9" x14ac:dyDescent="0.3">
      <c r="C724" s="37"/>
      <c r="D724" s="38"/>
      <c r="E724" s="38"/>
      <c r="F724" s="39"/>
      <c r="G724" s="40"/>
      <c r="H724" s="38" t="e">
        <f>MONTH(Libro_Diario[[#This Row],[Fecha]])</f>
        <v>#VALUE!</v>
      </c>
      <c r="I724" s="38" t="e">
        <f>YEAR(Libro_Diario[[#This Row],[Fecha]])</f>
        <v>#VALUE!</v>
      </c>
    </row>
    <row r="725" spans="3:9" x14ac:dyDescent="0.3">
      <c r="C725" s="37"/>
      <c r="D725" s="38"/>
      <c r="E725" s="38"/>
      <c r="F725" s="39"/>
      <c r="G725" s="40"/>
      <c r="H725" s="38" t="e">
        <f>MONTH(Libro_Diario[[#This Row],[Fecha]])</f>
        <v>#VALUE!</v>
      </c>
      <c r="I725" s="38" t="e">
        <f>YEAR(Libro_Diario[[#This Row],[Fecha]])</f>
        <v>#VALUE!</v>
      </c>
    </row>
    <row r="726" spans="3:9" x14ac:dyDescent="0.3">
      <c r="C726" s="37"/>
      <c r="D726" s="38"/>
      <c r="E726" s="38"/>
      <c r="F726" s="39"/>
      <c r="G726" s="40"/>
      <c r="H726" s="38" t="e">
        <f>MONTH(Libro_Diario[[#This Row],[Fecha]])</f>
        <v>#VALUE!</v>
      </c>
      <c r="I726" s="38" t="e">
        <f>YEAR(Libro_Diario[[#This Row],[Fecha]])</f>
        <v>#VALUE!</v>
      </c>
    </row>
    <row r="727" spans="3:9" x14ac:dyDescent="0.3">
      <c r="C727" s="37"/>
      <c r="D727" s="38"/>
      <c r="E727" s="38"/>
      <c r="F727" s="39"/>
      <c r="G727" s="40"/>
      <c r="H727" s="38" t="e">
        <f>MONTH(Libro_Diario[[#This Row],[Fecha]])</f>
        <v>#VALUE!</v>
      </c>
      <c r="I727" s="38" t="e">
        <f>YEAR(Libro_Diario[[#This Row],[Fecha]])</f>
        <v>#VALUE!</v>
      </c>
    </row>
    <row r="728" spans="3:9" x14ac:dyDescent="0.3">
      <c r="C728" s="37"/>
      <c r="D728" s="38"/>
      <c r="E728" s="38"/>
      <c r="F728" s="39"/>
      <c r="G728" s="40"/>
      <c r="H728" s="38" t="e">
        <f>MONTH(Libro_Diario[[#This Row],[Fecha]])</f>
        <v>#VALUE!</v>
      </c>
      <c r="I728" s="38" t="e">
        <f>YEAR(Libro_Diario[[#This Row],[Fecha]])</f>
        <v>#VALUE!</v>
      </c>
    </row>
    <row r="729" spans="3:9" x14ac:dyDescent="0.3">
      <c r="C729" s="37"/>
      <c r="D729" s="38"/>
      <c r="E729" s="38"/>
      <c r="F729" s="39"/>
      <c r="G729" s="40"/>
      <c r="H729" s="38" t="e">
        <f>MONTH(Libro_Diario[[#This Row],[Fecha]])</f>
        <v>#VALUE!</v>
      </c>
      <c r="I729" s="38" t="e">
        <f>YEAR(Libro_Diario[[#This Row],[Fecha]])</f>
        <v>#VALUE!</v>
      </c>
    </row>
    <row r="730" spans="3:9" x14ac:dyDescent="0.3">
      <c r="C730" s="37"/>
      <c r="D730" s="38"/>
      <c r="E730" s="38"/>
      <c r="F730" s="39"/>
      <c r="G730" s="40"/>
      <c r="H730" s="38" t="e">
        <f>MONTH(Libro_Diario[[#This Row],[Fecha]])</f>
        <v>#VALUE!</v>
      </c>
      <c r="I730" s="38" t="e">
        <f>YEAR(Libro_Diario[[#This Row],[Fecha]])</f>
        <v>#VALUE!</v>
      </c>
    </row>
    <row r="731" spans="3:9" x14ac:dyDescent="0.3">
      <c r="C731" s="37"/>
      <c r="D731" s="38"/>
      <c r="E731" s="38"/>
      <c r="F731" s="39"/>
      <c r="G731" s="40"/>
      <c r="H731" s="38" t="e">
        <f>MONTH(Libro_Diario[[#This Row],[Fecha]])</f>
        <v>#VALUE!</v>
      </c>
      <c r="I731" s="38" t="e">
        <f>YEAR(Libro_Diario[[#This Row],[Fecha]])</f>
        <v>#VALUE!</v>
      </c>
    </row>
    <row r="732" spans="3:9" x14ac:dyDescent="0.3">
      <c r="C732" s="37"/>
      <c r="D732" s="38"/>
      <c r="E732" s="38"/>
      <c r="F732" s="39"/>
      <c r="G732" s="40"/>
      <c r="H732" s="38" t="e">
        <f>MONTH(Libro_Diario[[#This Row],[Fecha]])</f>
        <v>#VALUE!</v>
      </c>
      <c r="I732" s="38" t="e">
        <f>YEAR(Libro_Diario[[#This Row],[Fecha]])</f>
        <v>#VALUE!</v>
      </c>
    </row>
    <row r="733" spans="3:9" x14ac:dyDescent="0.3">
      <c r="C733" s="37"/>
      <c r="D733" s="38"/>
      <c r="E733" s="38"/>
      <c r="F733" s="39"/>
      <c r="G733" s="40"/>
      <c r="H733" s="38" t="e">
        <f>MONTH(Libro_Diario[[#This Row],[Fecha]])</f>
        <v>#VALUE!</v>
      </c>
      <c r="I733" s="38" t="e">
        <f>YEAR(Libro_Diario[[#This Row],[Fecha]])</f>
        <v>#VALUE!</v>
      </c>
    </row>
    <row r="734" spans="3:9" x14ac:dyDescent="0.3">
      <c r="C734" s="37"/>
      <c r="D734" s="38"/>
      <c r="E734" s="38"/>
      <c r="F734" s="39"/>
      <c r="G734" s="40"/>
      <c r="H734" s="38" t="e">
        <f>MONTH(Libro_Diario[[#This Row],[Fecha]])</f>
        <v>#VALUE!</v>
      </c>
      <c r="I734" s="38" t="e">
        <f>YEAR(Libro_Diario[[#This Row],[Fecha]])</f>
        <v>#VALUE!</v>
      </c>
    </row>
    <row r="735" spans="3:9" x14ac:dyDescent="0.3">
      <c r="C735" s="37"/>
      <c r="D735" s="38"/>
      <c r="E735" s="38"/>
      <c r="F735" s="39"/>
      <c r="G735" s="40"/>
      <c r="H735" s="38" t="e">
        <f>MONTH(Libro_Diario[[#This Row],[Fecha]])</f>
        <v>#VALUE!</v>
      </c>
      <c r="I735" s="38" t="e">
        <f>YEAR(Libro_Diario[[#This Row],[Fecha]])</f>
        <v>#VALUE!</v>
      </c>
    </row>
    <row r="736" spans="3:9" x14ac:dyDescent="0.3">
      <c r="C736" s="37"/>
      <c r="D736" s="38"/>
      <c r="E736" s="38"/>
      <c r="F736" s="39"/>
      <c r="G736" s="40"/>
      <c r="H736" s="38" t="e">
        <f>MONTH(Libro_Diario[[#This Row],[Fecha]])</f>
        <v>#VALUE!</v>
      </c>
      <c r="I736" s="38" t="e">
        <f>YEAR(Libro_Diario[[#This Row],[Fecha]])</f>
        <v>#VALUE!</v>
      </c>
    </row>
    <row r="737" spans="3:9" x14ac:dyDescent="0.3">
      <c r="C737" s="37"/>
      <c r="D737" s="38"/>
      <c r="E737" s="38"/>
      <c r="F737" s="39"/>
      <c r="G737" s="40"/>
      <c r="H737" s="38" t="e">
        <f>MONTH(Libro_Diario[[#This Row],[Fecha]])</f>
        <v>#VALUE!</v>
      </c>
      <c r="I737" s="38" t="e">
        <f>YEAR(Libro_Diario[[#This Row],[Fecha]])</f>
        <v>#VALUE!</v>
      </c>
    </row>
    <row r="738" spans="3:9" x14ac:dyDescent="0.3">
      <c r="C738" s="37"/>
      <c r="D738" s="38"/>
      <c r="E738" s="38"/>
      <c r="F738" s="39"/>
      <c r="G738" s="40"/>
      <c r="H738" s="38" t="e">
        <f>MONTH(Libro_Diario[[#This Row],[Fecha]])</f>
        <v>#VALUE!</v>
      </c>
      <c r="I738" s="38" t="e">
        <f>YEAR(Libro_Diario[[#This Row],[Fecha]])</f>
        <v>#VALUE!</v>
      </c>
    </row>
    <row r="739" spans="3:9" x14ac:dyDescent="0.3">
      <c r="C739" s="37"/>
      <c r="D739" s="38"/>
      <c r="E739" s="38"/>
      <c r="F739" s="39"/>
      <c r="G739" s="40"/>
      <c r="H739" s="38" t="e">
        <f>MONTH(Libro_Diario[[#This Row],[Fecha]])</f>
        <v>#VALUE!</v>
      </c>
      <c r="I739" s="38" t="e">
        <f>YEAR(Libro_Diario[[#This Row],[Fecha]])</f>
        <v>#VALUE!</v>
      </c>
    </row>
    <row r="740" spans="3:9" x14ac:dyDescent="0.3">
      <c r="C740" s="37"/>
      <c r="D740" s="38"/>
      <c r="E740" s="38"/>
      <c r="F740" s="39"/>
      <c r="G740" s="40"/>
      <c r="H740" s="38" t="e">
        <f>MONTH(Libro_Diario[[#This Row],[Fecha]])</f>
        <v>#VALUE!</v>
      </c>
      <c r="I740" s="38" t="e">
        <f>YEAR(Libro_Diario[[#This Row],[Fecha]])</f>
        <v>#VALUE!</v>
      </c>
    </row>
    <row r="741" spans="3:9" x14ac:dyDescent="0.3">
      <c r="C741" s="37"/>
      <c r="D741" s="38"/>
      <c r="E741" s="38"/>
      <c r="F741" s="39"/>
      <c r="G741" s="40"/>
      <c r="H741" s="38" t="e">
        <f>MONTH(Libro_Diario[[#This Row],[Fecha]])</f>
        <v>#VALUE!</v>
      </c>
      <c r="I741" s="38" t="e">
        <f>YEAR(Libro_Diario[[#This Row],[Fecha]])</f>
        <v>#VALUE!</v>
      </c>
    </row>
    <row r="742" spans="3:9" x14ac:dyDescent="0.3">
      <c r="C742" s="37"/>
      <c r="D742" s="38"/>
      <c r="E742" s="38"/>
      <c r="F742" s="39"/>
      <c r="G742" s="40"/>
      <c r="H742" s="38" t="e">
        <f>MONTH(Libro_Diario[[#This Row],[Fecha]])</f>
        <v>#VALUE!</v>
      </c>
      <c r="I742" s="38" t="e">
        <f>YEAR(Libro_Diario[[#This Row],[Fecha]])</f>
        <v>#VALUE!</v>
      </c>
    </row>
    <row r="743" spans="3:9" x14ac:dyDescent="0.3">
      <c r="C743" s="37"/>
      <c r="D743" s="38"/>
      <c r="E743" s="38"/>
      <c r="F743" s="39"/>
      <c r="G743" s="40"/>
      <c r="H743" s="38" t="e">
        <f>MONTH(Libro_Diario[[#This Row],[Fecha]])</f>
        <v>#VALUE!</v>
      </c>
      <c r="I743" s="38" t="e">
        <f>YEAR(Libro_Diario[[#This Row],[Fecha]])</f>
        <v>#VALUE!</v>
      </c>
    </row>
    <row r="744" spans="3:9" x14ac:dyDescent="0.3">
      <c r="C744" s="37"/>
      <c r="D744" s="38"/>
      <c r="E744" s="38"/>
      <c r="F744" s="39"/>
      <c r="G744" s="40"/>
      <c r="H744" s="38" t="e">
        <f>MONTH(Libro_Diario[[#This Row],[Fecha]])</f>
        <v>#VALUE!</v>
      </c>
      <c r="I744" s="38" t="e">
        <f>YEAR(Libro_Diario[[#This Row],[Fecha]])</f>
        <v>#VALUE!</v>
      </c>
    </row>
    <row r="745" spans="3:9" x14ac:dyDescent="0.3">
      <c r="C745" s="37"/>
      <c r="D745" s="38"/>
      <c r="E745" s="38"/>
      <c r="F745" s="39"/>
      <c r="G745" s="40"/>
      <c r="H745" s="38" t="e">
        <f>MONTH(Libro_Diario[[#This Row],[Fecha]])</f>
        <v>#VALUE!</v>
      </c>
      <c r="I745" s="38" t="e">
        <f>YEAR(Libro_Diario[[#This Row],[Fecha]])</f>
        <v>#VALUE!</v>
      </c>
    </row>
    <row r="746" spans="3:9" x14ac:dyDescent="0.3">
      <c r="C746" s="37"/>
      <c r="D746" s="38"/>
      <c r="E746" s="38"/>
      <c r="F746" s="39"/>
      <c r="G746" s="40"/>
      <c r="H746" s="38" t="e">
        <f>MONTH(Libro_Diario[[#This Row],[Fecha]])</f>
        <v>#VALUE!</v>
      </c>
      <c r="I746" s="38" t="e">
        <f>YEAR(Libro_Diario[[#This Row],[Fecha]])</f>
        <v>#VALUE!</v>
      </c>
    </row>
    <row r="747" spans="3:9" x14ac:dyDescent="0.3">
      <c r="C747" s="37"/>
      <c r="D747" s="38"/>
      <c r="E747" s="38"/>
      <c r="F747" s="39"/>
      <c r="G747" s="40"/>
      <c r="H747" s="38" t="e">
        <f>MONTH(Libro_Diario[[#This Row],[Fecha]])</f>
        <v>#VALUE!</v>
      </c>
      <c r="I747" s="38" t="e">
        <f>YEAR(Libro_Diario[[#This Row],[Fecha]])</f>
        <v>#VALUE!</v>
      </c>
    </row>
    <row r="748" spans="3:9" x14ac:dyDescent="0.3">
      <c r="C748" s="37"/>
      <c r="D748" s="38"/>
      <c r="E748" s="38"/>
      <c r="F748" s="39"/>
      <c r="G748" s="40"/>
      <c r="H748" s="38" t="e">
        <f>MONTH(Libro_Diario[[#This Row],[Fecha]])</f>
        <v>#VALUE!</v>
      </c>
      <c r="I748" s="38" t="e">
        <f>YEAR(Libro_Diario[[#This Row],[Fecha]])</f>
        <v>#VALUE!</v>
      </c>
    </row>
    <row r="749" spans="3:9" x14ac:dyDescent="0.3">
      <c r="C749" s="37"/>
      <c r="D749" s="38"/>
      <c r="E749" s="38"/>
      <c r="F749" s="39"/>
      <c r="G749" s="40"/>
      <c r="H749" s="38" t="e">
        <f>MONTH(Libro_Diario[[#This Row],[Fecha]])</f>
        <v>#VALUE!</v>
      </c>
      <c r="I749" s="38" t="e">
        <f>YEAR(Libro_Diario[[#This Row],[Fecha]])</f>
        <v>#VALUE!</v>
      </c>
    </row>
    <row r="750" spans="3:9" x14ac:dyDescent="0.3">
      <c r="C750" s="37"/>
      <c r="D750" s="38"/>
      <c r="E750" s="38"/>
      <c r="F750" s="39"/>
      <c r="G750" s="40"/>
      <c r="H750" s="38" t="e">
        <f>MONTH(Libro_Diario[[#This Row],[Fecha]])</f>
        <v>#VALUE!</v>
      </c>
      <c r="I750" s="38" t="e">
        <f>YEAR(Libro_Diario[[#This Row],[Fecha]])</f>
        <v>#VALUE!</v>
      </c>
    </row>
    <row r="751" spans="3:9" x14ac:dyDescent="0.3">
      <c r="C751" s="37"/>
      <c r="D751" s="38"/>
      <c r="E751" s="38"/>
      <c r="F751" s="39"/>
      <c r="G751" s="40"/>
      <c r="H751" s="38" t="e">
        <f>MONTH(Libro_Diario[[#This Row],[Fecha]])</f>
        <v>#VALUE!</v>
      </c>
      <c r="I751" s="38" t="e">
        <f>YEAR(Libro_Diario[[#This Row],[Fecha]])</f>
        <v>#VALUE!</v>
      </c>
    </row>
    <row r="752" spans="3:9" x14ac:dyDescent="0.3">
      <c r="C752" s="37"/>
      <c r="D752" s="38"/>
      <c r="E752" s="38"/>
      <c r="F752" s="39"/>
      <c r="G752" s="40"/>
      <c r="H752" s="38" t="e">
        <f>MONTH(Libro_Diario[[#This Row],[Fecha]])</f>
        <v>#VALUE!</v>
      </c>
      <c r="I752" s="38" t="e">
        <f>YEAR(Libro_Diario[[#This Row],[Fecha]])</f>
        <v>#VALUE!</v>
      </c>
    </row>
    <row r="753" spans="3:9" x14ac:dyDescent="0.3">
      <c r="C753" s="37"/>
      <c r="D753" s="38"/>
      <c r="E753" s="38"/>
      <c r="F753" s="39"/>
      <c r="G753" s="40"/>
      <c r="H753" s="38" t="e">
        <f>MONTH(Libro_Diario[[#This Row],[Fecha]])</f>
        <v>#VALUE!</v>
      </c>
      <c r="I753" s="38" t="e">
        <f>YEAR(Libro_Diario[[#This Row],[Fecha]])</f>
        <v>#VALUE!</v>
      </c>
    </row>
    <row r="754" spans="3:9" x14ac:dyDescent="0.3">
      <c r="C754" s="37"/>
      <c r="D754" s="38"/>
      <c r="E754" s="38"/>
      <c r="F754" s="39"/>
      <c r="G754" s="40"/>
      <c r="H754" s="38" t="e">
        <f>MONTH(Libro_Diario[[#This Row],[Fecha]])</f>
        <v>#VALUE!</v>
      </c>
      <c r="I754" s="38" t="e">
        <f>YEAR(Libro_Diario[[#This Row],[Fecha]])</f>
        <v>#VALUE!</v>
      </c>
    </row>
    <row r="755" spans="3:9" x14ac:dyDescent="0.3">
      <c r="C755" s="37"/>
      <c r="D755" s="38"/>
      <c r="E755" s="38"/>
      <c r="F755" s="39"/>
      <c r="G755" s="40"/>
      <c r="H755" s="38" t="e">
        <f>MONTH(Libro_Diario[[#This Row],[Fecha]])</f>
        <v>#VALUE!</v>
      </c>
      <c r="I755" s="38" t="e">
        <f>YEAR(Libro_Diario[[#This Row],[Fecha]])</f>
        <v>#VALUE!</v>
      </c>
    </row>
    <row r="756" spans="3:9" x14ac:dyDescent="0.3">
      <c r="C756" s="37"/>
      <c r="D756" s="38"/>
      <c r="E756" s="38"/>
      <c r="F756" s="39"/>
      <c r="G756" s="40"/>
      <c r="H756" s="38" t="e">
        <f>MONTH(Libro_Diario[[#This Row],[Fecha]])</f>
        <v>#VALUE!</v>
      </c>
      <c r="I756" s="38" t="e">
        <f>YEAR(Libro_Diario[[#This Row],[Fecha]])</f>
        <v>#VALUE!</v>
      </c>
    </row>
    <row r="757" spans="3:9" x14ac:dyDescent="0.3">
      <c r="C757" s="37"/>
      <c r="D757" s="38"/>
      <c r="E757" s="38"/>
      <c r="F757" s="39"/>
      <c r="G757" s="40"/>
      <c r="H757" s="38" t="e">
        <f>MONTH(Libro_Diario[[#This Row],[Fecha]])</f>
        <v>#VALUE!</v>
      </c>
      <c r="I757" s="38" t="e">
        <f>YEAR(Libro_Diario[[#This Row],[Fecha]])</f>
        <v>#VALUE!</v>
      </c>
    </row>
    <row r="758" spans="3:9" x14ac:dyDescent="0.3">
      <c r="C758" s="37"/>
      <c r="D758" s="38"/>
      <c r="E758" s="38"/>
      <c r="F758" s="39"/>
      <c r="G758" s="40"/>
      <c r="H758" s="38" t="e">
        <f>MONTH(Libro_Diario[[#This Row],[Fecha]])</f>
        <v>#VALUE!</v>
      </c>
      <c r="I758" s="38" t="e">
        <f>YEAR(Libro_Diario[[#This Row],[Fecha]])</f>
        <v>#VALUE!</v>
      </c>
    </row>
    <row r="759" spans="3:9" x14ac:dyDescent="0.3">
      <c r="C759" s="37"/>
      <c r="D759" s="38"/>
      <c r="E759" s="38"/>
      <c r="F759" s="39"/>
      <c r="G759" s="40"/>
      <c r="H759" s="38" t="e">
        <f>MONTH(Libro_Diario[[#This Row],[Fecha]])</f>
        <v>#VALUE!</v>
      </c>
      <c r="I759" s="38" t="e">
        <f>YEAR(Libro_Diario[[#This Row],[Fecha]])</f>
        <v>#VALUE!</v>
      </c>
    </row>
    <row r="760" spans="3:9" x14ac:dyDescent="0.3">
      <c r="C760" s="37"/>
      <c r="D760" s="38"/>
      <c r="E760" s="38"/>
      <c r="F760" s="39"/>
      <c r="G760" s="40"/>
      <c r="H760" s="38" t="e">
        <f>MONTH(Libro_Diario[[#This Row],[Fecha]])</f>
        <v>#VALUE!</v>
      </c>
      <c r="I760" s="38" t="e">
        <f>YEAR(Libro_Diario[[#This Row],[Fecha]])</f>
        <v>#VALUE!</v>
      </c>
    </row>
    <row r="761" spans="3:9" x14ac:dyDescent="0.3">
      <c r="C761" s="37"/>
      <c r="D761" s="38"/>
      <c r="E761" s="38"/>
      <c r="F761" s="39"/>
      <c r="G761" s="40"/>
      <c r="H761" s="38" t="e">
        <f>MONTH(Libro_Diario[[#This Row],[Fecha]])</f>
        <v>#VALUE!</v>
      </c>
      <c r="I761" s="38" t="e">
        <f>YEAR(Libro_Diario[[#This Row],[Fecha]])</f>
        <v>#VALUE!</v>
      </c>
    </row>
    <row r="762" spans="3:9" x14ac:dyDescent="0.3">
      <c r="C762" s="37"/>
      <c r="D762" s="38"/>
      <c r="E762" s="38"/>
      <c r="F762" s="39"/>
      <c r="G762" s="40"/>
      <c r="H762" s="38" t="e">
        <f>MONTH(Libro_Diario[[#This Row],[Fecha]])</f>
        <v>#VALUE!</v>
      </c>
      <c r="I762" s="38" t="e">
        <f>YEAR(Libro_Diario[[#This Row],[Fecha]])</f>
        <v>#VALUE!</v>
      </c>
    </row>
    <row r="763" spans="3:9" x14ac:dyDescent="0.3">
      <c r="C763" s="37"/>
      <c r="D763" s="38"/>
      <c r="E763" s="38"/>
      <c r="F763" s="39"/>
      <c r="G763" s="40"/>
      <c r="H763" s="38" t="e">
        <f>MONTH(Libro_Diario[[#This Row],[Fecha]])</f>
        <v>#VALUE!</v>
      </c>
      <c r="I763" s="38" t="e">
        <f>YEAR(Libro_Diario[[#This Row],[Fecha]])</f>
        <v>#VALUE!</v>
      </c>
    </row>
    <row r="764" spans="3:9" x14ac:dyDescent="0.3">
      <c r="C764" s="37"/>
      <c r="D764" s="38"/>
      <c r="E764" s="38"/>
      <c r="F764" s="39"/>
      <c r="G764" s="40"/>
      <c r="H764" s="38" t="e">
        <f>MONTH(Libro_Diario[[#This Row],[Fecha]])</f>
        <v>#VALUE!</v>
      </c>
      <c r="I764" s="38" t="e">
        <f>YEAR(Libro_Diario[[#This Row],[Fecha]])</f>
        <v>#VALUE!</v>
      </c>
    </row>
    <row r="765" spans="3:9" x14ac:dyDescent="0.3">
      <c r="C765" s="37"/>
      <c r="D765" s="38"/>
      <c r="E765" s="38"/>
      <c r="F765" s="39"/>
      <c r="G765" s="40"/>
      <c r="H765" s="38" t="e">
        <f>MONTH(Libro_Diario[[#This Row],[Fecha]])</f>
        <v>#VALUE!</v>
      </c>
      <c r="I765" s="38" t="e">
        <f>YEAR(Libro_Diario[[#This Row],[Fecha]])</f>
        <v>#VALUE!</v>
      </c>
    </row>
    <row r="766" spans="3:9" x14ac:dyDescent="0.3">
      <c r="C766" s="37"/>
      <c r="D766" s="38"/>
      <c r="E766" s="38"/>
      <c r="F766" s="39"/>
      <c r="G766" s="40"/>
      <c r="H766" s="38" t="e">
        <f>MONTH(Libro_Diario[[#This Row],[Fecha]])</f>
        <v>#VALUE!</v>
      </c>
      <c r="I766" s="38" t="e">
        <f>YEAR(Libro_Diario[[#This Row],[Fecha]])</f>
        <v>#VALUE!</v>
      </c>
    </row>
    <row r="767" spans="3:9" x14ac:dyDescent="0.3">
      <c r="C767" s="37"/>
      <c r="D767" s="38"/>
      <c r="E767" s="38"/>
      <c r="F767" s="39"/>
      <c r="G767" s="40"/>
      <c r="H767" s="38" t="e">
        <f>MONTH(Libro_Diario[[#This Row],[Fecha]])</f>
        <v>#VALUE!</v>
      </c>
      <c r="I767" s="38" t="e">
        <f>YEAR(Libro_Diario[[#This Row],[Fecha]])</f>
        <v>#VALUE!</v>
      </c>
    </row>
    <row r="768" spans="3:9" x14ac:dyDescent="0.3">
      <c r="C768" s="37"/>
      <c r="D768" s="38"/>
      <c r="E768" s="38"/>
      <c r="F768" s="39"/>
      <c r="G768" s="40"/>
      <c r="H768" s="38" t="e">
        <f>MONTH(Libro_Diario[[#This Row],[Fecha]])</f>
        <v>#VALUE!</v>
      </c>
      <c r="I768" s="38" t="e">
        <f>YEAR(Libro_Diario[[#This Row],[Fecha]])</f>
        <v>#VALUE!</v>
      </c>
    </row>
    <row r="769" spans="3:9" x14ac:dyDescent="0.3">
      <c r="C769" s="37"/>
      <c r="D769" s="38"/>
      <c r="E769" s="38"/>
      <c r="F769" s="39"/>
      <c r="G769" s="40"/>
      <c r="H769" s="38" t="e">
        <f>MONTH(Libro_Diario[[#This Row],[Fecha]])</f>
        <v>#VALUE!</v>
      </c>
      <c r="I769" s="38" t="e">
        <f>YEAR(Libro_Diario[[#This Row],[Fecha]])</f>
        <v>#VALUE!</v>
      </c>
    </row>
    <row r="770" spans="3:9" x14ac:dyDescent="0.3">
      <c r="C770" s="37"/>
      <c r="D770" s="38"/>
      <c r="E770" s="38"/>
      <c r="F770" s="39"/>
      <c r="G770" s="40"/>
      <c r="H770" s="38" t="e">
        <f>MONTH(Libro_Diario[[#This Row],[Fecha]])</f>
        <v>#VALUE!</v>
      </c>
      <c r="I770" s="38" t="e">
        <f>YEAR(Libro_Diario[[#This Row],[Fecha]])</f>
        <v>#VALUE!</v>
      </c>
    </row>
    <row r="771" spans="3:9" x14ac:dyDescent="0.3">
      <c r="C771" s="37"/>
      <c r="D771" s="38"/>
      <c r="E771" s="38"/>
      <c r="F771" s="39"/>
      <c r="G771" s="40"/>
      <c r="H771" s="38" t="e">
        <f>MONTH(Libro_Diario[[#This Row],[Fecha]])</f>
        <v>#VALUE!</v>
      </c>
      <c r="I771" s="38" t="e">
        <f>YEAR(Libro_Diario[[#This Row],[Fecha]])</f>
        <v>#VALUE!</v>
      </c>
    </row>
    <row r="772" spans="3:9" x14ac:dyDescent="0.3">
      <c r="C772" s="37"/>
      <c r="D772" s="38"/>
      <c r="E772" s="38"/>
      <c r="F772" s="39"/>
      <c r="G772" s="40"/>
      <c r="H772" s="38" t="e">
        <f>MONTH(Libro_Diario[[#This Row],[Fecha]])</f>
        <v>#VALUE!</v>
      </c>
      <c r="I772" s="38" t="e">
        <f>YEAR(Libro_Diario[[#This Row],[Fecha]])</f>
        <v>#VALUE!</v>
      </c>
    </row>
    <row r="773" spans="3:9" x14ac:dyDescent="0.3">
      <c r="C773" s="37"/>
      <c r="D773" s="38"/>
      <c r="E773" s="38"/>
      <c r="F773" s="39"/>
      <c r="G773" s="40"/>
      <c r="H773" s="38" t="e">
        <f>MONTH(Libro_Diario[[#This Row],[Fecha]])</f>
        <v>#VALUE!</v>
      </c>
      <c r="I773" s="38" t="e">
        <f>YEAR(Libro_Diario[[#This Row],[Fecha]])</f>
        <v>#VALUE!</v>
      </c>
    </row>
    <row r="774" spans="3:9" x14ac:dyDescent="0.3">
      <c r="C774" s="37"/>
      <c r="D774" s="38"/>
      <c r="E774" s="38"/>
      <c r="F774" s="39"/>
      <c r="G774" s="40"/>
      <c r="H774" s="38" t="e">
        <f>MONTH(Libro_Diario[[#This Row],[Fecha]])</f>
        <v>#VALUE!</v>
      </c>
      <c r="I774" s="38" t="e">
        <f>YEAR(Libro_Diario[[#This Row],[Fecha]])</f>
        <v>#VALUE!</v>
      </c>
    </row>
    <row r="775" spans="3:9" x14ac:dyDescent="0.3">
      <c r="C775" s="37"/>
      <c r="D775" s="38"/>
      <c r="E775" s="38"/>
      <c r="F775" s="39"/>
      <c r="G775" s="40"/>
      <c r="H775" s="38" t="e">
        <f>MONTH(Libro_Diario[[#This Row],[Fecha]])</f>
        <v>#VALUE!</v>
      </c>
      <c r="I775" s="38" t="e">
        <f>YEAR(Libro_Diario[[#This Row],[Fecha]])</f>
        <v>#VALUE!</v>
      </c>
    </row>
    <row r="776" spans="3:9" x14ac:dyDescent="0.3">
      <c r="C776" s="37"/>
      <c r="D776" s="38"/>
      <c r="E776" s="38"/>
      <c r="F776" s="39"/>
      <c r="G776" s="40"/>
      <c r="H776" s="38" t="e">
        <f>MONTH(Libro_Diario[[#This Row],[Fecha]])</f>
        <v>#VALUE!</v>
      </c>
      <c r="I776" s="38" t="e">
        <f>YEAR(Libro_Diario[[#This Row],[Fecha]])</f>
        <v>#VALUE!</v>
      </c>
    </row>
    <row r="777" spans="3:9" x14ac:dyDescent="0.3">
      <c r="C777" s="37"/>
      <c r="D777" s="38"/>
      <c r="E777" s="38"/>
      <c r="F777" s="39"/>
      <c r="G777" s="40"/>
      <c r="H777" s="38" t="e">
        <f>MONTH(Libro_Diario[[#This Row],[Fecha]])</f>
        <v>#VALUE!</v>
      </c>
      <c r="I777" s="38" t="e">
        <f>YEAR(Libro_Diario[[#This Row],[Fecha]])</f>
        <v>#VALUE!</v>
      </c>
    </row>
    <row r="778" spans="3:9" x14ac:dyDescent="0.3">
      <c r="C778" s="37"/>
      <c r="D778" s="38"/>
      <c r="E778" s="38"/>
      <c r="F778" s="39"/>
      <c r="G778" s="40"/>
      <c r="H778" s="38" t="e">
        <f>MONTH(Libro_Diario[[#This Row],[Fecha]])</f>
        <v>#VALUE!</v>
      </c>
      <c r="I778" s="38" t="e">
        <f>YEAR(Libro_Diario[[#This Row],[Fecha]])</f>
        <v>#VALUE!</v>
      </c>
    </row>
    <row r="779" spans="3:9" x14ac:dyDescent="0.3">
      <c r="C779" s="37"/>
      <c r="D779" s="38"/>
      <c r="E779" s="38"/>
      <c r="F779" s="39"/>
      <c r="G779" s="40"/>
      <c r="H779" s="38" t="e">
        <f>MONTH(Libro_Diario[[#This Row],[Fecha]])</f>
        <v>#VALUE!</v>
      </c>
      <c r="I779" s="38" t="e">
        <f>YEAR(Libro_Diario[[#This Row],[Fecha]])</f>
        <v>#VALUE!</v>
      </c>
    </row>
    <row r="780" spans="3:9" x14ac:dyDescent="0.3">
      <c r="C780" s="37"/>
      <c r="D780" s="38"/>
      <c r="E780" s="38"/>
      <c r="F780" s="39"/>
      <c r="G780" s="40"/>
      <c r="H780" s="38" t="e">
        <f>MONTH(Libro_Diario[[#This Row],[Fecha]])</f>
        <v>#VALUE!</v>
      </c>
      <c r="I780" s="38" t="e">
        <f>YEAR(Libro_Diario[[#This Row],[Fecha]])</f>
        <v>#VALUE!</v>
      </c>
    </row>
    <row r="781" spans="3:9" x14ac:dyDescent="0.3">
      <c r="C781" s="37"/>
      <c r="D781" s="38"/>
      <c r="E781" s="38"/>
      <c r="F781" s="39"/>
      <c r="G781" s="40"/>
      <c r="H781" s="38" t="e">
        <f>MONTH(Libro_Diario[[#This Row],[Fecha]])</f>
        <v>#VALUE!</v>
      </c>
      <c r="I781" s="38" t="e">
        <f>YEAR(Libro_Diario[[#This Row],[Fecha]])</f>
        <v>#VALUE!</v>
      </c>
    </row>
    <row r="782" spans="3:9" x14ac:dyDescent="0.3">
      <c r="C782" s="37"/>
      <c r="D782" s="38"/>
      <c r="E782" s="38"/>
      <c r="F782" s="39"/>
      <c r="G782" s="40"/>
      <c r="H782" s="38" t="e">
        <f>MONTH(Libro_Diario[[#This Row],[Fecha]])</f>
        <v>#VALUE!</v>
      </c>
      <c r="I782" s="38" t="e">
        <f>YEAR(Libro_Diario[[#This Row],[Fecha]])</f>
        <v>#VALUE!</v>
      </c>
    </row>
    <row r="783" spans="3:9" x14ac:dyDescent="0.3">
      <c r="C783" s="37"/>
      <c r="D783" s="38"/>
      <c r="E783" s="38"/>
      <c r="F783" s="39"/>
      <c r="G783" s="40"/>
      <c r="H783" s="38" t="e">
        <f>MONTH(Libro_Diario[[#This Row],[Fecha]])</f>
        <v>#VALUE!</v>
      </c>
      <c r="I783" s="38" t="e">
        <f>YEAR(Libro_Diario[[#This Row],[Fecha]])</f>
        <v>#VALUE!</v>
      </c>
    </row>
    <row r="784" spans="3:9" x14ac:dyDescent="0.3">
      <c r="C784" s="37"/>
      <c r="D784" s="38"/>
      <c r="E784" s="38"/>
      <c r="F784" s="39"/>
      <c r="G784" s="40"/>
      <c r="H784" s="38" t="e">
        <f>MONTH(Libro_Diario[[#This Row],[Fecha]])</f>
        <v>#VALUE!</v>
      </c>
      <c r="I784" s="38" t="e">
        <f>YEAR(Libro_Diario[[#This Row],[Fecha]])</f>
        <v>#VALUE!</v>
      </c>
    </row>
    <row r="785" spans="3:9" x14ac:dyDescent="0.3">
      <c r="C785" s="37"/>
      <c r="D785" s="38"/>
      <c r="E785" s="38"/>
      <c r="F785" s="39"/>
      <c r="G785" s="40"/>
      <c r="H785" s="38" t="e">
        <f>MONTH(Libro_Diario[[#This Row],[Fecha]])</f>
        <v>#VALUE!</v>
      </c>
      <c r="I785" s="38" t="e">
        <f>YEAR(Libro_Diario[[#This Row],[Fecha]])</f>
        <v>#VALUE!</v>
      </c>
    </row>
    <row r="786" spans="3:9" x14ac:dyDescent="0.3">
      <c r="C786" s="37"/>
      <c r="D786" s="38"/>
      <c r="E786" s="38"/>
      <c r="F786" s="39"/>
      <c r="G786" s="40"/>
      <c r="H786" s="38" t="e">
        <f>MONTH(Libro_Diario[[#This Row],[Fecha]])</f>
        <v>#VALUE!</v>
      </c>
      <c r="I786" s="38" t="e">
        <f>YEAR(Libro_Diario[[#This Row],[Fecha]])</f>
        <v>#VALUE!</v>
      </c>
    </row>
    <row r="787" spans="3:9" x14ac:dyDescent="0.3">
      <c r="C787" s="37"/>
      <c r="D787" s="38"/>
      <c r="E787" s="38"/>
      <c r="F787" s="39"/>
      <c r="G787" s="40"/>
      <c r="H787" s="38" t="e">
        <f>MONTH(Libro_Diario[[#This Row],[Fecha]])</f>
        <v>#VALUE!</v>
      </c>
      <c r="I787" s="38" t="e">
        <f>YEAR(Libro_Diario[[#This Row],[Fecha]])</f>
        <v>#VALUE!</v>
      </c>
    </row>
    <row r="788" spans="3:9" x14ac:dyDescent="0.3">
      <c r="C788" s="37"/>
      <c r="D788" s="38"/>
      <c r="E788" s="38"/>
      <c r="F788" s="39"/>
      <c r="G788" s="40"/>
      <c r="H788" s="38" t="e">
        <f>MONTH(Libro_Diario[[#This Row],[Fecha]])</f>
        <v>#VALUE!</v>
      </c>
      <c r="I788" s="38" t="e">
        <f>YEAR(Libro_Diario[[#This Row],[Fecha]])</f>
        <v>#VALUE!</v>
      </c>
    </row>
    <row r="789" spans="3:9" x14ac:dyDescent="0.3">
      <c r="C789" s="37"/>
      <c r="D789" s="38"/>
      <c r="E789" s="38"/>
      <c r="F789" s="39"/>
      <c r="G789" s="40"/>
      <c r="H789" s="38" t="e">
        <f>MONTH(Libro_Diario[[#This Row],[Fecha]])</f>
        <v>#VALUE!</v>
      </c>
      <c r="I789" s="38" t="e">
        <f>YEAR(Libro_Diario[[#This Row],[Fecha]])</f>
        <v>#VALUE!</v>
      </c>
    </row>
    <row r="790" spans="3:9" x14ac:dyDescent="0.3">
      <c r="C790" s="37"/>
      <c r="D790" s="38"/>
      <c r="E790" s="38"/>
      <c r="F790" s="39"/>
      <c r="G790" s="40"/>
      <c r="H790" s="38" t="e">
        <f>MONTH(Libro_Diario[[#This Row],[Fecha]])</f>
        <v>#VALUE!</v>
      </c>
      <c r="I790" s="38" t="e">
        <f>YEAR(Libro_Diario[[#This Row],[Fecha]])</f>
        <v>#VALUE!</v>
      </c>
    </row>
    <row r="791" spans="3:9" x14ac:dyDescent="0.3">
      <c r="C791" s="37"/>
      <c r="D791" s="38"/>
      <c r="E791" s="38"/>
      <c r="F791" s="39"/>
      <c r="G791" s="40"/>
      <c r="H791" s="38" t="e">
        <f>MONTH(Libro_Diario[[#This Row],[Fecha]])</f>
        <v>#VALUE!</v>
      </c>
      <c r="I791" s="38" t="e">
        <f>YEAR(Libro_Diario[[#This Row],[Fecha]])</f>
        <v>#VALUE!</v>
      </c>
    </row>
    <row r="792" spans="3:9" x14ac:dyDescent="0.3">
      <c r="C792" s="37"/>
      <c r="D792" s="38"/>
      <c r="E792" s="38"/>
      <c r="F792" s="39"/>
      <c r="G792" s="40"/>
      <c r="H792" s="38" t="e">
        <f>MONTH(Libro_Diario[[#This Row],[Fecha]])</f>
        <v>#VALUE!</v>
      </c>
      <c r="I792" s="38" t="e">
        <f>YEAR(Libro_Diario[[#This Row],[Fecha]])</f>
        <v>#VALUE!</v>
      </c>
    </row>
    <row r="793" spans="3:9" x14ac:dyDescent="0.3">
      <c r="C793" s="37"/>
      <c r="D793" s="38"/>
      <c r="E793" s="38"/>
      <c r="F793" s="39"/>
      <c r="G793" s="40"/>
      <c r="H793" s="38" t="e">
        <f>MONTH(Libro_Diario[[#This Row],[Fecha]])</f>
        <v>#VALUE!</v>
      </c>
      <c r="I793" s="38" t="e">
        <f>YEAR(Libro_Diario[[#This Row],[Fecha]])</f>
        <v>#VALUE!</v>
      </c>
    </row>
    <row r="794" spans="3:9" x14ac:dyDescent="0.3">
      <c r="C794" s="37"/>
      <c r="D794" s="38"/>
      <c r="E794" s="38"/>
      <c r="F794" s="39"/>
      <c r="G794" s="40"/>
      <c r="H794" s="38" t="e">
        <f>MONTH(Libro_Diario[[#This Row],[Fecha]])</f>
        <v>#VALUE!</v>
      </c>
      <c r="I794" s="38" t="e">
        <f>YEAR(Libro_Diario[[#This Row],[Fecha]])</f>
        <v>#VALUE!</v>
      </c>
    </row>
    <row r="795" spans="3:9" x14ac:dyDescent="0.3">
      <c r="C795" s="37"/>
      <c r="D795" s="38"/>
      <c r="E795" s="38"/>
      <c r="F795" s="39"/>
      <c r="G795" s="40"/>
      <c r="H795" s="38" t="e">
        <f>MONTH(Libro_Diario[[#This Row],[Fecha]])</f>
        <v>#VALUE!</v>
      </c>
      <c r="I795" s="38" t="e">
        <f>YEAR(Libro_Diario[[#This Row],[Fecha]])</f>
        <v>#VALUE!</v>
      </c>
    </row>
    <row r="796" spans="3:9" x14ac:dyDescent="0.3">
      <c r="C796" s="37"/>
      <c r="D796" s="38"/>
      <c r="E796" s="38"/>
      <c r="F796" s="39"/>
      <c r="G796" s="40"/>
      <c r="H796" s="38" t="e">
        <f>MONTH(Libro_Diario[[#This Row],[Fecha]])</f>
        <v>#VALUE!</v>
      </c>
      <c r="I796" s="38" t="e">
        <f>YEAR(Libro_Diario[[#This Row],[Fecha]])</f>
        <v>#VALUE!</v>
      </c>
    </row>
    <row r="797" spans="3:9" x14ac:dyDescent="0.3">
      <c r="C797" s="37"/>
      <c r="D797" s="38"/>
      <c r="E797" s="38"/>
      <c r="F797" s="39"/>
      <c r="G797" s="40"/>
      <c r="H797" s="38" t="e">
        <f>MONTH(Libro_Diario[[#This Row],[Fecha]])</f>
        <v>#VALUE!</v>
      </c>
      <c r="I797" s="38" t="e">
        <f>YEAR(Libro_Diario[[#This Row],[Fecha]])</f>
        <v>#VALUE!</v>
      </c>
    </row>
    <row r="798" spans="3:9" x14ac:dyDescent="0.3">
      <c r="C798" s="37"/>
      <c r="D798" s="38"/>
      <c r="E798" s="38"/>
      <c r="F798" s="39"/>
      <c r="G798" s="40"/>
      <c r="H798" s="38" t="e">
        <f>MONTH(Libro_Diario[[#This Row],[Fecha]])</f>
        <v>#VALUE!</v>
      </c>
      <c r="I798" s="38" t="e">
        <f>YEAR(Libro_Diario[[#This Row],[Fecha]])</f>
        <v>#VALUE!</v>
      </c>
    </row>
    <row r="799" spans="3:9" x14ac:dyDescent="0.3">
      <c r="C799" s="37"/>
      <c r="D799" s="38"/>
      <c r="E799" s="38"/>
      <c r="F799" s="39"/>
      <c r="G799" s="40"/>
      <c r="H799" s="38" t="e">
        <f>MONTH(Libro_Diario[[#This Row],[Fecha]])</f>
        <v>#VALUE!</v>
      </c>
      <c r="I799" s="38" t="e">
        <f>YEAR(Libro_Diario[[#This Row],[Fecha]])</f>
        <v>#VALUE!</v>
      </c>
    </row>
    <row r="800" spans="3:9" x14ac:dyDescent="0.3">
      <c r="C800" s="37"/>
      <c r="D800" s="38"/>
      <c r="E800" s="38"/>
      <c r="F800" s="39"/>
      <c r="G800" s="40"/>
      <c r="H800" s="38" t="e">
        <f>MONTH(Libro_Diario[[#This Row],[Fecha]])</f>
        <v>#VALUE!</v>
      </c>
      <c r="I800" s="38" t="e">
        <f>YEAR(Libro_Diario[[#This Row],[Fecha]])</f>
        <v>#VALUE!</v>
      </c>
    </row>
    <row r="801" spans="3:9" x14ac:dyDescent="0.3">
      <c r="C801" s="37"/>
      <c r="D801" s="38"/>
      <c r="E801" s="38"/>
      <c r="F801" s="39"/>
      <c r="G801" s="40"/>
      <c r="H801" s="38" t="e">
        <f>MONTH(Libro_Diario[[#This Row],[Fecha]])</f>
        <v>#VALUE!</v>
      </c>
      <c r="I801" s="38" t="e">
        <f>YEAR(Libro_Diario[[#This Row],[Fecha]])</f>
        <v>#VALUE!</v>
      </c>
    </row>
    <row r="802" spans="3:9" x14ac:dyDescent="0.3">
      <c r="C802" s="37"/>
      <c r="D802" s="38"/>
      <c r="E802" s="38"/>
      <c r="F802" s="39"/>
      <c r="G802" s="40"/>
      <c r="H802" s="38" t="e">
        <f>MONTH(Libro_Diario[[#This Row],[Fecha]])</f>
        <v>#VALUE!</v>
      </c>
      <c r="I802" s="38" t="e">
        <f>YEAR(Libro_Diario[[#This Row],[Fecha]])</f>
        <v>#VALUE!</v>
      </c>
    </row>
    <row r="803" spans="3:9" x14ac:dyDescent="0.3">
      <c r="C803" s="37"/>
      <c r="D803" s="38"/>
      <c r="E803" s="38"/>
      <c r="F803" s="39"/>
      <c r="G803" s="40"/>
      <c r="H803" s="38" t="e">
        <f>MONTH(Libro_Diario[[#This Row],[Fecha]])</f>
        <v>#VALUE!</v>
      </c>
      <c r="I803" s="38" t="e">
        <f>YEAR(Libro_Diario[[#This Row],[Fecha]])</f>
        <v>#VALUE!</v>
      </c>
    </row>
    <row r="804" spans="3:9" x14ac:dyDescent="0.3">
      <c r="C804" s="37"/>
      <c r="D804" s="38"/>
      <c r="E804" s="38"/>
      <c r="F804" s="39"/>
      <c r="G804" s="40"/>
      <c r="H804" s="38" t="e">
        <f>MONTH(Libro_Diario[[#This Row],[Fecha]])</f>
        <v>#VALUE!</v>
      </c>
      <c r="I804" s="38" t="e">
        <f>YEAR(Libro_Diario[[#This Row],[Fecha]])</f>
        <v>#VALUE!</v>
      </c>
    </row>
    <row r="805" spans="3:9" x14ac:dyDescent="0.3">
      <c r="C805" s="37"/>
      <c r="D805" s="38"/>
      <c r="E805" s="38"/>
      <c r="F805" s="39"/>
      <c r="G805" s="40"/>
      <c r="H805" s="38" t="e">
        <f>MONTH(Libro_Diario[[#This Row],[Fecha]])</f>
        <v>#VALUE!</v>
      </c>
      <c r="I805" s="38" t="e">
        <f>YEAR(Libro_Diario[[#This Row],[Fecha]])</f>
        <v>#VALUE!</v>
      </c>
    </row>
    <row r="806" spans="3:9" x14ac:dyDescent="0.3">
      <c r="C806" s="37"/>
      <c r="D806" s="38"/>
      <c r="E806" s="38"/>
      <c r="F806" s="39"/>
      <c r="G806" s="40"/>
      <c r="H806" s="38" t="e">
        <f>MONTH(Libro_Diario[[#This Row],[Fecha]])</f>
        <v>#VALUE!</v>
      </c>
      <c r="I806" s="38" t="e">
        <f>YEAR(Libro_Diario[[#This Row],[Fecha]])</f>
        <v>#VALUE!</v>
      </c>
    </row>
    <row r="807" spans="3:9" x14ac:dyDescent="0.3">
      <c r="C807" s="37"/>
      <c r="D807" s="38"/>
      <c r="E807" s="38"/>
      <c r="F807" s="39"/>
      <c r="G807" s="40"/>
      <c r="H807" s="38" t="e">
        <f>MONTH(Libro_Diario[[#This Row],[Fecha]])</f>
        <v>#VALUE!</v>
      </c>
      <c r="I807" s="38" t="e">
        <f>YEAR(Libro_Diario[[#This Row],[Fecha]])</f>
        <v>#VALUE!</v>
      </c>
    </row>
    <row r="808" spans="3:9" x14ac:dyDescent="0.3">
      <c r="C808" s="37"/>
      <c r="D808" s="38"/>
      <c r="E808" s="38"/>
      <c r="F808" s="39"/>
      <c r="G808" s="40"/>
      <c r="H808" s="38" t="e">
        <f>MONTH(Libro_Diario[[#This Row],[Fecha]])</f>
        <v>#VALUE!</v>
      </c>
      <c r="I808" s="38" t="e">
        <f>YEAR(Libro_Diario[[#This Row],[Fecha]])</f>
        <v>#VALUE!</v>
      </c>
    </row>
    <row r="809" spans="3:9" x14ac:dyDescent="0.3">
      <c r="C809" s="37"/>
      <c r="D809" s="38"/>
      <c r="E809" s="38"/>
      <c r="F809" s="39"/>
      <c r="G809" s="40"/>
      <c r="H809" s="38" t="e">
        <f>MONTH(Libro_Diario[[#This Row],[Fecha]])</f>
        <v>#VALUE!</v>
      </c>
      <c r="I809" s="38" t="e">
        <f>YEAR(Libro_Diario[[#This Row],[Fecha]])</f>
        <v>#VALUE!</v>
      </c>
    </row>
    <row r="810" spans="3:9" x14ac:dyDescent="0.3">
      <c r="C810" s="37"/>
      <c r="D810" s="38"/>
      <c r="E810" s="38"/>
      <c r="F810" s="39"/>
      <c r="G810" s="40"/>
      <c r="H810" s="38" t="e">
        <f>MONTH(Libro_Diario[[#This Row],[Fecha]])</f>
        <v>#VALUE!</v>
      </c>
      <c r="I810" s="38" t="e">
        <f>YEAR(Libro_Diario[[#This Row],[Fecha]])</f>
        <v>#VALUE!</v>
      </c>
    </row>
    <row r="811" spans="3:9" x14ac:dyDescent="0.3">
      <c r="C811" s="37"/>
      <c r="D811" s="38"/>
      <c r="E811" s="38"/>
      <c r="F811" s="39"/>
      <c r="G811" s="40"/>
      <c r="H811" s="38" t="e">
        <f>MONTH(Libro_Diario[[#This Row],[Fecha]])</f>
        <v>#VALUE!</v>
      </c>
      <c r="I811" s="38" t="e">
        <f>YEAR(Libro_Diario[[#This Row],[Fecha]])</f>
        <v>#VALUE!</v>
      </c>
    </row>
    <row r="812" spans="3:9" x14ac:dyDescent="0.3">
      <c r="C812" s="37"/>
      <c r="D812" s="38"/>
      <c r="E812" s="38"/>
      <c r="F812" s="39"/>
      <c r="G812" s="40"/>
      <c r="H812" s="38" t="e">
        <f>MONTH(Libro_Diario[[#This Row],[Fecha]])</f>
        <v>#VALUE!</v>
      </c>
      <c r="I812" s="38" t="e">
        <f>YEAR(Libro_Diario[[#This Row],[Fecha]])</f>
        <v>#VALUE!</v>
      </c>
    </row>
    <row r="813" spans="3:9" x14ac:dyDescent="0.3">
      <c r="C813" s="37"/>
      <c r="D813" s="38"/>
      <c r="E813" s="38"/>
      <c r="F813" s="39"/>
      <c r="G813" s="40"/>
      <c r="H813" s="38" t="e">
        <f>MONTH(Libro_Diario[[#This Row],[Fecha]])</f>
        <v>#VALUE!</v>
      </c>
      <c r="I813" s="38" t="e">
        <f>YEAR(Libro_Diario[[#This Row],[Fecha]])</f>
        <v>#VALUE!</v>
      </c>
    </row>
    <row r="814" spans="3:9" x14ac:dyDescent="0.3">
      <c r="C814" s="37"/>
      <c r="D814" s="38"/>
      <c r="E814" s="38"/>
      <c r="F814" s="39"/>
      <c r="G814" s="40"/>
      <c r="H814" s="38" t="e">
        <f>MONTH(Libro_Diario[[#This Row],[Fecha]])</f>
        <v>#VALUE!</v>
      </c>
      <c r="I814" s="38" t="e">
        <f>YEAR(Libro_Diario[[#This Row],[Fecha]])</f>
        <v>#VALUE!</v>
      </c>
    </row>
    <row r="815" spans="3:9" x14ac:dyDescent="0.3">
      <c r="C815" s="37"/>
      <c r="D815" s="38"/>
      <c r="E815" s="38"/>
      <c r="F815" s="39"/>
      <c r="G815" s="40"/>
      <c r="H815" s="38" t="e">
        <f>MONTH(Libro_Diario[[#This Row],[Fecha]])</f>
        <v>#VALUE!</v>
      </c>
      <c r="I815" s="38" t="e">
        <f>YEAR(Libro_Diario[[#This Row],[Fecha]])</f>
        <v>#VALUE!</v>
      </c>
    </row>
    <row r="816" spans="3:9" x14ac:dyDescent="0.3">
      <c r="C816" s="37"/>
      <c r="D816" s="38"/>
      <c r="E816" s="38"/>
      <c r="F816" s="39"/>
      <c r="G816" s="40"/>
      <c r="H816" s="38" t="e">
        <f>MONTH(Libro_Diario[[#This Row],[Fecha]])</f>
        <v>#VALUE!</v>
      </c>
      <c r="I816" s="38" t="e">
        <f>YEAR(Libro_Diario[[#This Row],[Fecha]])</f>
        <v>#VALUE!</v>
      </c>
    </row>
    <row r="817" spans="3:9" x14ac:dyDescent="0.3">
      <c r="C817" s="37"/>
      <c r="D817" s="38"/>
      <c r="E817" s="38"/>
      <c r="F817" s="39"/>
      <c r="G817" s="40"/>
      <c r="H817" s="38" t="e">
        <f>MONTH(Libro_Diario[[#This Row],[Fecha]])</f>
        <v>#VALUE!</v>
      </c>
      <c r="I817" s="38" t="e">
        <f>YEAR(Libro_Diario[[#This Row],[Fecha]])</f>
        <v>#VALUE!</v>
      </c>
    </row>
    <row r="818" spans="3:9" x14ac:dyDescent="0.3">
      <c r="C818" s="37"/>
      <c r="D818" s="38"/>
      <c r="E818" s="38"/>
      <c r="F818" s="39"/>
      <c r="G818" s="40"/>
      <c r="H818" s="38" t="e">
        <f>MONTH(Libro_Diario[[#This Row],[Fecha]])</f>
        <v>#VALUE!</v>
      </c>
      <c r="I818" s="38" t="e">
        <f>YEAR(Libro_Diario[[#This Row],[Fecha]])</f>
        <v>#VALUE!</v>
      </c>
    </row>
    <row r="819" spans="3:9" x14ac:dyDescent="0.3">
      <c r="C819" s="37"/>
      <c r="D819" s="38"/>
      <c r="E819" s="38"/>
      <c r="F819" s="39"/>
      <c r="G819" s="40"/>
      <c r="H819" s="38" t="e">
        <f>MONTH(Libro_Diario[[#This Row],[Fecha]])</f>
        <v>#VALUE!</v>
      </c>
      <c r="I819" s="38" t="e">
        <f>YEAR(Libro_Diario[[#This Row],[Fecha]])</f>
        <v>#VALUE!</v>
      </c>
    </row>
    <row r="820" spans="3:9" x14ac:dyDescent="0.3">
      <c r="C820" s="37"/>
      <c r="D820" s="38"/>
      <c r="E820" s="38"/>
      <c r="F820" s="39"/>
      <c r="G820" s="40"/>
      <c r="H820" s="38" t="e">
        <f>MONTH(Libro_Diario[[#This Row],[Fecha]])</f>
        <v>#VALUE!</v>
      </c>
      <c r="I820" s="38" t="e">
        <f>YEAR(Libro_Diario[[#This Row],[Fecha]])</f>
        <v>#VALUE!</v>
      </c>
    </row>
    <row r="821" spans="3:9" x14ac:dyDescent="0.3">
      <c r="C821" s="37"/>
      <c r="D821" s="38"/>
      <c r="E821" s="38"/>
      <c r="F821" s="39"/>
      <c r="G821" s="40"/>
      <c r="H821" s="38" t="e">
        <f>MONTH(Libro_Diario[[#This Row],[Fecha]])</f>
        <v>#VALUE!</v>
      </c>
      <c r="I821" s="38" t="e">
        <f>YEAR(Libro_Diario[[#This Row],[Fecha]])</f>
        <v>#VALUE!</v>
      </c>
    </row>
    <row r="822" spans="3:9" x14ac:dyDescent="0.3">
      <c r="C822" s="37"/>
      <c r="D822" s="38"/>
      <c r="E822" s="38"/>
      <c r="F822" s="39"/>
      <c r="G822" s="40"/>
      <c r="H822" s="38" t="e">
        <f>MONTH(Libro_Diario[[#This Row],[Fecha]])</f>
        <v>#VALUE!</v>
      </c>
      <c r="I822" s="38" t="e">
        <f>YEAR(Libro_Diario[[#This Row],[Fecha]])</f>
        <v>#VALUE!</v>
      </c>
    </row>
    <row r="823" spans="3:9" x14ac:dyDescent="0.3">
      <c r="C823" s="37"/>
      <c r="D823" s="38"/>
      <c r="E823" s="38"/>
      <c r="F823" s="39"/>
      <c r="G823" s="40"/>
      <c r="H823" s="38" t="e">
        <f>MONTH(Libro_Diario[[#This Row],[Fecha]])</f>
        <v>#VALUE!</v>
      </c>
      <c r="I823" s="38" t="e">
        <f>YEAR(Libro_Diario[[#This Row],[Fecha]])</f>
        <v>#VALUE!</v>
      </c>
    </row>
    <row r="824" spans="3:9" x14ac:dyDescent="0.3">
      <c r="C824" s="37"/>
      <c r="D824" s="38"/>
      <c r="E824" s="38"/>
      <c r="F824" s="39"/>
      <c r="G824" s="40"/>
      <c r="H824" s="38" t="e">
        <f>MONTH(Libro_Diario[[#This Row],[Fecha]])</f>
        <v>#VALUE!</v>
      </c>
      <c r="I824" s="38" t="e">
        <f>YEAR(Libro_Diario[[#This Row],[Fecha]])</f>
        <v>#VALUE!</v>
      </c>
    </row>
    <row r="825" spans="3:9" x14ac:dyDescent="0.3">
      <c r="C825" s="37"/>
      <c r="D825" s="38"/>
      <c r="E825" s="38"/>
      <c r="F825" s="39"/>
      <c r="G825" s="40"/>
      <c r="H825" s="38" t="e">
        <f>MONTH(Libro_Diario[[#This Row],[Fecha]])</f>
        <v>#VALUE!</v>
      </c>
      <c r="I825" s="38" t="e">
        <f>YEAR(Libro_Diario[[#This Row],[Fecha]])</f>
        <v>#VALUE!</v>
      </c>
    </row>
    <row r="826" spans="3:9" x14ac:dyDescent="0.3">
      <c r="C826" s="37"/>
      <c r="D826" s="38"/>
      <c r="E826" s="38"/>
      <c r="F826" s="39"/>
      <c r="G826" s="40"/>
      <c r="H826" s="38" t="e">
        <f>MONTH(Libro_Diario[[#This Row],[Fecha]])</f>
        <v>#VALUE!</v>
      </c>
      <c r="I826" s="38" t="e">
        <f>YEAR(Libro_Diario[[#This Row],[Fecha]])</f>
        <v>#VALUE!</v>
      </c>
    </row>
    <row r="827" spans="3:9" x14ac:dyDescent="0.3">
      <c r="C827" s="37"/>
      <c r="D827" s="38"/>
      <c r="E827" s="38"/>
      <c r="F827" s="39"/>
      <c r="G827" s="40"/>
      <c r="H827" s="38" t="e">
        <f>MONTH(Libro_Diario[[#This Row],[Fecha]])</f>
        <v>#VALUE!</v>
      </c>
      <c r="I827" s="38" t="e">
        <f>YEAR(Libro_Diario[[#This Row],[Fecha]])</f>
        <v>#VALUE!</v>
      </c>
    </row>
    <row r="828" spans="3:9" x14ac:dyDescent="0.3">
      <c r="C828" s="37"/>
      <c r="D828" s="38"/>
      <c r="E828" s="38"/>
      <c r="F828" s="39"/>
      <c r="G828" s="40"/>
      <c r="H828" s="38" t="e">
        <f>MONTH(Libro_Diario[[#This Row],[Fecha]])</f>
        <v>#VALUE!</v>
      </c>
      <c r="I828" s="38" t="e">
        <f>YEAR(Libro_Diario[[#This Row],[Fecha]])</f>
        <v>#VALUE!</v>
      </c>
    </row>
    <row r="829" spans="3:9" x14ac:dyDescent="0.3">
      <c r="C829" s="37"/>
      <c r="D829" s="38"/>
      <c r="E829" s="38"/>
      <c r="F829" s="39"/>
      <c r="G829" s="40"/>
      <c r="H829" s="38" t="e">
        <f>MONTH(Libro_Diario[[#This Row],[Fecha]])</f>
        <v>#VALUE!</v>
      </c>
      <c r="I829" s="38" t="e">
        <f>YEAR(Libro_Diario[[#This Row],[Fecha]])</f>
        <v>#VALUE!</v>
      </c>
    </row>
    <row r="830" spans="3:9" x14ac:dyDescent="0.3">
      <c r="C830" s="37"/>
      <c r="D830" s="38"/>
      <c r="E830" s="38"/>
      <c r="F830" s="39"/>
      <c r="G830" s="40"/>
      <c r="H830" s="38" t="e">
        <f>MONTH(Libro_Diario[[#This Row],[Fecha]])</f>
        <v>#VALUE!</v>
      </c>
      <c r="I830" s="38" t="e">
        <f>YEAR(Libro_Diario[[#This Row],[Fecha]])</f>
        <v>#VALUE!</v>
      </c>
    </row>
    <row r="831" spans="3:9" x14ac:dyDescent="0.3">
      <c r="C831" s="37"/>
      <c r="D831" s="38"/>
      <c r="E831" s="38"/>
      <c r="F831" s="39"/>
      <c r="G831" s="40"/>
      <c r="H831" s="38" t="e">
        <f>MONTH(Libro_Diario[[#This Row],[Fecha]])</f>
        <v>#VALUE!</v>
      </c>
      <c r="I831" s="38" t="e">
        <f>YEAR(Libro_Diario[[#This Row],[Fecha]])</f>
        <v>#VALUE!</v>
      </c>
    </row>
    <row r="832" spans="3:9" x14ac:dyDescent="0.3">
      <c r="C832" s="37"/>
      <c r="D832" s="38"/>
      <c r="E832" s="38"/>
      <c r="F832" s="39"/>
      <c r="G832" s="40"/>
      <c r="H832" s="38" t="e">
        <f>MONTH(Libro_Diario[[#This Row],[Fecha]])</f>
        <v>#VALUE!</v>
      </c>
      <c r="I832" s="38" t="e">
        <f>YEAR(Libro_Diario[[#This Row],[Fecha]])</f>
        <v>#VALUE!</v>
      </c>
    </row>
    <row r="833" spans="3:9" x14ac:dyDescent="0.3">
      <c r="C833" s="37"/>
      <c r="D833" s="38"/>
      <c r="E833" s="38"/>
      <c r="F833" s="39"/>
      <c r="G833" s="40"/>
      <c r="H833" s="38" t="e">
        <f>MONTH(Libro_Diario[[#This Row],[Fecha]])</f>
        <v>#VALUE!</v>
      </c>
      <c r="I833" s="38" t="e">
        <f>YEAR(Libro_Diario[[#This Row],[Fecha]])</f>
        <v>#VALUE!</v>
      </c>
    </row>
    <row r="834" spans="3:9" x14ac:dyDescent="0.3">
      <c r="C834" s="37"/>
      <c r="D834" s="38"/>
      <c r="E834" s="38"/>
      <c r="F834" s="39"/>
      <c r="G834" s="40"/>
      <c r="H834" s="38" t="e">
        <f>MONTH(Libro_Diario[[#This Row],[Fecha]])</f>
        <v>#VALUE!</v>
      </c>
      <c r="I834" s="38" t="e">
        <f>YEAR(Libro_Diario[[#This Row],[Fecha]])</f>
        <v>#VALUE!</v>
      </c>
    </row>
    <row r="835" spans="3:9" x14ac:dyDescent="0.3">
      <c r="C835" s="37"/>
      <c r="D835" s="38"/>
      <c r="E835" s="38"/>
      <c r="F835" s="39"/>
      <c r="G835" s="40"/>
      <c r="H835" s="38" t="e">
        <f>MONTH(Libro_Diario[[#This Row],[Fecha]])</f>
        <v>#VALUE!</v>
      </c>
      <c r="I835" s="38" t="e">
        <f>YEAR(Libro_Diario[[#This Row],[Fecha]])</f>
        <v>#VALUE!</v>
      </c>
    </row>
    <row r="836" spans="3:9" x14ac:dyDescent="0.3">
      <c r="C836" s="37"/>
      <c r="D836" s="38"/>
      <c r="E836" s="38"/>
      <c r="F836" s="39"/>
      <c r="G836" s="40"/>
      <c r="H836" s="38" t="e">
        <f>MONTH(Libro_Diario[[#This Row],[Fecha]])</f>
        <v>#VALUE!</v>
      </c>
      <c r="I836" s="38" t="e">
        <f>YEAR(Libro_Diario[[#This Row],[Fecha]])</f>
        <v>#VALUE!</v>
      </c>
    </row>
    <row r="837" spans="3:9" x14ac:dyDescent="0.3">
      <c r="C837" s="37"/>
      <c r="D837" s="38"/>
      <c r="E837" s="38"/>
      <c r="F837" s="39"/>
      <c r="G837" s="40"/>
      <c r="H837" s="38" t="e">
        <f>MONTH(Libro_Diario[[#This Row],[Fecha]])</f>
        <v>#VALUE!</v>
      </c>
      <c r="I837" s="38" t="e">
        <f>YEAR(Libro_Diario[[#This Row],[Fecha]])</f>
        <v>#VALUE!</v>
      </c>
    </row>
    <row r="838" spans="3:9" x14ac:dyDescent="0.3">
      <c r="C838" s="37"/>
      <c r="D838" s="38"/>
      <c r="E838" s="38"/>
      <c r="F838" s="39"/>
      <c r="G838" s="40"/>
      <c r="H838" s="38" t="e">
        <f>MONTH(Libro_Diario[[#This Row],[Fecha]])</f>
        <v>#VALUE!</v>
      </c>
      <c r="I838" s="38" t="e">
        <f>YEAR(Libro_Diario[[#This Row],[Fecha]])</f>
        <v>#VALUE!</v>
      </c>
    </row>
    <row r="839" spans="3:9" x14ac:dyDescent="0.3">
      <c r="C839" s="37"/>
      <c r="D839" s="38"/>
      <c r="E839" s="38"/>
      <c r="F839" s="39"/>
      <c r="G839" s="40"/>
      <c r="H839" s="38" t="e">
        <f>MONTH(Libro_Diario[[#This Row],[Fecha]])</f>
        <v>#VALUE!</v>
      </c>
      <c r="I839" s="38" t="e">
        <f>YEAR(Libro_Diario[[#This Row],[Fecha]])</f>
        <v>#VALUE!</v>
      </c>
    </row>
    <row r="840" spans="3:9" x14ac:dyDescent="0.3">
      <c r="C840" s="37"/>
      <c r="D840" s="38"/>
      <c r="E840" s="38"/>
      <c r="F840" s="39"/>
      <c r="G840" s="40"/>
      <c r="H840" s="38" t="e">
        <f>MONTH(Libro_Diario[[#This Row],[Fecha]])</f>
        <v>#VALUE!</v>
      </c>
      <c r="I840" s="38" t="e">
        <f>YEAR(Libro_Diario[[#This Row],[Fecha]])</f>
        <v>#VALUE!</v>
      </c>
    </row>
    <row r="841" spans="3:9" x14ac:dyDescent="0.3">
      <c r="C841" s="37"/>
      <c r="D841" s="38"/>
      <c r="E841" s="38"/>
      <c r="F841" s="39"/>
      <c r="G841" s="40"/>
      <c r="H841" s="38" t="e">
        <f>MONTH(Libro_Diario[[#This Row],[Fecha]])</f>
        <v>#VALUE!</v>
      </c>
      <c r="I841" s="38" t="e">
        <f>YEAR(Libro_Diario[[#This Row],[Fecha]])</f>
        <v>#VALUE!</v>
      </c>
    </row>
    <row r="842" spans="3:9" x14ac:dyDescent="0.3">
      <c r="C842" s="37"/>
      <c r="D842" s="38"/>
      <c r="E842" s="38"/>
      <c r="F842" s="39"/>
      <c r="G842" s="40"/>
      <c r="H842" s="38" t="e">
        <f>MONTH(Libro_Diario[[#This Row],[Fecha]])</f>
        <v>#VALUE!</v>
      </c>
      <c r="I842" s="38" t="e">
        <f>YEAR(Libro_Diario[[#This Row],[Fecha]])</f>
        <v>#VALUE!</v>
      </c>
    </row>
    <row r="843" spans="3:9" x14ac:dyDescent="0.3">
      <c r="C843" s="37"/>
      <c r="D843" s="38"/>
      <c r="E843" s="38"/>
      <c r="F843" s="39"/>
      <c r="G843" s="40"/>
      <c r="H843" s="38" t="e">
        <f>MONTH(Libro_Diario[[#This Row],[Fecha]])</f>
        <v>#VALUE!</v>
      </c>
      <c r="I843" s="38" t="e">
        <f>YEAR(Libro_Diario[[#This Row],[Fecha]])</f>
        <v>#VALUE!</v>
      </c>
    </row>
    <row r="844" spans="3:9" x14ac:dyDescent="0.3">
      <c r="C844" s="37"/>
      <c r="D844" s="38"/>
      <c r="E844" s="38"/>
      <c r="F844" s="39"/>
      <c r="G844" s="40"/>
      <c r="H844" s="38" t="e">
        <f>MONTH(Libro_Diario[[#This Row],[Fecha]])</f>
        <v>#VALUE!</v>
      </c>
      <c r="I844" s="38" t="e">
        <f>YEAR(Libro_Diario[[#This Row],[Fecha]])</f>
        <v>#VALUE!</v>
      </c>
    </row>
    <row r="845" spans="3:9" x14ac:dyDescent="0.3">
      <c r="C845" s="37"/>
      <c r="D845" s="38"/>
      <c r="E845" s="38"/>
      <c r="F845" s="88"/>
      <c r="G845" s="40"/>
      <c r="H845" s="38" t="e">
        <f>MONTH(Libro_Diario[[#This Row],[Fecha]])</f>
        <v>#VALUE!</v>
      </c>
      <c r="I845" s="38" t="e">
        <f>YEAR(Libro_Diario[[#This Row],[Fecha]])</f>
        <v>#VALUE!</v>
      </c>
    </row>
    <row r="846" spans="3:9" x14ac:dyDescent="0.3">
      <c r="C846" s="37"/>
      <c r="D846" s="38"/>
      <c r="E846" s="38"/>
      <c r="F846" s="39"/>
      <c r="G846" s="40"/>
      <c r="H846" s="38" t="e">
        <f>MONTH(Libro_Diario[[#This Row],[Fecha]])</f>
        <v>#VALUE!</v>
      </c>
      <c r="I846" s="38" t="e">
        <f>YEAR(Libro_Diario[[#This Row],[Fecha]])</f>
        <v>#VALUE!</v>
      </c>
    </row>
    <row r="847" spans="3:9" x14ac:dyDescent="0.3">
      <c r="C847" s="37"/>
      <c r="D847" s="38"/>
      <c r="E847" s="38"/>
      <c r="F847" s="39"/>
      <c r="G847" s="40"/>
      <c r="H847" s="38" t="e">
        <f>MONTH(Libro_Diario[[#This Row],[Fecha]])</f>
        <v>#VALUE!</v>
      </c>
      <c r="I847" s="38" t="e">
        <f>YEAR(Libro_Diario[[#This Row],[Fecha]])</f>
        <v>#VALUE!</v>
      </c>
    </row>
    <row r="848" spans="3:9" x14ac:dyDescent="0.3">
      <c r="C848" s="37"/>
      <c r="D848" s="38"/>
      <c r="E848" s="38"/>
      <c r="F848" s="39"/>
      <c r="G848" s="40"/>
      <c r="H848" s="38" t="e">
        <f>MONTH(Libro_Diario[[#This Row],[Fecha]])</f>
        <v>#VALUE!</v>
      </c>
      <c r="I848" s="38" t="e">
        <f>YEAR(Libro_Diario[[#This Row],[Fecha]])</f>
        <v>#VALUE!</v>
      </c>
    </row>
    <row r="849" spans="3:9" x14ac:dyDescent="0.3">
      <c r="C849" s="37"/>
      <c r="D849" s="38"/>
      <c r="E849" s="38"/>
      <c r="F849" s="39"/>
      <c r="G849" s="40"/>
      <c r="H849" s="38" t="e">
        <f>MONTH(Libro_Diario[[#This Row],[Fecha]])</f>
        <v>#VALUE!</v>
      </c>
      <c r="I849" s="38" t="e">
        <f>YEAR(Libro_Diario[[#This Row],[Fecha]])</f>
        <v>#VALUE!</v>
      </c>
    </row>
    <row r="850" spans="3:9" x14ac:dyDescent="0.3">
      <c r="C850" s="37"/>
      <c r="D850" s="38"/>
      <c r="E850" s="38"/>
      <c r="F850" s="39"/>
      <c r="G850" s="40"/>
      <c r="H850" s="38" t="e">
        <f>MONTH(Libro_Diario[[#This Row],[Fecha]])</f>
        <v>#VALUE!</v>
      </c>
      <c r="I850" s="38" t="e">
        <f>YEAR(Libro_Diario[[#This Row],[Fecha]])</f>
        <v>#VALUE!</v>
      </c>
    </row>
    <row r="851" spans="3:9" x14ac:dyDescent="0.3">
      <c r="C851" s="37"/>
      <c r="D851" s="38"/>
      <c r="E851" s="38"/>
      <c r="F851" s="39"/>
      <c r="G851" s="40"/>
      <c r="H851" s="38" t="e">
        <f>MONTH(Libro_Diario[[#This Row],[Fecha]])</f>
        <v>#VALUE!</v>
      </c>
      <c r="I851" s="38" t="e">
        <f>YEAR(Libro_Diario[[#This Row],[Fecha]])</f>
        <v>#VALUE!</v>
      </c>
    </row>
    <row r="852" spans="3:9" x14ac:dyDescent="0.3">
      <c r="C852" s="37"/>
      <c r="D852" s="38"/>
      <c r="E852" s="38"/>
      <c r="F852" s="39"/>
      <c r="G852" s="40"/>
      <c r="H852" s="38" t="e">
        <f>MONTH(Libro_Diario[[#This Row],[Fecha]])</f>
        <v>#VALUE!</v>
      </c>
      <c r="I852" s="38" t="e">
        <f>YEAR(Libro_Diario[[#This Row],[Fecha]])</f>
        <v>#VALUE!</v>
      </c>
    </row>
    <row r="853" spans="3:9" x14ac:dyDescent="0.3">
      <c r="C853" s="37"/>
      <c r="D853" s="38"/>
      <c r="E853" s="38"/>
      <c r="F853" s="39"/>
      <c r="G853" s="40"/>
      <c r="H853" s="38" t="e">
        <f>MONTH(Libro_Diario[[#This Row],[Fecha]])</f>
        <v>#VALUE!</v>
      </c>
      <c r="I853" s="38" t="e">
        <f>YEAR(Libro_Diario[[#This Row],[Fecha]])</f>
        <v>#VALUE!</v>
      </c>
    </row>
    <row r="854" spans="3:9" x14ac:dyDescent="0.3">
      <c r="C854" s="37"/>
      <c r="D854" s="38"/>
      <c r="E854" s="38"/>
      <c r="F854" s="39"/>
      <c r="G854" s="40"/>
      <c r="H854" s="38" t="e">
        <f>MONTH(Libro_Diario[[#This Row],[Fecha]])</f>
        <v>#VALUE!</v>
      </c>
      <c r="I854" s="38" t="e">
        <f>YEAR(Libro_Diario[[#This Row],[Fecha]])</f>
        <v>#VALUE!</v>
      </c>
    </row>
    <row r="855" spans="3:9" x14ac:dyDescent="0.3">
      <c r="C855" s="37"/>
      <c r="D855" s="38"/>
      <c r="E855" s="38"/>
      <c r="F855" s="39"/>
      <c r="G855" s="40"/>
      <c r="H855" s="38" t="e">
        <f>MONTH(Libro_Diario[[#This Row],[Fecha]])</f>
        <v>#VALUE!</v>
      </c>
      <c r="I855" s="38" t="e">
        <f>YEAR(Libro_Diario[[#This Row],[Fecha]])</f>
        <v>#VALUE!</v>
      </c>
    </row>
    <row r="856" spans="3:9" x14ac:dyDescent="0.3">
      <c r="C856" s="37"/>
      <c r="D856" s="38"/>
      <c r="E856" s="38"/>
      <c r="F856" s="39"/>
      <c r="G856" s="40"/>
      <c r="H856" s="38" t="e">
        <f>MONTH(Libro_Diario[[#This Row],[Fecha]])</f>
        <v>#VALUE!</v>
      </c>
      <c r="I856" s="38" t="e">
        <f>YEAR(Libro_Diario[[#This Row],[Fecha]])</f>
        <v>#VALUE!</v>
      </c>
    </row>
    <row r="857" spans="3:9" x14ac:dyDescent="0.3">
      <c r="C857" s="37"/>
      <c r="D857" s="38"/>
      <c r="E857" s="38"/>
      <c r="F857" s="39"/>
      <c r="G857" s="40"/>
      <c r="H857" s="38" t="e">
        <f>MONTH(Libro_Diario[[#This Row],[Fecha]])</f>
        <v>#VALUE!</v>
      </c>
      <c r="I857" s="38" t="e">
        <f>YEAR(Libro_Diario[[#This Row],[Fecha]])</f>
        <v>#VALUE!</v>
      </c>
    </row>
    <row r="858" spans="3:9" x14ac:dyDescent="0.3">
      <c r="C858" s="37"/>
      <c r="D858" s="38"/>
      <c r="E858" s="38"/>
      <c r="F858" s="39"/>
      <c r="G858" s="40"/>
      <c r="H858" s="38" t="e">
        <f>MONTH(Libro_Diario[[#This Row],[Fecha]])</f>
        <v>#VALUE!</v>
      </c>
      <c r="I858" s="38" t="e">
        <f>YEAR(Libro_Diario[[#This Row],[Fecha]])</f>
        <v>#VALUE!</v>
      </c>
    </row>
    <row r="859" spans="3:9" x14ac:dyDescent="0.3">
      <c r="C859" s="37"/>
      <c r="D859" s="38"/>
      <c r="E859" s="38"/>
      <c r="F859" s="39"/>
      <c r="G859" s="40"/>
      <c r="H859" s="38" t="e">
        <f>MONTH(Libro_Diario[[#This Row],[Fecha]])</f>
        <v>#VALUE!</v>
      </c>
      <c r="I859" s="38" t="e">
        <f>YEAR(Libro_Diario[[#This Row],[Fecha]])</f>
        <v>#VALUE!</v>
      </c>
    </row>
    <row r="860" spans="3:9" x14ac:dyDescent="0.3">
      <c r="C860" s="37"/>
      <c r="D860" s="38"/>
      <c r="E860" s="38"/>
      <c r="F860" s="39"/>
      <c r="G860" s="40"/>
      <c r="H860" s="38" t="e">
        <f>MONTH(Libro_Diario[[#This Row],[Fecha]])</f>
        <v>#VALUE!</v>
      </c>
      <c r="I860" s="38" t="e">
        <f>YEAR(Libro_Diario[[#This Row],[Fecha]])</f>
        <v>#VALUE!</v>
      </c>
    </row>
    <row r="861" spans="3:9" x14ac:dyDescent="0.3">
      <c r="C861" s="37"/>
      <c r="D861" s="38"/>
      <c r="E861" s="38"/>
      <c r="F861" s="39"/>
      <c r="G861" s="40"/>
      <c r="H861" s="38" t="e">
        <f>MONTH(Libro_Diario[[#This Row],[Fecha]])</f>
        <v>#VALUE!</v>
      </c>
      <c r="I861" s="38" t="e">
        <f>YEAR(Libro_Diario[[#This Row],[Fecha]])</f>
        <v>#VALUE!</v>
      </c>
    </row>
    <row r="862" spans="3:9" x14ac:dyDescent="0.3">
      <c r="C862" s="37"/>
      <c r="D862" s="38"/>
      <c r="E862" s="38"/>
      <c r="F862" s="39"/>
      <c r="G862" s="40"/>
      <c r="H862" s="38" t="e">
        <f>MONTH(Libro_Diario[[#This Row],[Fecha]])</f>
        <v>#VALUE!</v>
      </c>
      <c r="I862" s="38" t="e">
        <f>YEAR(Libro_Diario[[#This Row],[Fecha]])</f>
        <v>#VALUE!</v>
      </c>
    </row>
    <row r="863" spans="3:9" x14ac:dyDescent="0.3">
      <c r="C863" s="37"/>
      <c r="D863" s="38"/>
      <c r="E863" s="38"/>
      <c r="F863" s="39"/>
      <c r="G863" s="40"/>
      <c r="H863" s="38" t="e">
        <f>MONTH(Libro_Diario[[#This Row],[Fecha]])</f>
        <v>#VALUE!</v>
      </c>
      <c r="I863" s="38" t="e">
        <f>YEAR(Libro_Diario[[#This Row],[Fecha]])</f>
        <v>#VALUE!</v>
      </c>
    </row>
    <row r="864" spans="3:9" x14ac:dyDescent="0.3">
      <c r="C864" s="37"/>
      <c r="D864" s="38"/>
      <c r="E864" s="38"/>
      <c r="F864" s="39"/>
      <c r="G864" s="40"/>
      <c r="H864" s="38" t="e">
        <f>MONTH(Libro_Diario[[#This Row],[Fecha]])</f>
        <v>#VALUE!</v>
      </c>
      <c r="I864" s="38" t="e">
        <f>YEAR(Libro_Diario[[#This Row],[Fecha]])</f>
        <v>#VALUE!</v>
      </c>
    </row>
    <row r="865" spans="3:9" x14ac:dyDescent="0.3">
      <c r="C865" s="37"/>
      <c r="D865" s="38"/>
      <c r="E865" s="38"/>
      <c r="F865" s="39"/>
      <c r="G865" s="40"/>
      <c r="H865" s="38" t="e">
        <f>MONTH(Libro_Diario[[#This Row],[Fecha]])</f>
        <v>#VALUE!</v>
      </c>
      <c r="I865" s="38" t="e">
        <f>YEAR(Libro_Diario[[#This Row],[Fecha]])</f>
        <v>#VALUE!</v>
      </c>
    </row>
    <row r="866" spans="3:9" x14ac:dyDescent="0.3">
      <c r="C866" s="37"/>
      <c r="D866" s="38"/>
      <c r="E866" s="38"/>
      <c r="F866" s="39"/>
      <c r="G866" s="40"/>
      <c r="H866" s="38" t="e">
        <f>MONTH(Libro_Diario[[#This Row],[Fecha]])</f>
        <v>#VALUE!</v>
      </c>
      <c r="I866" s="38" t="e">
        <f>YEAR(Libro_Diario[[#This Row],[Fecha]])</f>
        <v>#VALUE!</v>
      </c>
    </row>
    <row r="867" spans="3:9" x14ac:dyDescent="0.3">
      <c r="C867" s="37"/>
      <c r="D867" s="38"/>
      <c r="E867" s="38"/>
      <c r="F867" s="39"/>
      <c r="G867" s="40"/>
      <c r="H867" s="38" t="e">
        <f>MONTH(Libro_Diario[[#This Row],[Fecha]])</f>
        <v>#VALUE!</v>
      </c>
      <c r="I867" s="38" t="e">
        <f>YEAR(Libro_Diario[[#This Row],[Fecha]])</f>
        <v>#VALUE!</v>
      </c>
    </row>
    <row r="868" spans="3:9" x14ac:dyDescent="0.3">
      <c r="C868" s="37"/>
      <c r="D868" s="38"/>
      <c r="E868" s="38"/>
      <c r="F868" s="39"/>
      <c r="G868" s="40"/>
      <c r="H868" s="38" t="e">
        <f>MONTH(Libro_Diario[[#This Row],[Fecha]])</f>
        <v>#VALUE!</v>
      </c>
      <c r="I868" s="38" t="e">
        <f>YEAR(Libro_Diario[[#This Row],[Fecha]])</f>
        <v>#VALUE!</v>
      </c>
    </row>
    <row r="869" spans="3:9" x14ac:dyDescent="0.3">
      <c r="C869" s="37"/>
      <c r="D869" s="38"/>
      <c r="E869" s="38"/>
      <c r="F869" s="39"/>
      <c r="G869" s="40"/>
      <c r="H869" s="38" t="e">
        <f>MONTH(Libro_Diario[[#This Row],[Fecha]])</f>
        <v>#VALUE!</v>
      </c>
      <c r="I869" s="38" t="e">
        <f>YEAR(Libro_Diario[[#This Row],[Fecha]])</f>
        <v>#VALUE!</v>
      </c>
    </row>
    <row r="870" spans="3:9" x14ac:dyDescent="0.3">
      <c r="C870" s="37"/>
      <c r="D870" s="38"/>
      <c r="E870" s="38"/>
      <c r="F870" s="39"/>
      <c r="G870" s="40"/>
      <c r="H870" s="38" t="e">
        <f>MONTH(Libro_Diario[[#This Row],[Fecha]])</f>
        <v>#VALUE!</v>
      </c>
      <c r="I870" s="38" t="e">
        <f>YEAR(Libro_Diario[[#This Row],[Fecha]])</f>
        <v>#VALUE!</v>
      </c>
    </row>
    <row r="871" spans="3:9" x14ac:dyDescent="0.3">
      <c r="C871" s="37"/>
      <c r="D871" s="38"/>
      <c r="E871" s="38"/>
      <c r="F871" s="39"/>
      <c r="G871" s="40"/>
      <c r="H871" s="38" t="e">
        <f>MONTH(Libro_Diario[[#This Row],[Fecha]])</f>
        <v>#VALUE!</v>
      </c>
      <c r="I871" s="38" t="e">
        <f>YEAR(Libro_Diario[[#This Row],[Fecha]])</f>
        <v>#VALUE!</v>
      </c>
    </row>
    <row r="872" spans="3:9" x14ac:dyDescent="0.3">
      <c r="C872" s="37"/>
      <c r="D872" s="38"/>
      <c r="E872" s="38"/>
      <c r="F872" s="39"/>
      <c r="G872" s="40"/>
      <c r="H872" s="38" t="e">
        <f>MONTH(Libro_Diario[[#This Row],[Fecha]])</f>
        <v>#VALUE!</v>
      </c>
      <c r="I872" s="38" t="e">
        <f>YEAR(Libro_Diario[[#This Row],[Fecha]])</f>
        <v>#VALUE!</v>
      </c>
    </row>
    <row r="873" spans="3:9" x14ac:dyDescent="0.3">
      <c r="C873" s="37"/>
      <c r="D873" s="38"/>
      <c r="E873" s="38"/>
      <c r="F873" s="39"/>
      <c r="G873" s="40"/>
      <c r="H873" s="38" t="e">
        <f>MONTH(Libro_Diario[[#This Row],[Fecha]])</f>
        <v>#VALUE!</v>
      </c>
      <c r="I873" s="38" t="e">
        <f>YEAR(Libro_Diario[[#This Row],[Fecha]])</f>
        <v>#VALUE!</v>
      </c>
    </row>
    <row r="874" spans="3:9" x14ac:dyDescent="0.3">
      <c r="C874" s="37"/>
      <c r="D874" s="38"/>
      <c r="E874" s="38"/>
      <c r="F874" s="39"/>
      <c r="G874" s="40"/>
      <c r="H874" s="38" t="e">
        <f>MONTH(Libro_Diario[[#This Row],[Fecha]])</f>
        <v>#VALUE!</v>
      </c>
      <c r="I874" s="38" t="e">
        <f>YEAR(Libro_Diario[[#This Row],[Fecha]])</f>
        <v>#VALUE!</v>
      </c>
    </row>
    <row r="875" spans="3:9" x14ac:dyDescent="0.3">
      <c r="C875" s="37"/>
      <c r="D875" s="38"/>
      <c r="E875" s="38"/>
      <c r="F875" s="39"/>
      <c r="G875" s="40"/>
      <c r="H875" s="38" t="e">
        <f>MONTH(Libro_Diario[[#This Row],[Fecha]])</f>
        <v>#VALUE!</v>
      </c>
      <c r="I875" s="38" t="e">
        <f>YEAR(Libro_Diario[[#This Row],[Fecha]])</f>
        <v>#VALUE!</v>
      </c>
    </row>
    <row r="876" spans="3:9" x14ac:dyDescent="0.3">
      <c r="C876" s="37"/>
      <c r="D876" s="38"/>
      <c r="E876" s="38"/>
      <c r="F876" s="39"/>
      <c r="G876" s="40"/>
      <c r="H876" s="38" t="e">
        <f>MONTH(Libro_Diario[[#This Row],[Fecha]])</f>
        <v>#VALUE!</v>
      </c>
      <c r="I876" s="38" t="e">
        <f>YEAR(Libro_Diario[[#This Row],[Fecha]])</f>
        <v>#VALUE!</v>
      </c>
    </row>
    <row r="877" spans="3:9" x14ac:dyDescent="0.3">
      <c r="C877" s="37"/>
      <c r="D877" s="38"/>
      <c r="E877" s="38"/>
      <c r="F877" s="39"/>
      <c r="G877" s="40"/>
      <c r="H877" s="38" t="e">
        <f>MONTH(Libro_Diario[[#This Row],[Fecha]])</f>
        <v>#VALUE!</v>
      </c>
      <c r="I877" s="38" t="e">
        <f>YEAR(Libro_Diario[[#This Row],[Fecha]])</f>
        <v>#VALUE!</v>
      </c>
    </row>
    <row r="878" spans="3:9" x14ac:dyDescent="0.3">
      <c r="C878" s="37"/>
      <c r="D878" s="38"/>
      <c r="E878" s="38"/>
      <c r="F878" s="39"/>
      <c r="G878" s="40"/>
      <c r="H878" s="38" t="e">
        <f>MONTH(Libro_Diario[[#This Row],[Fecha]])</f>
        <v>#VALUE!</v>
      </c>
      <c r="I878" s="38" t="e">
        <f>YEAR(Libro_Diario[[#This Row],[Fecha]])</f>
        <v>#VALUE!</v>
      </c>
    </row>
    <row r="879" spans="3:9" x14ac:dyDescent="0.3">
      <c r="C879" s="37"/>
      <c r="D879" s="38"/>
      <c r="E879" s="38"/>
      <c r="F879" s="39"/>
      <c r="G879" s="40"/>
      <c r="H879" s="38" t="e">
        <f>MONTH(Libro_Diario[[#This Row],[Fecha]])</f>
        <v>#VALUE!</v>
      </c>
      <c r="I879" s="38" t="e">
        <f>YEAR(Libro_Diario[[#This Row],[Fecha]])</f>
        <v>#VALUE!</v>
      </c>
    </row>
    <row r="880" spans="3:9" x14ac:dyDescent="0.3">
      <c r="C880" s="37"/>
      <c r="D880" s="38"/>
      <c r="E880" s="38"/>
      <c r="F880" s="39"/>
      <c r="G880" s="40"/>
      <c r="H880" s="38" t="e">
        <f>MONTH(Libro_Diario[[#This Row],[Fecha]])</f>
        <v>#VALUE!</v>
      </c>
      <c r="I880" s="38" t="e">
        <f>YEAR(Libro_Diario[[#This Row],[Fecha]])</f>
        <v>#VALUE!</v>
      </c>
    </row>
    <row r="881" spans="3:9" x14ac:dyDescent="0.3">
      <c r="C881" s="37"/>
      <c r="D881" s="38"/>
      <c r="E881" s="38"/>
      <c r="F881" s="39"/>
      <c r="G881" s="40"/>
      <c r="H881" s="38" t="e">
        <f>MONTH(Libro_Diario[[#This Row],[Fecha]])</f>
        <v>#VALUE!</v>
      </c>
      <c r="I881" s="38" t="e">
        <f>YEAR(Libro_Diario[[#This Row],[Fecha]])</f>
        <v>#VALUE!</v>
      </c>
    </row>
    <row r="882" spans="3:9" x14ac:dyDescent="0.3">
      <c r="C882" s="37"/>
      <c r="D882" s="38"/>
      <c r="E882" s="38"/>
      <c r="F882" s="39"/>
      <c r="G882" s="40"/>
      <c r="H882" s="38" t="e">
        <f>MONTH(Libro_Diario[[#This Row],[Fecha]])</f>
        <v>#VALUE!</v>
      </c>
      <c r="I882" s="38" t="e">
        <f>YEAR(Libro_Diario[[#This Row],[Fecha]])</f>
        <v>#VALUE!</v>
      </c>
    </row>
    <row r="883" spans="3:9" x14ac:dyDescent="0.3">
      <c r="C883" s="37"/>
      <c r="D883" s="38"/>
      <c r="E883" s="38"/>
      <c r="F883" s="39"/>
      <c r="G883" s="40"/>
      <c r="H883" s="38" t="e">
        <f>MONTH(Libro_Diario[[#This Row],[Fecha]])</f>
        <v>#VALUE!</v>
      </c>
      <c r="I883" s="38" t="e">
        <f>YEAR(Libro_Diario[[#This Row],[Fecha]])</f>
        <v>#VALUE!</v>
      </c>
    </row>
    <row r="884" spans="3:9" x14ac:dyDescent="0.3">
      <c r="C884" s="37"/>
      <c r="D884" s="38"/>
      <c r="E884" s="38"/>
      <c r="F884" s="39"/>
      <c r="G884" s="40"/>
      <c r="H884" s="38" t="e">
        <f>MONTH(Libro_Diario[[#This Row],[Fecha]])</f>
        <v>#VALUE!</v>
      </c>
      <c r="I884" s="38" t="e">
        <f>YEAR(Libro_Diario[[#This Row],[Fecha]])</f>
        <v>#VALUE!</v>
      </c>
    </row>
    <row r="885" spans="3:9" x14ac:dyDescent="0.3">
      <c r="C885" s="37"/>
      <c r="D885" s="38"/>
      <c r="E885" s="38"/>
      <c r="F885" s="39"/>
      <c r="G885" s="40"/>
      <c r="H885" s="38" t="e">
        <f>MONTH(Libro_Diario[[#This Row],[Fecha]])</f>
        <v>#VALUE!</v>
      </c>
      <c r="I885" s="38" t="e">
        <f>YEAR(Libro_Diario[[#This Row],[Fecha]])</f>
        <v>#VALUE!</v>
      </c>
    </row>
    <row r="886" spans="3:9" x14ac:dyDescent="0.3">
      <c r="C886" s="37"/>
      <c r="D886" s="38"/>
      <c r="E886" s="38"/>
      <c r="F886" s="39"/>
      <c r="G886" s="40"/>
      <c r="H886" s="38" t="e">
        <f>MONTH(Libro_Diario[[#This Row],[Fecha]])</f>
        <v>#VALUE!</v>
      </c>
      <c r="I886" s="38" t="e">
        <f>YEAR(Libro_Diario[[#This Row],[Fecha]])</f>
        <v>#VALUE!</v>
      </c>
    </row>
    <row r="887" spans="3:9" x14ac:dyDescent="0.3">
      <c r="C887" s="37"/>
      <c r="D887" s="38"/>
      <c r="E887" s="38"/>
      <c r="F887" s="39"/>
      <c r="G887" s="40"/>
      <c r="H887" s="38" t="e">
        <f>MONTH(Libro_Diario[[#This Row],[Fecha]])</f>
        <v>#VALUE!</v>
      </c>
      <c r="I887" s="38" t="e">
        <f>YEAR(Libro_Diario[[#This Row],[Fecha]])</f>
        <v>#VALUE!</v>
      </c>
    </row>
    <row r="888" spans="3:9" x14ac:dyDescent="0.3">
      <c r="C888" s="37"/>
      <c r="D888" s="38"/>
      <c r="E888" s="38"/>
      <c r="F888" s="39"/>
      <c r="G888" s="40"/>
      <c r="H888" s="38" t="e">
        <f>MONTH(Libro_Diario[[#This Row],[Fecha]])</f>
        <v>#VALUE!</v>
      </c>
      <c r="I888" s="38" t="e">
        <f>YEAR(Libro_Diario[[#This Row],[Fecha]])</f>
        <v>#VALUE!</v>
      </c>
    </row>
    <row r="889" spans="3:9" x14ac:dyDescent="0.3">
      <c r="C889" s="37"/>
      <c r="D889" s="38"/>
      <c r="E889" s="38"/>
      <c r="F889" s="39"/>
      <c r="G889" s="40"/>
      <c r="H889" s="38" t="e">
        <f>MONTH(Libro_Diario[[#This Row],[Fecha]])</f>
        <v>#VALUE!</v>
      </c>
      <c r="I889" s="38" t="e">
        <f>YEAR(Libro_Diario[[#This Row],[Fecha]])</f>
        <v>#VALUE!</v>
      </c>
    </row>
    <row r="890" spans="3:9" x14ac:dyDescent="0.3">
      <c r="C890" s="37"/>
      <c r="D890" s="38"/>
      <c r="E890" s="38"/>
      <c r="F890" s="39"/>
      <c r="G890" s="40"/>
      <c r="H890" s="38" t="e">
        <f>MONTH(Libro_Diario[[#This Row],[Fecha]])</f>
        <v>#VALUE!</v>
      </c>
      <c r="I890" s="38" t="e">
        <f>YEAR(Libro_Diario[[#This Row],[Fecha]])</f>
        <v>#VALUE!</v>
      </c>
    </row>
    <row r="891" spans="3:9" x14ac:dyDescent="0.3">
      <c r="C891" s="37"/>
      <c r="D891" s="38"/>
      <c r="E891" s="38"/>
      <c r="F891" s="39"/>
      <c r="G891" s="40"/>
      <c r="H891" s="38" t="e">
        <f>MONTH(Libro_Diario[[#This Row],[Fecha]])</f>
        <v>#VALUE!</v>
      </c>
      <c r="I891" s="38" t="e">
        <f>YEAR(Libro_Diario[[#This Row],[Fecha]])</f>
        <v>#VALUE!</v>
      </c>
    </row>
    <row r="892" spans="3:9" x14ac:dyDescent="0.3">
      <c r="C892" s="37"/>
      <c r="D892" s="38"/>
      <c r="E892" s="38"/>
      <c r="F892" s="39"/>
      <c r="G892" s="40"/>
      <c r="H892" s="38" t="e">
        <f>MONTH(Libro_Diario[[#This Row],[Fecha]])</f>
        <v>#VALUE!</v>
      </c>
      <c r="I892" s="38" t="e">
        <f>YEAR(Libro_Diario[[#This Row],[Fecha]])</f>
        <v>#VALUE!</v>
      </c>
    </row>
    <row r="893" spans="3:9" x14ac:dyDescent="0.3">
      <c r="C893" s="37"/>
      <c r="D893" s="38"/>
      <c r="E893" s="38"/>
      <c r="F893" s="39"/>
      <c r="G893" s="40"/>
      <c r="H893" s="38" t="e">
        <f>MONTH(Libro_Diario[[#This Row],[Fecha]])</f>
        <v>#VALUE!</v>
      </c>
      <c r="I893" s="38" t="e">
        <f>YEAR(Libro_Diario[[#This Row],[Fecha]])</f>
        <v>#VALUE!</v>
      </c>
    </row>
    <row r="894" spans="3:9" x14ac:dyDescent="0.3">
      <c r="C894" s="37"/>
      <c r="D894" s="38"/>
      <c r="E894" s="38"/>
      <c r="F894" s="39"/>
      <c r="G894" s="40"/>
      <c r="H894" s="38" t="e">
        <f>MONTH(Libro_Diario[[#This Row],[Fecha]])</f>
        <v>#VALUE!</v>
      </c>
      <c r="I894" s="38" t="e">
        <f>YEAR(Libro_Diario[[#This Row],[Fecha]])</f>
        <v>#VALUE!</v>
      </c>
    </row>
    <row r="895" spans="3:9" x14ac:dyDescent="0.3">
      <c r="C895" s="37"/>
      <c r="D895" s="38"/>
      <c r="E895" s="38"/>
      <c r="F895" s="39"/>
      <c r="G895" s="40"/>
      <c r="H895" s="38" t="e">
        <f>MONTH(Libro_Diario[[#This Row],[Fecha]])</f>
        <v>#VALUE!</v>
      </c>
      <c r="I895" s="38" t="e">
        <f>YEAR(Libro_Diario[[#This Row],[Fecha]])</f>
        <v>#VALUE!</v>
      </c>
    </row>
    <row r="896" spans="3:9" x14ac:dyDescent="0.3">
      <c r="C896" s="37"/>
      <c r="D896" s="38"/>
      <c r="E896" s="38"/>
      <c r="F896" s="39"/>
      <c r="G896" s="40"/>
      <c r="H896" s="38" t="e">
        <f>MONTH(Libro_Diario[[#This Row],[Fecha]])</f>
        <v>#VALUE!</v>
      </c>
      <c r="I896" s="38" t="e">
        <f>YEAR(Libro_Diario[[#This Row],[Fecha]])</f>
        <v>#VALUE!</v>
      </c>
    </row>
    <row r="897" spans="3:9" x14ac:dyDescent="0.3">
      <c r="C897" s="37"/>
      <c r="D897" s="38"/>
      <c r="E897" s="38"/>
      <c r="F897" s="39"/>
      <c r="G897" s="40"/>
      <c r="H897" s="38" t="e">
        <f>MONTH(Libro_Diario[[#This Row],[Fecha]])</f>
        <v>#VALUE!</v>
      </c>
      <c r="I897" s="38" t="e">
        <f>YEAR(Libro_Diario[[#This Row],[Fecha]])</f>
        <v>#VALUE!</v>
      </c>
    </row>
    <row r="898" spans="3:9" x14ac:dyDescent="0.3">
      <c r="C898" s="37"/>
      <c r="D898" s="38"/>
      <c r="E898" s="38"/>
      <c r="F898" s="39"/>
      <c r="G898" s="40"/>
      <c r="H898" s="38" t="e">
        <f>MONTH(Libro_Diario[[#This Row],[Fecha]])</f>
        <v>#VALUE!</v>
      </c>
      <c r="I898" s="38" t="e">
        <f>YEAR(Libro_Diario[[#This Row],[Fecha]])</f>
        <v>#VALUE!</v>
      </c>
    </row>
    <row r="899" spans="3:9" x14ac:dyDescent="0.3">
      <c r="C899" s="37"/>
      <c r="D899" s="38"/>
      <c r="E899" s="38"/>
      <c r="F899" s="39"/>
      <c r="G899" s="40"/>
      <c r="H899" s="38" t="e">
        <f>MONTH(Libro_Diario[[#This Row],[Fecha]])</f>
        <v>#VALUE!</v>
      </c>
      <c r="I899" s="38" t="e">
        <f>YEAR(Libro_Diario[[#This Row],[Fecha]])</f>
        <v>#VALUE!</v>
      </c>
    </row>
    <row r="900" spans="3:9" x14ac:dyDescent="0.3">
      <c r="C900" s="37"/>
      <c r="D900" s="38"/>
      <c r="E900" s="38"/>
      <c r="F900" s="39"/>
      <c r="G900" s="40"/>
      <c r="H900" s="38" t="e">
        <f>MONTH(Libro_Diario[[#This Row],[Fecha]])</f>
        <v>#VALUE!</v>
      </c>
      <c r="I900" s="38" t="e">
        <f>YEAR(Libro_Diario[[#This Row],[Fecha]])</f>
        <v>#VALUE!</v>
      </c>
    </row>
    <row r="901" spans="3:9" x14ac:dyDescent="0.3">
      <c r="C901" s="37"/>
      <c r="D901" s="38"/>
      <c r="E901" s="38"/>
      <c r="F901" s="39"/>
      <c r="G901" s="40"/>
      <c r="H901" s="38" t="e">
        <f>MONTH(Libro_Diario[[#This Row],[Fecha]])</f>
        <v>#VALUE!</v>
      </c>
      <c r="I901" s="38" t="e">
        <f>YEAR(Libro_Diario[[#This Row],[Fecha]])</f>
        <v>#VALUE!</v>
      </c>
    </row>
    <row r="902" spans="3:9" x14ac:dyDescent="0.3">
      <c r="C902" s="37"/>
      <c r="D902" s="38"/>
      <c r="E902" s="38"/>
      <c r="F902" s="39"/>
      <c r="G902" s="40"/>
      <c r="H902" s="38" t="e">
        <f>MONTH(Libro_Diario[[#This Row],[Fecha]])</f>
        <v>#VALUE!</v>
      </c>
      <c r="I902" s="38" t="e">
        <f>YEAR(Libro_Diario[[#This Row],[Fecha]])</f>
        <v>#VALUE!</v>
      </c>
    </row>
    <row r="903" spans="3:9" x14ac:dyDescent="0.3">
      <c r="C903" s="37"/>
      <c r="D903" s="38"/>
      <c r="E903" s="38"/>
      <c r="F903" s="39"/>
      <c r="G903" s="40"/>
      <c r="H903" s="38" t="e">
        <f>MONTH(Libro_Diario[[#This Row],[Fecha]])</f>
        <v>#VALUE!</v>
      </c>
      <c r="I903" s="38" t="e">
        <f>YEAR(Libro_Diario[[#This Row],[Fecha]])</f>
        <v>#VALUE!</v>
      </c>
    </row>
    <row r="904" spans="3:9" x14ac:dyDescent="0.3">
      <c r="C904" s="37"/>
      <c r="D904" s="38"/>
      <c r="E904" s="38"/>
      <c r="F904" s="39"/>
      <c r="G904" s="40"/>
      <c r="H904" s="38" t="e">
        <f>MONTH(Libro_Diario[[#This Row],[Fecha]])</f>
        <v>#VALUE!</v>
      </c>
      <c r="I904" s="38" t="e">
        <f>YEAR(Libro_Diario[[#This Row],[Fecha]])</f>
        <v>#VALUE!</v>
      </c>
    </row>
    <row r="905" spans="3:9" x14ac:dyDescent="0.3">
      <c r="C905" s="37"/>
      <c r="D905" s="38"/>
      <c r="E905" s="38"/>
      <c r="F905" s="39"/>
      <c r="G905" s="40"/>
      <c r="H905" s="38" t="e">
        <f>MONTH(Libro_Diario[[#This Row],[Fecha]])</f>
        <v>#VALUE!</v>
      </c>
      <c r="I905" s="38" t="e">
        <f>YEAR(Libro_Diario[[#This Row],[Fecha]])</f>
        <v>#VALUE!</v>
      </c>
    </row>
    <row r="906" spans="3:9" x14ac:dyDescent="0.3">
      <c r="C906" s="37"/>
      <c r="D906" s="38"/>
      <c r="E906" s="38"/>
      <c r="F906" s="39"/>
      <c r="G906" s="40"/>
      <c r="H906" s="38" t="e">
        <f>MONTH(Libro_Diario[[#This Row],[Fecha]])</f>
        <v>#VALUE!</v>
      </c>
      <c r="I906" s="38" t="e">
        <f>YEAR(Libro_Diario[[#This Row],[Fecha]])</f>
        <v>#VALUE!</v>
      </c>
    </row>
    <row r="907" spans="3:9" x14ac:dyDescent="0.3">
      <c r="C907" s="37"/>
      <c r="D907" s="38"/>
      <c r="E907" s="38"/>
      <c r="F907" s="39"/>
      <c r="G907" s="40"/>
      <c r="H907" s="38" t="e">
        <f>MONTH(Libro_Diario[[#This Row],[Fecha]])</f>
        <v>#VALUE!</v>
      </c>
      <c r="I907" s="38" t="e">
        <f>YEAR(Libro_Diario[[#This Row],[Fecha]])</f>
        <v>#VALUE!</v>
      </c>
    </row>
    <row r="908" spans="3:9" x14ac:dyDescent="0.3">
      <c r="C908" s="37"/>
      <c r="D908" s="38"/>
      <c r="E908" s="38"/>
      <c r="F908" s="39"/>
      <c r="G908" s="40"/>
      <c r="H908" s="38" t="e">
        <f>MONTH(Libro_Diario[[#This Row],[Fecha]])</f>
        <v>#VALUE!</v>
      </c>
      <c r="I908" s="38" t="e">
        <f>YEAR(Libro_Diario[[#This Row],[Fecha]])</f>
        <v>#VALUE!</v>
      </c>
    </row>
    <row r="909" spans="3:9" x14ac:dyDescent="0.3">
      <c r="C909" s="37"/>
      <c r="D909" s="38"/>
      <c r="E909" s="38"/>
      <c r="F909" s="39"/>
      <c r="G909" s="40"/>
      <c r="H909" s="38" t="e">
        <f>MONTH(Libro_Diario[[#This Row],[Fecha]])</f>
        <v>#VALUE!</v>
      </c>
      <c r="I909" s="38" t="e">
        <f>YEAR(Libro_Diario[[#This Row],[Fecha]])</f>
        <v>#VALUE!</v>
      </c>
    </row>
    <row r="910" spans="3:9" x14ac:dyDescent="0.3">
      <c r="C910" s="37"/>
      <c r="D910" s="38"/>
      <c r="E910" s="38"/>
      <c r="F910" s="39"/>
      <c r="G910" s="40"/>
      <c r="H910" s="38" t="e">
        <f>MONTH(Libro_Diario[[#This Row],[Fecha]])</f>
        <v>#VALUE!</v>
      </c>
      <c r="I910" s="38" t="e">
        <f>YEAR(Libro_Diario[[#This Row],[Fecha]])</f>
        <v>#VALUE!</v>
      </c>
    </row>
    <row r="911" spans="3:9" x14ac:dyDescent="0.3">
      <c r="C911" s="37"/>
      <c r="D911" s="38"/>
      <c r="E911" s="38"/>
      <c r="F911" s="39"/>
      <c r="G911" s="40"/>
      <c r="H911" s="38" t="e">
        <f>MONTH(Libro_Diario[[#This Row],[Fecha]])</f>
        <v>#VALUE!</v>
      </c>
      <c r="I911" s="38" t="e">
        <f>YEAR(Libro_Diario[[#This Row],[Fecha]])</f>
        <v>#VALUE!</v>
      </c>
    </row>
    <row r="912" spans="3:9" x14ac:dyDescent="0.3">
      <c r="C912" s="37"/>
      <c r="D912" s="38"/>
      <c r="E912" s="38"/>
      <c r="F912" s="39"/>
      <c r="G912" s="40"/>
      <c r="H912" s="38" t="e">
        <f>MONTH(Libro_Diario[[#This Row],[Fecha]])</f>
        <v>#VALUE!</v>
      </c>
      <c r="I912" s="38" t="e">
        <f>YEAR(Libro_Diario[[#This Row],[Fecha]])</f>
        <v>#VALUE!</v>
      </c>
    </row>
    <row r="913" spans="3:9" x14ac:dyDescent="0.3">
      <c r="C913" s="37"/>
      <c r="D913" s="38"/>
      <c r="E913" s="38"/>
      <c r="F913" s="39"/>
      <c r="G913" s="40"/>
      <c r="H913" s="38" t="e">
        <f>MONTH(Libro_Diario[[#This Row],[Fecha]])</f>
        <v>#VALUE!</v>
      </c>
      <c r="I913" s="38" t="e">
        <f>YEAR(Libro_Diario[[#This Row],[Fecha]])</f>
        <v>#VALUE!</v>
      </c>
    </row>
    <row r="914" spans="3:9" x14ac:dyDescent="0.3">
      <c r="C914" s="37"/>
      <c r="D914" s="38"/>
      <c r="E914" s="38"/>
      <c r="F914" s="39"/>
      <c r="G914" s="40"/>
      <c r="H914" s="38" t="e">
        <f>MONTH(Libro_Diario[[#This Row],[Fecha]])</f>
        <v>#VALUE!</v>
      </c>
      <c r="I914" s="38" t="e">
        <f>YEAR(Libro_Diario[[#This Row],[Fecha]])</f>
        <v>#VALUE!</v>
      </c>
    </row>
    <row r="915" spans="3:9" x14ac:dyDescent="0.3">
      <c r="C915" s="37"/>
      <c r="D915" s="38"/>
      <c r="E915" s="38"/>
      <c r="F915" s="39"/>
      <c r="G915" s="40"/>
      <c r="H915" s="38" t="e">
        <f>MONTH(Libro_Diario[[#This Row],[Fecha]])</f>
        <v>#VALUE!</v>
      </c>
      <c r="I915" s="38" t="e">
        <f>YEAR(Libro_Diario[[#This Row],[Fecha]])</f>
        <v>#VALUE!</v>
      </c>
    </row>
    <row r="916" spans="3:9" x14ac:dyDescent="0.3">
      <c r="C916" s="37"/>
      <c r="D916" s="38"/>
      <c r="E916" s="38"/>
      <c r="F916" s="39"/>
      <c r="G916" s="40"/>
      <c r="H916" s="38" t="e">
        <f>MONTH(Libro_Diario[[#This Row],[Fecha]])</f>
        <v>#VALUE!</v>
      </c>
      <c r="I916" s="38" t="e">
        <f>YEAR(Libro_Diario[[#This Row],[Fecha]])</f>
        <v>#VALUE!</v>
      </c>
    </row>
    <row r="917" spans="3:9" x14ac:dyDescent="0.3">
      <c r="C917" s="37"/>
      <c r="D917" s="38"/>
      <c r="E917" s="38"/>
      <c r="F917" s="39"/>
      <c r="G917" s="40"/>
      <c r="H917" s="38" t="e">
        <f>MONTH(Libro_Diario[[#This Row],[Fecha]])</f>
        <v>#VALUE!</v>
      </c>
      <c r="I917" s="38" t="e">
        <f>YEAR(Libro_Diario[[#This Row],[Fecha]])</f>
        <v>#VALUE!</v>
      </c>
    </row>
    <row r="918" spans="3:9" x14ac:dyDescent="0.3">
      <c r="C918" s="37"/>
      <c r="D918" s="38"/>
      <c r="E918" s="38"/>
      <c r="F918" s="39"/>
      <c r="G918" s="40"/>
      <c r="H918" s="38" t="e">
        <f>MONTH(Libro_Diario[[#This Row],[Fecha]])</f>
        <v>#VALUE!</v>
      </c>
      <c r="I918" s="38" t="e">
        <f>YEAR(Libro_Diario[[#This Row],[Fecha]])</f>
        <v>#VALUE!</v>
      </c>
    </row>
    <row r="919" spans="3:9" x14ac:dyDescent="0.3">
      <c r="C919" s="37"/>
      <c r="D919" s="38"/>
      <c r="E919" s="38"/>
      <c r="F919" s="39"/>
      <c r="G919" s="40"/>
      <c r="H919" s="38" t="e">
        <f>MONTH(Libro_Diario[[#This Row],[Fecha]])</f>
        <v>#VALUE!</v>
      </c>
      <c r="I919" s="38" t="e">
        <f>YEAR(Libro_Diario[[#This Row],[Fecha]])</f>
        <v>#VALUE!</v>
      </c>
    </row>
    <row r="920" spans="3:9" x14ac:dyDescent="0.3">
      <c r="C920" s="37"/>
      <c r="D920" s="38"/>
      <c r="E920" s="38"/>
      <c r="F920" s="39"/>
      <c r="G920" s="40"/>
      <c r="H920" s="38" t="e">
        <f>MONTH(Libro_Diario[[#This Row],[Fecha]])</f>
        <v>#VALUE!</v>
      </c>
      <c r="I920" s="38" t="e">
        <f>YEAR(Libro_Diario[[#This Row],[Fecha]])</f>
        <v>#VALUE!</v>
      </c>
    </row>
    <row r="921" spans="3:9" x14ac:dyDescent="0.3">
      <c r="C921" s="37"/>
      <c r="D921" s="38"/>
      <c r="E921" s="38"/>
      <c r="F921" s="39"/>
      <c r="G921" s="40"/>
      <c r="H921" s="38" t="e">
        <f>MONTH(Libro_Diario[[#This Row],[Fecha]])</f>
        <v>#VALUE!</v>
      </c>
      <c r="I921" s="38" t="e">
        <f>YEAR(Libro_Diario[[#This Row],[Fecha]])</f>
        <v>#VALUE!</v>
      </c>
    </row>
    <row r="922" spans="3:9" x14ac:dyDescent="0.3">
      <c r="C922" s="37"/>
      <c r="D922" s="38"/>
      <c r="E922" s="38"/>
      <c r="F922" s="39"/>
      <c r="G922" s="40"/>
      <c r="H922" s="38" t="e">
        <f>MONTH(Libro_Diario[[#This Row],[Fecha]])</f>
        <v>#VALUE!</v>
      </c>
      <c r="I922" s="38" t="e">
        <f>YEAR(Libro_Diario[[#This Row],[Fecha]])</f>
        <v>#VALUE!</v>
      </c>
    </row>
    <row r="923" spans="3:9" x14ac:dyDescent="0.3">
      <c r="C923" s="37"/>
      <c r="D923" s="38"/>
      <c r="E923" s="38"/>
      <c r="F923" s="39"/>
      <c r="G923" s="40"/>
      <c r="H923" s="38" t="e">
        <f>MONTH(Libro_Diario[[#This Row],[Fecha]])</f>
        <v>#VALUE!</v>
      </c>
      <c r="I923" s="38" t="e">
        <f>YEAR(Libro_Diario[[#This Row],[Fecha]])</f>
        <v>#VALUE!</v>
      </c>
    </row>
    <row r="924" spans="3:9" x14ac:dyDescent="0.3">
      <c r="C924" s="37"/>
      <c r="D924" s="38"/>
      <c r="E924" s="38"/>
      <c r="F924" s="39"/>
      <c r="G924" s="40"/>
      <c r="H924" s="38" t="e">
        <f>MONTH(Libro_Diario[[#This Row],[Fecha]])</f>
        <v>#VALUE!</v>
      </c>
      <c r="I924" s="38" t="e">
        <f>YEAR(Libro_Diario[[#This Row],[Fecha]])</f>
        <v>#VALUE!</v>
      </c>
    </row>
    <row r="925" spans="3:9" x14ac:dyDescent="0.3">
      <c r="C925" s="37"/>
      <c r="D925" s="38"/>
      <c r="E925" s="38"/>
      <c r="F925" s="39"/>
      <c r="G925" s="40"/>
      <c r="H925" s="38" t="e">
        <f>MONTH(Libro_Diario[[#This Row],[Fecha]])</f>
        <v>#VALUE!</v>
      </c>
      <c r="I925" s="38" t="e">
        <f>YEAR(Libro_Diario[[#This Row],[Fecha]])</f>
        <v>#VALUE!</v>
      </c>
    </row>
    <row r="926" spans="3:9" x14ac:dyDescent="0.3">
      <c r="C926" s="37"/>
      <c r="D926" s="38"/>
      <c r="E926" s="38"/>
      <c r="F926" s="39"/>
      <c r="G926" s="40"/>
      <c r="H926" s="38" t="e">
        <f>MONTH(Libro_Diario[[#This Row],[Fecha]])</f>
        <v>#VALUE!</v>
      </c>
      <c r="I926" s="38" t="e">
        <f>YEAR(Libro_Diario[[#This Row],[Fecha]])</f>
        <v>#VALUE!</v>
      </c>
    </row>
    <row r="927" spans="3:9" x14ac:dyDescent="0.3">
      <c r="C927" s="37"/>
      <c r="D927" s="38"/>
      <c r="E927" s="38"/>
      <c r="F927" s="39"/>
      <c r="G927" s="40"/>
      <c r="H927" s="38" t="e">
        <f>MONTH(Libro_Diario[[#This Row],[Fecha]])</f>
        <v>#VALUE!</v>
      </c>
      <c r="I927" s="38" t="e">
        <f>YEAR(Libro_Diario[[#This Row],[Fecha]])</f>
        <v>#VALUE!</v>
      </c>
    </row>
    <row r="928" spans="3:9" x14ac:dyDescent="0.3">
      <c r="C928" s="37"/>
      <c r="D928" s="38"/>
      <c r="E928" s="38"/>
      <c r="F928" s="39"/>
      <c r="G928" s="40"/>
      <c r="H928" s="38" t="e">
        <f>MONTH(Libro_Diario[[#This Row],[Fecha]])</f>
        <v>#VALUE!</v>
      </c>
      <c r="I928" s="38" t="e">
        <f>YEAR(Libro_Diario[[#This Row],[Fecha]])</f>
        <v>#VALUE!</v>
      </c>
    </row>
    <row r="929" spans="3:9" x14ac:dyDescent="0.3">
      <c r="C929" s="37"/>
      <c r="D929" s="38"/>
      <c r="E929" s="38"/>
      <c r="F929" s="39"/>
      <c r="G929" s="40"/>
      <c r="H929" s="38" t="e">
        <f>MONTH(Libro_Diario[[#This Row],[Fecha]])</f>
        <v>#VALUE!</v>
      </c>
      <c r="I929" s="38" t="e">
        <f>YEAR(Libro_Diario[[#This Row],[Fecha]])</f>
        <v>#VALUE!</v>
      </c>
    </row>
    <row r="930" spans="3:9" x14ac:dyDescent="0.3">
      <c r="C930" s="37"/>
      <c r="D930" s="38"/>
      <c r="E930" s="38"/>
      <c r="F930" s="39"/>
      <c r="G930" s="40"/>
      <c r="H930" s="38" t="e">
        <f>MONTH(Libro_Diario[[#This Row],[Fecha]])</f>
        <v>#VALUE!</v>
      </c>
      <c r="I930" s="38" t="e">
        <f>YEAR(Libro_Diario[[#This Row],[Fecha]])</f>
        <v>#VALUE!</v>
      </c>
    </row>
    <row r="931" spans="3:9" x14ac:dyDescent="0.3">
      <c r="C931" s="37"/>
      <c r="D931" s="38"/>
      <c r="E931" s="38"/>
      <c r="F931" s="39"/>
      <c r="G931" s="40"/>
      <c r="H931" s="38" t="e">
        <f>MONTH(Libro_Diario[[#This Row],[Fecha]])</f>
        <v>#VALUE!</v>
      </c>
      <c r="I931" s="38" t="e">
        <f>YEAR(Libro_Diario[[#This Row],[Fecha]])</f>
        <v>#VALUE!</v>
      </c>
    </row>
    <row r="932" spans="3:9" x14ac:dyDescent="0.3">
      <c r="C932" s="37"/>
      <c r="D932" s="38"/>
      <c r="E932" s="38"/>
      <c r="F932" s="39"/>
      <c r="G932" s="40"/>
      <c r="H932" s="38" t="e">
        <f>MONTH(Libro_Diario[[#This Row],[Fecha]])</f>
        <v>#VALUE!</v>
      </c>
      <c r="I932" s="38" t="e">
        <f>YEAR(Libro_Diario[[#This Row],[Fecha]])</f>
        <v>#VALUE!</v>
      </c>
    </row>
    <row r="933" spans="3:9" x14ac:dyDescent="0.3">
      <c r="C933" s="37"/>
      <c r="D933" s="38"/>
      <c r="E933" s="38"/>
      <c r="F933" s="39"/>
      <c r="G933" s="40"/>
      <c r="H933" s="38" t="e">
        <f>MONTH(Libro_Diario[[#This Row],[Fecha]])</f>
        <v>#VALUE!</v>
      </c>
      <c r="I933" s="38" t="e">
        <f>YEAR(Libro_Diario[[#This Row],[Fecha]])</f>
        <v>#VALUE!</v>
      </c>
    </row>
    <row r="934" spans="3:9" x14ac:dyDescent="0.3">
      <c r="C934" s="37"/>
      <c r="D934" s="38"/>
      <c r="E934" s="38"/>
      <c r="F934" s="39"/>
      <c r="G934" s="40"/>
      <c r="H934" s="38" t="e">
        <f>MONTH(Libro_Diario[[#This Row],[Fecha]])</f>
        <v>#VALUE!</v>
      </c>
      <c r="I934" s="38" t="e">
        <f>YEAR(Libro_Diario[[#This Row],[Fecha]])</f>
        <v>#VALUE!</v>
      </c>
    </row>
    <row r="935" spans="3:9" x14ac:dyDescent="0.3">
      <c r="C935" s="37"/>
      <c r="D935" s="38"/>
      <c r="E935" s="38"/>
      <c r="F935" s="39"/>
      <c r="G935" s="40"/>
      <c r="H935" s="38" t="e">
        <f>MONTH(Libro_Diario[[#This Row],[Fecha]])</f>
        <v>#VALUE!</v>
      </c>
      <c r="I935" s="38" t="e">
        <f>YEAR(Libro_Diario[[#This Row],[Fecha]])</f>
        <v>#VALUE!</v>
      </c>
    </row>
    <row r="936" spans="3:9" x14ac:dyDescent="0.3">
      <c r="C936" s="37"/>
      <c r="D936" s="38"/>
      <c r="E936" s="38"/>
      <c r="F936" s="39"/>
      <c r="G936" s="40"/>
      <c r="H936" s="38" t="e">
        <f>MONTH(Libro_Diario[[#This Row],[Fecha]])</f>
        <v>#VALUE!</v>
      </c>
      <c r="I936" s="38" t="e">
        <f>YEAR(Libro_Diario[[#This Row],[Fecha]])</f>
        <v>#VALUE!</v>
      </c>
    </row>
    <row r="937" spans="3:9" x14ac:dyDescent="0.3">
      <c r="C937" s="37"/>
      <c r="D937" s="38"/>
      <c r="E937" s="38"/>
      <c r="F937" s="39"/>
      <c r="G937" s="40"/>
      <c r="H937" s="38" t="e">
        <f>MONTH(Libro_Diario[[#This Row],[Fecha]])</f>
        <v>#VALUE!</v>
      </c>
      <c r="I937" s="38" t="e">
        <f>YEAR(Libro_Diario[[#This Row],[Fecha]])</f>
        <v>#VALUE!</v>
      </c>
    </row>
    <row r="938" spans="3:9" x14ac:dyDescent="0.3">
      <c r="C938" s="37"/>
      <c r="D938" s="38"/>
      <c r="E938" s="38"/>
      <c r="F938" s="39"/>
      <c r="G938" s="40"/>
      <c r="H938" s="38" t="e">
        <f>MONTH(Libro_Diario[[#This Row],[Fecha]])</f>
        <v>#VALUE!</v>
      </c>
      <c r="I938" s="38" t="e">
        <f>YEAR(Libro_Diario[[#This Row],[Fecha]])</f>
        <v>#VALUE!</v>
      </c>
    </row>
    <row r="939" spans="3:9" x14ac:dyDescent="0.3">
      <c r="C939" s="37"/>
      <c r="D939" s="38"/>
      <c r="E939" s="38"/>
      <c r="F939" s="39"/>
      <c r="G939" s="40"/>
      <c r="H939" s="38" t="e">
        <f>MONTH(Libro_Diario[[#This Row],[Fecha]])</f>
        <v>#VALUE!</v>
      </c>
      <c r="I939" s="38" t="e">
        <f>YEAR(Libro_Diario[[#This Row],[Fecha]])</f>
        <v>#VALUE!</v>
      </c>
    </row>
    <row r="940" spans="3:9" x14ac:dyDescent="0.3">
      <c r="C940" s="37"/>
      <c r="D940" s="38"/>
      <c r="E940" s="38"/>
      <c r="F940" s="39"/>
      <c r="G940" s="40"/>
      <c r="H940" s="38" t="e">
        <f>MONTH(Libro_Diario[[#This Row],[Fecha]])</f>
        <v>#VALUE!</v>
      </c>
      <c r="I940" s="38" t="e">
        <f>YEAR(Libro_Diario[[#This Row],[Fecha]])</f>
        <v>#VALUE!</v>
      </c>
    </row>
    <row r="941" spans="3:9" x14ac:dyDescent="0.3">
      <c r="C941" s="37"/>
      <c r="D941" s="38"/>
      <c r="E941" s="38"/>
      <c r="F941" s="39"/>
      <c r="G941" s="40"/>
      <c r="H941" s="38" t="e">
        <f>MONTH(Libro_Diario[[#This Row],[Fecha]])</f>
        <v>#VALUE!</v>
      </c>
      <c r="I941" s="38" t="e">
        <f>YEAR(Libro_Diario[[#This Row],[Fecha]])</f>
        <v>#VALUE!</v>
      </c>
    </row>
    <row r="942" spans="3:9" x14ac:dyDescent="0.3">
      <c r="C942" s="37"/>
      <c r="D942" s="38"/>
      <c r="E942" s="38"/>
      <c r="F942" s="39"/>
      <c r="G942" s="40"/>
      <c r="H942" s="38" t="e">
        <f>MONTH(Libro_Diario[[#This Row],[Fecha]])</f>
        <v>#VALUE!</v>
      </c>
      <c r="I942" s="38" t="e">
        <f>YEAR(Libro_Diario[[#This Row],[Fecha]])</f>
        <v>#VALUE!</v>
      </c>
    </row>
    <row r="943" spans="3:9" x14ac:dyDescent="0.3">
      <c r="C943" s="37"/>
      <c r="D943" s="38"/>
      <c r="E943" s="38"/>
      <c r="F943" s="39"/>
      <c r="G943" s="40"/>
      <c r="H943" s="38" t="e">
        <f>MONTH(Libro_Diario[[#This Row],[Fecha]])</f>
        <v>#VALUE!</v>
      </c>
      <c r="I943" s="38" t="e">
        <f>YEAR(Libro_Diario[[#This Row],[Fecha]])</f>
        <v>#VALUE!</v>
      </c>
    </row>
    <row r="944" spans="3:9" x14ac:dyDescent="0.3">
      <c r="C944" s="37"/>
      <c r="D944" s="38"/>
      <c r="E944" s="38"/>
      <c r="F944" s="39"/>
      <c r="G944" s="40"/>
      <c r="H944" s="38" t="e">
        <f>MONTH(Libro_Diario[[#This Row],[Fecha]])</f>
        <v>#VALUE!</v>
      </c>
      <c r="I944" s="38" t="e">
        <f>YEAR(Libro_Diario[[#This Row],[Fecha]])</f>
        <v>#VALUE!</v>
      </c>
    </row>
    <row r="945" spans="3:9" x14ac:dyDescent="0.3">
      <c r="C945" s="37"/>
      <c r="D945" s="38"/>
      <c r="E945" s="38"/>
      <c r="F945" s="39"/>
      <c r="G945" s="40"/>
      <c r="H945" s="38" t="e">
        <f>MONTH(Libro_Diario[[#This Row],[Fecha]])</f>
        <v>#VALUE!</v>
      </c>
      <c r="I945" s="38" t="e">
        <f>YEAR(Libro_Diario[[#This Row],[Fecha]])</f>
        <v>#VALUE!</v>
      </c>
    </row>
    <row r="946" spans="3:9" x14ac:dyDescent="0.3">
      <c r="C946" s="37"/>
      <c r="D946" s="38"/>
      <c r="E946" s="38"/>
      <c r="F946" s="39"/>
      <c r="G946" s="40"/>
      <c r="H946" s="38" t="e">
        <f>MONTH(Libro_Diario[[#This Row],[Fecha]])</f>
        <v>#VALUE!</v>
      </c>
      <c r="I946" s="38" t="e">
        <f>YEAR(Libro_Diario[[#This Row],[Fecha]])</f>
        <v>#VALUE!</v>
      </c>
    </row>
    <row r="947" spans="3:9" x14ac:dyDescent="0.3">
      <c r="C947" s="37"/>
      <c r="D947" s="38"/>
      <c r="E947" s="38"/>
      <c r="F947" s="39"/>
      <c r="G947" s="40"/>
      <c r="H947" s="38" t="e">
        <f>MONTH(Libro_Diario[[#This Row],[Fecha]])</f>
        <v>#VALUE!</v>
      </c>
      <c r="I947" s="38" t="e">
        <f>YEAR(Libro_Diario[[#This Row],[Fecha]])</f>
        <v>#VALUE!</v>
      </c>
    </row>
    <row r="948" spans="3:9" x14ac:dyDescent="0.3">
      <c r="C948" s="37"/>
      <c r="D948" s="38"/>
      <c r="E948" s="38"/>
      <c r="F948" s="39"/>
      <c r="G948" s="40"/>
      <c r="H948" s="38" t="e">
        <f>MONTH(Libro_Diario[[#This Row],[Fecha]])</f>
        <v>#VALUE!</v>
      </c>
      <c r="I948" s="38" t="e">
        <f>YEAR(Libro_Diario[[#This Row],[Fecha]])</f>
        <v>#VALUE!</v>
      </c>
    </row>
    <row r="949" spans="3:9" x14ac:dyDescent="0.3">
      <c r="C949" s="37"/>
      <c r="D949" s="38"/>
      <c r="E949" s="38"/>
      <c r="F949" s="39"/>
      <c r="G949" s="40"/>
      <c r="H949" s="38" t="e">
        <f>MONTH(Libro_Diario[[#This Row],[Fecha]])</f>
        <v>#VALUE!</v>
      </c>
      <c r="I949" s="38" t="e">
        <f>YEAR(Libro_Diario[[#This Row],[Fecha]])</f>
        <v>#VALUE!</v>
      </c>
    </row>
    <row r="950" spans="3:9" x14ac:dyDescent="0.3">
      <c r="C950" s="37"/>
      <c r="D950" s="38"/>
      <c r="E950" s="38"/>
      <c r="F950" s="39"/>
      <c r="G950" s="40"/>
      <c r="H950" s="38" t="e">
        <f>MONTH(Libro_Diario[[#This Row],[Fecha]])</f>
        <v>#VALUE!</v>
      </c>
      <c r="I950" s="38" t="e">
        <f>YEAR(Libro_Diario[[#This Row],[Fecha]])</f>
        <v>#VALUE!</v>
      </c>
    </row>
    <row r="951" spans="3:9" x14ac:dyDescent="0.3">
      <c r="C951" s="37"/>
      <c r="D951" s="38"/>
      <c r="E951" s="38"/>
      <c r="F951" s="39"/>
      <c r="G951" s="40"/>
      <c r="H951" s="38" t="e">
        <f>MONTH(Libro_Diario[[#This Row],[Fecha]])</f>
        <v>#VALUE!</v>
      </c>
      <c r="I951" s="38" t="e">
        <f>YEAR(Libro_Diario[[#This Row],[Fecha]])</f>
        <v>#VALUE!</v>
      </c>
    </row>
    <row r="952" spans="3:9" x14ac:dyDescent="0.3">
      <c r="C952" s="37"/>
      <c r="D952" s="38"/>
      <c r="E952" s="38"/>
      <c r="F952" s="39"/>
      <c r="G952" s="40"/>
      <c r="H952" s="38" t="e">
        <f>MONTH(Libro_Diario[[#This Row],[Fecha]])</f>
        <v>#VALUE!</v>
      </c>
      <c r="I952" s="38" t="e">
        <f>YEAR(Libro_Diario[[#This Row],[Fecha]])</f>
        <v>#VALUE!</v>
      </c>
    </row>
    <row r="953" spans="3:9" x14ac:dyDescent="0.3">
      <c r="C953" s="37"/>
      <c r="D953" s="38"/>
      <c r="E953" s="38"/>
      <c r="F953" s="39"/>
      <c r="G953" s="40"/>
      <c r="H953" s="38" t="e">
        <f>MONTH(Libro_Diario[[#This Row],[Fecha]])</f>
        <v>#VALUE!</v>
      </c>
      <c r="I953" s="38" t="e">
        <f>YEAR(Libro_Diario[[#This Row],[Fecha]])</f>
        <v>#VALUE!</v>
      </c>
    </row>
    <row r="954" spans="3:9" x14ac:dyDescent="0.3">
      <c r="C954" s="37"/>
      <c r="D954" s="38"/>
      <c r="E954" s="38"/>
      <c r="F954" s="39"/>
      <c r="G954" s="40"/>
      <c r="H954" s="38" t="e">
        <f>MONTH(Libro_Diario[[#This Row],[Fecha]])</f>
        <v>#VALUE!</v>
      </c>
      <c r="I954" s="38" t="e">
        <f>YEAR(Libro_Diario[[#This Row],[Fecha]])</f>
        <v>#VALUE!</v>
      </c>
    </row>
    <row r="955" spans="3:9" x14ac:dyDescent="0.3">
      <c r="C955" s="37"/>
      <c r="D955" s="38"/>
      <c r="E955" s="38"/>
      <c r="F955" s="39"/>
      <c r="G955" s="40"/>
      <c r="H955" s="38" t="e">
        <f>MONTH(Libro_Diario[[#This Row],[Fecha]])</f>
        <v>#VALUE!</v>
      </c>
      <c r="I955" s="38" t="e">
        <f>YEAR(Libro_Diario[[#This Row],[Fecha]])</f>
        <v>#VALUE!</v>
      </c>
    </row>
    <row r="956" spans="3:9" x14ac:dyDescent="0.3">
      <c r="C956" s="37"/>
      <c r="D956" s="38"/>
      <c r="E956" s="38"/>
      <c r="F956" s="39"/>
      <c r="G956" s="40"/>
      <c r="H956" s="38" t="e">
        <f>MONTH(Libro_Diario[[#This Row],[Fecha]])</f>
        <v>#VALUE!</v>
      </c>
      <c r="I956" s="38" t="e">
        <f>YEAR(Libro_Diario[[#This Row],[Fecha]])</f>
        <v>#VALUE!</v>
      </c>
    </row>
    <row r="957" spans="3:9" x14ac:dyDescent="0.3">
      <c r="C957" s="37"/>
      <c r="D957" s="38"/>
      <c r="E957" s="38"/>
      <c r="F957" s="39"/>
      <c r="G957" s="40"/>
      <c r="H957" s="38" t="e">
        <f>MONTH(Libro_Diario[[#This Row],[Fecha]])</f>
        <v>#VALUE!</v>
      </c>
      <c r="I957" s="38" t="e">
        <f>YEAR(Libro_Diario[[#This Row],[Fecha]])</f>
        <v>#VALUE!</v>
      </c>
    </row>
    <row r="958" spans="3:9" x14ac:dyDescent="0.3">
      <c r="C958" s="37"/>
      <c r="D958" s="38"/>
      <c r="E958" s="38"/>
      <c r="F958" s="39"/>
      <c r="G958" s="40"/>
      <c r="H958" s="38" t="e">
        <f>MONTH(Libro_Diario[[#This Row],[Fecha]])</f>
        <v>#VALUE!</v>
      </c>
      <c r="I958" s="38" t="e">
        <f>YEAR(Libro_Diario[[#This Row],[Fecha]])</f>
        <v>#VALUE!</v>
      </c>
    </row>
    <row r="959" spans="3:9" x14ac:dyDescent="0.3">
      <c r="C959" s="37"/>
      <c r="D959" s="38"/>
      <c r="E959" s="38"/>
      <c r="F959" s="39"/>
      <c r="G959" s="40"/>
      <c r="H959" s="38" t="e">
        <f>MONTH(Libro_Diario[[#This Row],[Fecha]])</f>
        <v>#VALUE!</v>
      </c>
      <c r="I959" s="38" t="e">
        <f>YEAR(Libro_Diario[[#This Row],[Fecha]])</f>
        <v>#VALUE!</v>
      </c>
    </row>
    <row r="960" spans="3:9" x14ac:dyDescent="0.3">
      <c r="C960" s="37"/>
      <c r="D960" s="38"/>
      <c r="E960" s="38"/>
      <c r="F960" s="39"/>
      <c r="G960" s="40"/>
      <c r="H960" s="38" t="e">
        <f>MONTH(Libro_Diario[[#This Row],[Fecha]])</f>
        <v>#VALUE!</v>
      </c>
      <c r="I960" s="38" t="e">
        <f>YEAR(Libro_Diario[[#This Row],[Fecha]])</f>
        <v>#VALUE!</v>
      </c>
    </row>
    <row r="961" spans="3:9" x14ac:dyDescent="0.3">
      <c r="C961" s="37"/>
      <c r="D961" s="38"/>
      <c r="E961" s="38"/>
      <c r="F961" s="39"/>
      <c r="G961" s="40"/>
      <c r="H961" s="38" t="e">
        <f>MONTH(Libro_Diario[[#This Row],[Fecha]])</f>
        <v>#VALUE!</v>
      </c>
      <c r="I961" s="38" t="e">
        <f>YEAR(Libro_Diario[[#This Row],[Fecha]])</f>
        <v>#VALUE!</v>
      </c>
    </row>
    <row r="962" spans="3:9" x14ac:dyDescent="0.3">
      <c r="C962" s="37"/>
      <c r="D962" s="38"/>
      <c r="E962" s="38"/>
      <c r="F962" s="39"/>
      <c r="G962" s="40"/>
      <c r="H962" s="38" t="e">
        <f>MONTH(Libro_Diario[[#This Row],[Fecha]])</f>
        <v>#VALUE!</v>
      </c>
      <c r="I962" s="38" t="e">
        <f>YEAR(Libro_Diario[[#This Row],[Fecha]])</f>
        <v>#VALUE!</v>
      </c>
    </row>
    <row r="963" spans="3:9" x14ac:dyDescent="0.3">
      <c r="C963" s="37"/>
      <c r="D963" s="38"/>
      <c r="E963" s="38"/>
      <c r="F963" s="39"/>
      <c r="G963" s="40"/>
      <c r="H963" s="38" t="e">
        <f>MONTH(Libro_Diario[[#This Row],[Fecha]])</f>
        <v>#VALUE!</v>
      </c>
      <c r="I963" s="38" t="e">
        <f>YEAR(Libro_Diario[[#This Row],[Fecha]])</f>
        <v>#VALUE!</v>
      </c>
    </row>
    <row r="964" spans="3:9" x14ac:dyDescent="0.3">
      <c r="C964" s="37"/>
      <c r="D964" s="38"/>
      <c r="E964" s="38"/>
      <c r="F964" s="39"/>
      <c r="G964" s="40"/>
      <c r="H964" s="38" t="e">
        <f>MONTH(Libro_Diario[[#This Row],[Fecha]])</f>
        <v>#VALUE!</v>
      </c>
      <c r="I964" s="38" t="e">
        <f>YEAR(Libro_Diario[[#This Row],[Fecha]])</f>
        <v>#VALUE!</v>
      </c>
    </row>
    <row r="965" spans="3:9" x14ac:dyDescent="0.3">
      <c r="C965" s="37"/>
      <c r="D965" s="38"/>
      <c r="E965" s="38"/>
      <c r="F965" s="39"/>
      <c r="G965" s="40"/>
      <c r="H965" s="38" t="e">
        <f>MONTH(Libro_Diario[[#This Row],[Fecha]])</f>
        <v>#VALUE!</v>
      </c>
      <c r="I965" s="38" t="e">
        <f>YEAR(Libro_Diario[[#This Row],[Fecha]])</f>
        <v>#VALUE!</v>
      </c>
    </row>
    <row r="966" spans="3:9" x14ac:dyDescent="0.3">
      <c r="C966" s="37"/>
      <c r="D966" s="38"/>
      <c r="E966" s="38"/>
      <c r="F966" s="39"/>
      <c r="G966" s="40"/>
      <c r="H966" s="38" t="e">
        <f>MONTH(Libro_Diario[[#This Row],[Fecha]])</f>
        <v>#VALUE!</v>
      </c>
      <c r="I966" s="38" t="e">
        <f>YEAR(Libro_Diario[[#This Row],[Fecha]])</f>
        <v>#VALUE!</v>
      </c>
    </row>
    <row r="967" spans="3:9" x14ac:dyDescent="0.3">
      <c r="C967" s="37"/>
      <c r="D967" s="38"/>
      <c r="E967" s="38"/>
      <c r="F967" s="39"/>
      <c r="G967" s="40"/>
      <c r="H967" s="38" t="e">
        <f>MONTH(Libro_Diario[[#This Row],[Fecha]])</f>
        <v>#VALUE!</v>
      </c>
      <c r="I967" s="38" t="e">
        <f>YEAR(Libro_Diario[[#This Row],[Fecha]])</f>
        <v>#VALUE!</v>
      </c>
    </row>
    <row r="968" spans="3:9" x14ac:dyDescent="0.3">
      <c r="C968" s="37"/>
      <c r="D968" s="38"/>
      <c r="E968" s="38"/>
      <c r="F968" s="39"/>
      <c r="G968" s="40"/>
      <c r="H968" s="38" t="e">
        <f>MONTH(Libro_Diario[[#This Row],[Fecha]])</f>
        <v>#VALUE!</v>
      </c>
      <c r="I968" s="38" t="e">
        <f>YEAR(Libro_Diario[[#This Row],[Fecha]])</f>
        <v>#VALUE!</v>
      </c>
    </row>
    <row r="969" spans="3:9" x14ac:dyDescent="0.3">
      <c r="C969" s="37"/>
      <c r="D969" s="37"/>
      <c r="E969" s="38"/>
      <c r="F969" s="39"/>
      <c r="G969" s="40"/>
      <c r="H969" s="38" t="e">
        <f>MONTH(Libro_Diario[[#This Row],[Fecha]])</f>
        <v>#VALUE!</v>
      </c>
      <c r="I969" s="38" t="e">
        <f>YEAR(Libro_Diario[[#This Row],[Fecha]])</f>
        <v>#VALUE!</v>
      </c>
    </row>
    <row r="970" spans="3:9" x14ac:dyDescent="0.3">
      <c r="C970" s="37"/>
      <c r="D970" s="38"/>
      <c r="E970" s="38"/>
      <c r="F970" s="39"/>
      <c r="G970" s="40"/>
      <c r="H970" s="38" t="e">
        <f>MONTH(Libro_Diario[[#This Row],[Fecha]])</f>
        <v>#VALUE!</v>
      </c>
      <c r="I970" s="38" t="e">
        <f>YEAR(Libro_Diario[[#This Row],[Fecha]])</f>
        <v>#VALUE!</v>
      </c>
    </row>
    <row r="971" spans="3:9" x14ac:dyDescent="0.3">
      <c r="C971" s="37"/>
      <c r="D971" s="38"/>
      <c r="E971" s="38"/>
      <c r="F971" s="39"/>
      <c r="G971" s="40"/>
      <c r="H971" s="38" t="e">
        <f>MONTH(Libro_Diario[[#This Row],[Fecha]])</f>
        <v>#VALUE!</v>
      </c>
      <c r="I971" s="38" t="e">
        <f>YEAR(Libro_Diario[[#This Row],[Fecha]])</f>
        <v>#VALUE!</v>
      </c>
    </row>
    <row r="972" spans="3:9" x14ac:dyDescent="0.3">
      <c r="C972" s="37"/>
      <c r="D972" s="38"/>
      <c r="E972" s="38"/>
      <c r="F972" s="39"/>
      <c r="G972" s="40"/>
      <c r="H972" s="38" t="e">
        <f>MONTH(Libro_Diario[[#This Row],[Fecha]])</f>
        <v>#VALUE!</v>
      </c>
      <c r="I972" s="38" t="e">
        <f>YEAR(Libro_Diario[[#This Row],[Fecha]])</f>
        <v>#VALUE!</v>
      </c>
    </row>
    <row r="973" spans="3:9" x14ac:dyDescent="0.3">
      <c r="C973" s="37"/>
      <c r="D973" s="38"/>
      <c r="E973" s="38"/>
      <c r="F973" s="39"/>
      <c r="G973" s="40"/>
      <c r="H973" s="38" t="e">
        <f>MONTH(Libro_Diario[[#This Row],[Fecha]])</f>
        <v>#VALUE!</v>
      </c>
      <c r="I973" s="38" t="e">
        <f>YEAR(Libro_Diario[[#This Row],[Fecha]])</f>
        <v>#VALUE!</v>
      </c>
    </row>
    <row r="974" spans="3:9" x14ac:dyDescent="0.3">
      <c r="C974" s="37"/>
      <c r="D974" s="38"/>
      <c r="E974" s="38"/>
      <c r="F974" s="39"/>
      <c r="G974" s="40"/>
      <c r="H974" s="38" t="e">
        <f>MONTH(Libro_Diario[[#This Row],[Fecha]])</f>
        <v>#VALUE!</v>
      </c>
      <c r="I974" s="38" t="e">
        <f>YEAR(Libro_Diario[[#This Row],[Fecha]])</f>
        <v>#VALUE!</v>
      </c>
    </row>
    <row r="975" spans="3:9" x14ac:dyDescent="0.3">
      <c r="C975" s="37"/>
      <c r="D975" s="38"/>
      <c r="E975" s="38"/>
      <c r="F975" s="39"/>
      <c r="G975" s="40"/>
      <c r="H975" s="38" t="e">
        <f>MONTH(Libro_Diario[[#This Row],[Fecha]])</f>
        <v>#VALUE!</v>
      </c>
      <c r="I975" s="38" t="e">
        <f>YEAR(Libro_Diario[[#This Row],[Fecha]])</f>
        <v>#VALUE!</v>
      </c>
    </row>
    <row r="976" spans="3:9" x14ac:dyDescent="0.3">
      <c r="C976" s="37"/>
      <c r="D976" s="38"/>
      <c r="E976" s="38"/>
      <c r="F976" s="39"/>
      <c r="G976" s="40"/>
      <c r="H976" s="38" t="e">
        <f>MONTH(Libro_Diario[[#This Row],[Fecha]])</f>
        <v>#VALUE!</v>
      </c>
      <c r="I976" s="38" t="e">
        <f>YEAR(Libro_Diario[[#This Row],[Fecha]])</f>
        <v>#VALUE!</v>
      </c>
    </row>
    <row r="977" spans="3:9" x14ac:dyDescent="0.3">
      <c r="C977" s="37"/>
      <c r="D977" s="38"/>
      <c r="E977" s="38"/>
      <c r="F977" s="39"/>
      <c r="G977" s="40"/>
      <c r="H977" s="38" t="e">
        <f>MONTH(Libro_Diario[[#This Row],[Fecha]])</f>
        <v>#VALUE!</v>
      </c>
      <c r="I977" s="38" t="e">
        <f>YEAR(Libro_Diario[[#This Row],[Fecha]])</f>
        <v>#VALUE!</v>
      </c>
    </row>
    <row r="978" spans="3:9" x14ac:dyDescent="0.3">
      <c r="C978" s="37"/>
      <c r="D978" s="38"/>
      <c r="E978" s="38"/>
      <c r="F978" s="39"/>
      <c r="G978" s="40"/>
      <c r="H978" s="38" t="e">
        <f>MONTH(Libro_Diario[[#This Row],[Fecha]])</f>
        <v>#VALUE!</v>
      </c>
      <c r="I978" s="38" t="e">
        <f>YEAR(Libro_Diario[[#This Row],[Fecha]])</f>
        <v>#VALUE!</v>
      </c>
    </row>
    <row r="979" spans="3:9" x14ac:dyDescent="0.3">
      <c r="C979" s="37"/>
      <c r="D979" s="38"/>
      <c r="E979" s="38"/>
      <c r="F979" s="39"/>
      <c r="G979" s="40"/>
      <c r="H979" s="38" t="e">
        <f>MONTH(Libro_Diario[[#This Row],[Fecha]])</f>
        <v>#VALUE!</v>
      </c>
      <c r="I979" s="38" t="e">
        <f>YEAR(Libro_Diario[[#This Row],[Fecha]])</f>
        <v>#VALUE!</v>
      </c>
    </row>
    <row r="980" spans="3:9" x14ac:dyDescent="0.3">
      <c r="C980" s="37"/>
      <c r="D980" s="38"/>
      <c r="E980" s="38"/>
      <c r="F980" s="39"/>
      <c r="G980" s="40"/>
      <c r="H980" s="38" t="e">
        <f>MONTH(Libro_Diario[[#This Row],[Fecha]])</f>
        <v>#VALUE!</v>
      </c>
      <c r="I980" s="38" t="e">
        <f>YEAR(Libro_Diario[[#This Row],[Fecha]])</f>
        <v>#VALUE!</v>
      </c>
    </row>
    <row r="981" spans="3:9" x14ac:dyDescent="0.3">
      <c r="C981" s="37"/>
      <c r="D981" s="38"/>
      <c r="E981" s="38"/>
      <c r="F981" s="39"/>
      <c r="G981" s="40"/>
      <c r="H981" s="38" t="e">
        <f>MONTH(Libro_Diario[[#This Row],[Fecha]])</f>
        <v>#VALUE!</v>
      </c>
      <c r="I981" s="38" t="e">
        <f>YEAR(Libro_Diario[[#This Row],[Fecha]])</f>
        <v>#VALUE!</v>
      </c>
    </row>
    <row r="982" spans="3:9" x14ac:dyDescent="0.3">
      <c r="C982" s="37"/>
      <c r="D982" s="38"/>
      <c r="E982" s="38"/>
      <c r="F982" s="39"/>
      <c r="G982" s="40"/>
      <c r="H982" s="38" t="e">
        <f>MONTH(Libro_Diario[[#This Row],[Fecha]])</f>
        <v>#VALUE!</v>
      </c>
      <c r="I982" s="38" t="e">
        <f>YEAR(Libro_Diario[[#This Row],[Fecha]])</f>
        <v>#VALUE!</v>
      </c>
    </row>
    <row r="983" spans="3:9" x14ac:dyDescent="0.3">
      <c r="C983" s="37"/>
      <c r="D983" s="38"/>
      <c r="E983" s="38"/>
      <c r="F983" s="39"/>
      <c r="G983" s="40"/>
      <c r="H983" s="38" t="e">
        <f>MONTH(Libro_Diario[[#This Row],[Fecha]])</f>
        <v>#VALUE!</v>
      </c>
      <c r="I983" s="38" t="e">
        <f>YEAR(Libro_Diario[[#This Row],[Fecha]])</f>
        <v>#VALUE!</v>
      </c>
    </row>
    <row r="984" spans="3:9" x14ac:dyDescent="0.3">
      <c r="C984" s="37"/>
      <c r="D984" s="38"/>
      <c r="E984" s="38"/>
      <c r="F984" s="39"/>
      <c r="G984" s="40"/>
      <c r="H984" s="38" t="e">
        <f>MONTH(Libro_Diario[[#This Row],[Fecha]])</f>
        <v>#VALUE!</v>
      </c>
      <c r="I984" s="38" t="e">
        <f>YEAR(Libro_Diario[[#This Row],[Fecha]])</f>
        <v>#VALUE!</v>
      </c>
    </row>
    <row r="985" spans="3:9" x14ac:dyDescent="0.3">
      <c r="C985" s="37"/>
      <c r="D985" s="38"/>
      <c r="E985" s="38"/>
      <c r="F985" s="39"/>
      <c r="G985" s="40"/>
      <c r="H985" s="38" t="e">
        <f>MONTH(Libro_Diario[[#This Row],[Fecha]])</f>
        <v>#VALUE!</v>
      </c>
      <c r="I985" s="38" t="e">
        <f>YEAR(Libro_Diario[[#This Row],[Fecha]])</f>
        <v>#VALUE!</v>
      </c>
    </row>
    <row r="986" spans="3:9" x14ac:dyDescent="0.3">
      <c r="C986" s="37"/>
      <c r="D986" s="38"/>
      <c r="E986" s="38"/>
      <c r="F986" s="39"/>
      <c r="G986" s="40"/>
      <c r="H986" s="38" t="e">
        <f>MONTH(Libro_Diario[[#This Row],[Fecha]])</f>
        <v>#VALUE!</v>
      </c>
      <c r="I986" s="38" t="e">
        <f>YEAR(Libro_Diario[[#This Row],[Fecha]])</f>
        <v>#VALUE!</v>
      </c>
    </row>
    <row r="987" spans="3:9" x14ac:dyDescent="0.3">
      <c r="C987" s="37"/>
      <c r="D987" s="38"/>
      <c r="E987" s="38"/>
      <c r="F987" s="39"/>
      <c r="G987" s="40"/>
      <c r="H987" s="38" t="e">
        <f>MONTH(Libro_Diario[[#This Row],[Fecha]])</f>
        <v>#VALUE!</v>
      </c>
      <c r="I987" s="38" t="e">
        <f>YEAR(Libro_Diario[[#This Row],[Fecha]])</f>
        <v>#VALUE!</v>
      </c>
    </row>
    <row r="988" spans="3:9" x14ac:dyDescent="0.3">
      <c r="C988" s="37"/>
      <c r="D988" s="38"/>
      <c r="E988" s="38"/>
      <c r="F988" s="39"/>
      <c r="G988" s="40"/>
      <c r="H988" s="38" t="e">
        <f>MONTH(Libro_Diario[[#This Row],[Fecha]])</f>
        <v>#VALUE!</v>
      </c>
      <c r="I988" s="38" t="e">
        <f>YEAR(Libro_Diario[[#This Row],[Fecha]])</f>
        <v>#VALUE!</v>
      </c>
    </row>
    <row r="989" spans="3:9" x14ac:dyDescent="0.3">
      <c r="C989" s="37"/>
      <c r="D989" s="38"/>
      <c r="E989" s="38"/>
      <c r="F989" s="39"/>
      <c r="G989" s="40"/>
      <c r="H989" s="38" t="e">
        <f>MONTH(Libro_Diario[[#This Row],[Fecha]])</f>
        <v>#VALUE!</v>
      </c>
      <c r="I989" s="38" t="e">
        <f>YEAR(Libro_Diario[[#This Row],[Fecha]])</f>
        <v>#VALUE!</v>
      </c>
    </row>
    <row r="990" spans="3:9" x14ac:dyDescent="0.3">
      <c r="C990" s="37"/>
      <c r="D990" s="38"/>
      <c r="E990" s="38"/>
      <c r="F990" s="39"/>
      <c r="G990" s="40"/>
      <c r="H990" s="38" t="e">
        <f>MONTH(Libro_Diario[[#This Row],[Fecha]])</f>
        <v>#VALUE!</v>
      </c>
      <c r="I990" s="38" t="e">
        <f>YEAR(Libro_Diario[[#This Row],[Fecha]])</f>
        <v>#VALUE!</v>
      </c>
    </row>
    <row r="991" spans="3:9" x14ac:dyDescent="0.3">
      <c r="C991" s="37"/>
      <c r="D991" s="38"/>
      <c r="E991" s="38"/>
      <c r="F991" s="39"/>
      <c r="G991" s="40"/>
      <c r="H991" s="38" t="e">
        <f>MONTH(Libro_Diario[[#This Row],[Fecha]])</f>
        <v>#VALUE!</v>
      </c>
      <c r="I991" s="38" t="e">
        <f>YEAR(Libro_Diario[[#This Row],[Fecha]])</f>
        <v>#VALUE!</v>
      </c>
    </row>
    <row r="992" spans="3:9" x14ac:dyDescent="0.3">
      <c r="C992" s="37"/>
      <c r="D992" s="38"/>
      <c r="E992" s="38"/>
      <c r="F992" s="39"/>
      <c r="G992" s="40"/>
      <c r="H992" s="38" t="e">
        <f>MONTH(Libro_Diario[[#This Row],[Fecha]])</f>
        <v>#VALUE!</v>
      </c>
      <c r="I992" s="38" t="e">
        <f>YEAR(Libro_Diario[[#This Row],[Fecha]])</f>
        <v>#VALUE!</v>
      </c>
    </row>
    <row r="993" spans="3:9" x14ac:dyDescent="0.3">
      <c r="C993" s="37"/>
      <c r="D993" s="38"/>
      <c r="E993" s="38"/>
      <c r="F993" s="39"/>
      <c r="G993" s="40"/>
      <c r="H993" s="38" t="e">
        <f>MONTH(Libro_Diario[[#This Row],[Fecha]])</f>
        <v>#VALUE!</v>
      </c>
      <c r="I993" s="38" t="e">
        <f>YEAR(Libro_Diario[[#This Row],[Fecha]])</f>
        <v>#VALUE!</v>
      </c>
    </row>
    <row r="994" spans="3:9" x14ac:dyDescent="0.3">
      <c r="C994" s="37"/>
      <c r="D994" s="38"/>
      <c r="E994" s="38"/>
      <c r="F994" s="39"/>
      <c r="G994" s="40"/>
      <c r="H994" s="38" t="e">
        <f>MONTH(Libro_Diario[[#This Row],[Fecha]])</f>
        <v>#VALUE!</v>
      </c>
      <c r="I994" s="38" t="e">
        <f>YEAR(Libro_Diario[[#This Row],[Fecha]])</f>
        <v>#VALUE!</v>
      </c>
    </row>
    <row r="995" spans="3:9" x14ac:dyDescent="0.3">
      <c r="C995" s="37"/>
      <c r="D995" s="38"/>
      <c r="E995" s="38"/>
      <c r="F995" s="39"/>
      <c r="G995" s="40"/>
      <c r="H995" s="38" t="e">
        <f>MONTH(Libro_Diario[[#This Row],[Fecha]])</f>
        <v>#VALUE!</v>
      </c>
      <c r="I995" s="38" t="e">
        <f>YEAR(Libro_Diario[[#This Row],[Fecha]])</f>
        <v>#VALUE!</v>
      </c>
    </row>
    <row r="996" spans="3:9" x14ac:dyDescent="0.3">
      <c r="C996" s="37"/>
      <c r="D996" s="38"/>
      <c r="E996" s="38"/>
      <c r="F996" s="39"/>
      <c r="G996" s="40"/>
      <c r="H996" s="38" t="e">
        <f>MONTH(Libro_Diario[[#This Row],[Fecha]])</f>
        <v>#VALUE!</v>
      </c>
      <c r="I996" s="38" t="e">
        <f>YEAR(Libro_Diario[[#This Row],[Fecha]])</f>
        <v>#VALUE!</v>
      </c>
    </row>
    <row r="997" spans="3:9" x14ac:dyDescent="0.3">
      <c r="C997" s="37"/>
      <c r="D997" s="38"/>
      <c r="E997" s="38"/>
      <c r="F997" s="39"/>
      <c r="G997" s="40"/>
      <c r="H997" s="38" t="e">
        <f>MONTH(Libro_Diario[[#This Row],[Fecha]])</f>
        <v>#VALUE!</v>
      </c>
      <c r="I997" s="38" t="e">
        <f>YEAR(Libro_Diario[[#This Row],[Fecha]])</f>
        <v>#VALUE!</v>
      </c>
    </row>
    <row r="998" spans="3:9" x14ac:dyDescent="0.3">
      <c r="C998" s="37"/>
      <c r="D998" s="38"/>
      <c r="E998" s="38"/>
      <c r="F998" s="39"/>
      <c r="G998" s="40"/>
      <c r="H998" s="38" t="e">
        <f>MONTH(Libro_Diario[[#This Row],[Fecha]])</f>
        <v>#VALUE!</v>
      </c>
      <c r="I998" s="38" t="e">
        <f>YEAR(Libro_Diario[[#This Row],[Fecha]])</f>
        <v>#VALUE!</v>
      </c>
    </row>
    <row r="999" spans="3:9" x14ac:dyDescent="0.3">
      <c r="C999" s="37"/>
      <c r="D999" s="38"/>
      <c r="E999" s="38"/>
      <c r="F999" s="39"/>
      <c r="G999" s="40"/>
      <c r="H999" s="38" t="e">
        <f>MONTH(Libro_Diario[[#This Row],[Fecha]])</f>
        <v>#VALUE!</v>
      </c>
      <c r="I999" s="38" t="e">
        <f>YEAR(Libro_Diario[[#This Row],[Fecha]])</f>
        <v>#VALUE!</v>
      </c>
    </row>
    <row r="1000" spans="3:9" x14ac:dyDescent="0.3">
      <c r="C1000" s="37"/>
      <c r="D1000" s="38"/>
      <c r="E1000" s="38"/>
      <c r="F1000" s="39"/>
      <c r="G1000" s="40"/>
      <c r="H1000" s="38" t="e">
        <f>MONTH(Libro_Diario[[#This Row],[Fecha]])</f>
        <v>#VALUE!</v>
      </c>
      <c r="I1000" s="38" t="e">
        <f>YEAR(Libro_Diario[[#This Row],[Fecha]])</f>
        <v>#VALUE!</v>
      </c>
    </row>
    <row r="1001" spans="3:9" x14ac:dyDescent="0.3">
      <c r="C1001" s="37"/>
      <c r="D1001" s="38"/>
      <c r="E1001" s="38"/>
      <c r="F1001" s="39"/>
      <c r="G1001" s="40"/>
      <c r="H1001" s="38" t="e">
        <f>MONTH(Libro_Diario[[#This Row],[Fecha]])</f>
        <v>#VALUE!</v>
      </c>
      <c r="I1001" s="38" t="e">
        <f>YEAR(Libro_Diario[[#This Row],[Fecha]])</f>
        <v>#VALUE!</v>
      </c>
    </row>
    <row r="1002" spans="3:9" x14ac:dyDescent="0.3">
      <c r="C1002" s="37"/>
      <c r="D1002" s="38"/>
      <c r="E1002" s="38"/>
      <c r="F1002" s="39"/>
      <c r="G1002" s="40"/>
      <c r="H1002" s="38" t="e">
        <f>MONTH(Libro_Diario[[#This Row],[Fecha]])</f>
        <v>#VALUE!</v>
      </c>
      <c r="I1002" s="38" t="e">
        <f>YEAR(Libro_Diario[[#This Row],[Fecha]])</f>
        <v>#VALUE!</v>
      </c>
    </row>
    <row r="1003" spans="3:9" x14ac:dyDescent="0.3">
      <c r="C1003" s="37"/>
      <c r="D1003" s="38"/>
      <c r="E1003" s="38"/>
      <c r="F1003" s="39"/>
      <c r="G1003" s="40"/>
      <c r="H1003" s="38" t="e">
        <f>MONTH(Libro_Diario[[#This Row],[Fecha]])</f>
        <v>#VALUE!</v>
      </c>
      <c r="I1003" s="38" t="e">
        <f>YEAR(Libro_Diario[[#This Row],[Fecha]])</f>
        <v>#VALUE!</v>
      </c>
    </row>
    <row r="1004" spans="3:9" x14ac:dyDescent="0.3">
      <c r="C1004" s="37"/>
      <c r="D1004" s="38"/>
      <c r="E1004" s="38"/>
      <c r="F1004" s="39"/>
      <c r="G1004" s="40"/>
      <c r="H1004" s="38" t="e">
        <f>MONTH(Libro_Diario[[#This Row],[Fecha]])</f>
        <v>#VALUE!</v>
      </c>
      <c r="I1004" s="38" t="e">
        <f>YEAR(Libro_Diario[[#This Row],[Fecha]])</f>
        <v>#VALUE!</v>
      </c>
    </row>
    <row r="1005" spans="3:9" x14ac:dyDescent="0.3">
      <c r="C1005" s="37"/>
      <c r="D1005" s="38"/>
      <c r="E1005" s="38"/>
      <c r="F1005" s="39"/>
      <c r="G1005" s="40"/>
      <c r="H1005" s="38" t="e">
        <f>MONTH(Libro_Diario[[#This Row],[Fecha]])</f>
        <v>#VALUE!</v>
      </c>
      <c r="I1005" s="38" t="e">
        <f>YEAR(Libro_Diario[[#This Row],[Fecha]])</f>
        <v>#VALUE!</v>
      </c>
    </row>
    <row r="1006" spans="3:9" x14ac:dyDescent="0.3">
      <c r="C1006" s="37"/>
      <c r="D1006" s="38"/>
      <c r="E1006" s="38"/>
      <c r="F1006" s="39"/>
      <c r="G1006" s="40"/>
      <c r="H1006" s="38" t="e">
        <f>MONTH(Libro_Diario[[#This Row],[Fecha]])</f>
        <v>#VALUE!</v>
      </c>
      <c r="I1006" s="38" t="e">
        <f>YEAR(Libro_Diario[[#This Row],[Fecha]])</f>
        <v>#VALUE!</v>
      </c>
    </row>
    <row r="1007" spans="3:9" x14ac:dyDescent="0.3">
      <c r="C1007" s="37"/>
      <c r="D1007" s="38"/>
      <c r="E1007" s="38"/>
      <c r="F1007" s="39"/>
      <c r="G1007" s="40"/>
      <c r="H1007" s="38" t="e">
        <f>MONTH(Libro_Diario[[#This Row],[Fecha]])</f>
        <v>#VALUE!</v>
      </c>
      <c r="I1007" s="38" t="e">
        <f>YEAR(Libro_Diario[[#This Row],[Fecha]])</f>
        <v>#VALUE!</v>
      </c>
    </row>
    <row r="1008" spans="3:9" x14ac:dyDescent="0.3">
      <c r="C1008" s="37"/>
      <c r="D1008" s="38"/>
      <c r="E1008" s="38"/>
      <c r="F1008" s="39"/>
      <c r="G1008" s="40"/>
      <c r="H1008" s="38" t="e">
        <f>MONTH(Libro_Diario[[#This Row],[Fecha]])</f>
        <v>#VALUE!</v>
      </c>
      <c r="I1008" s="38" t="e">
        <f>YEAR(Libro_Diario[[#This Row],[Fecha]])</f>
        <v>#VALUE!</v>
      </c>
    </row>
    <row r="1009" spans="3:9" x14ac:dyDescent="0.3">
      <c r="C1009" s="37"/>
      <c r="D1009" s="38"/>
      <c r="E1009" s="38"/>
      <c r="F1009" s="39"/>
      <c r="G1009" s="40"/>
      <c r="H1009" s="38" t="e">
        <f>MONTH(Libro_Diario[[#This Row],[Fecha]])</f>
        <v>#VALUE!</v>
      </c>
      <c r="I1009" s="38" t="e">
        <f>YEAR(Libro_Diario[[#This Row],[Fecha]])</f>
        <v>#VALUE!</v>
      </c>
    </row>
    <row r="1010" spans="3:9" x14ac:dyDescent="0.3">
      <c r="C1010" s="37"/>
      <c r="D1010" s="38"/>
      <c r="E1010" s="38"/>
      <c r="F1010" s="39"/>
      <c r="G1010" s="40"/>
      <c r="H1010" s="38" t="e">
        <f>MONTH(Libro_Diario[[#This Row],[Fecha]])</f>
        <v>#VALUE!</v>
      </c>
      <c r="I1010" s="38" t="e">
        <f>YEAR(Libro_Diario[[#This Row],[Fecha]])</f>
        <v>#VALUE!</v>
      </c>
    </row>
    <row r="1011" spans="3:9" x14ac:dyDescent="0.3">
      <c r="C1011" s="37"/>
      <c r="D1011" s="38"/>
      <c r="E1011" s="38"/>
      <c r="F1011" s="39"/>
      <c r="G1011" s="40"/>
      <c r="H1011" s="38" t="e">
        <f>MONTH(Libro_Diario[[#This Row],[Fecha]])</f>
        <v>#VALUE!</v>
      </c>
      <c r="I1011" s="38" t="e">
        <f>YEAR(Libro_Diario[[#This Row],[Fecha]])</f>
        <v>#VALUE!</v>
      </c>
    </row>
    <row r="1012" spans="3:9" x14ac:dyDescent="0.3">
      <c r="C1012" s="37"/>
      <c r="D1012" s="38"/>
      <c r="E1012" s="38"/>
      <c r="F1012" s="39"/>
      <c r="G1012" s="40"/>
      <c r="H1012" s="38" t="e">
        <f>MONTH(Libro_Diario[[#This Row],[Fecha]])</f>
        <v>#VALUE!</v>
      </c>
      <c r="I1012" s="38" t="e">
        <f>YEAR(Libro_Diario[[#This Row],[Fecha]])</f>
        <v>#VALUE!</v>
      </c>
    </row>
    <row r="1013" spans="3:9" x14ac:dyDescent="0.3">
      <c r="C1013" s="37"/>
      <c r="D1013" s="38"/>
      <c r="E1013" s="38"/>
      <c r="F1013" s="39"/>
      <c r="G1013" s="40"/>
      <c r="H1013" s="38" t="e">
        <f>MONTH(Libro_Diario[[#This Row],[Fecha]])</f>
        <v>#VALUE!</v>
      </c>
      <c r="I1013" s="38" t="e">
        <f>YEAR(Libro_Diario[[#This Row],[Fecha]])</f>
        <v>#VALUE!</v>
      </c>
    </row>
    <row r="1014" spans="3:9" x14ac:dyDescent="0.3">
      <c r="C1014" s="37"/>
      <c r="D1014" s="38"/>
      <c r="E1014" s="38"/>
      <c r="F1014" s="39"/>
      <c r="G1014" s="40"/>
      <c r="H1014" s="38" t="e">
        <f>MONTH(Libro_Diario[[#This Row],[Fecha]])</f>
        <v>#VALUE!</v>
      </c>
      <c r="I1014" s="38" t="e">
        <f>YEAR(Libro_Diario[[#This Row],[Fecha]])</f>
        <v>#VALUE!</v>
      </c>
    </row>
    <row r="1015" spans="3:9" x14ac:dyDescent="0.3">
      <c r="C1015" s="37"/>
      <c r="D1015" s="38"/>
      <c r="E1015" s="38"/>
      <c r="F1015" s="39"/>
      <c r="G1015" s="40"/>
      <c r="H1015" s="38" t="e">
        <f>MONTH(Libro_Diario[[#This Row],[Fecha]])</f>
        <v>#VALUE!</v>
      </c>
      <c r="I1015" s="38" t="e">
        <f>YEAR(Libro_Diario[[#This Row],[Fecha]])</f>
        <v>#VALUE!</v>
      </c>
    </row>
    <row r="1016" spans="3:9" x14ac:dyDescent="0.3">
      <c r="C1016" s="37"/>
      <c r="D1016" s="38"/>
      <c r="E1016" s="38"/>
      <c r="F1016" s="39"/>
      <c r="G1016" s="40"/>
      <c r="H1016" s="38" t="e">
        <f>MONTH(Libro_Diario[[#This Row],[Fecha]])</f>
        <v>#VALUE!</v>
      </c>
      <c r="I1016" s="38" t="e">
        <f>YEAR(Libro_Diario[[#This Row],[Fecha]])</f>
        <v>#VALUE!</v>
      </c>
    </row>
    <row r="1017" spans="3:9" x14ac:dyDescent="0.3">
      <c r="C1017" s="37"/>
      <c r="D1017" s="38"/>
      <c r="E1017" s="38"/>
      <c r="F1017" s="39"/>
      <c r="G1017" s="40"/>
      <c r="H1017" s="38" t="e">
        <f>MONTH(Libro_Diario[[#This Row],[Fecha]])</f>
        <v>#VALUE!</v>
      </c>
      <c r="I1017" s="38" t="e">
        <f>YEAR(Libro_Diario[[#This Row],[Fecha]])</f>
        <v>#VALUE!</v>
      </c>
    </row>
    <row r="1018" spans="3:9" x14ac:dyDescent="0.3">
      <c r="C1018" s="37"/>
      <c r="D1018" s="38"/>
      <c r="E1018" s="38"/>
      <c r="F1018" s="39"/>
      <c r="G1018" s="40"/>
      <c r="H1018" s="38" t="e">
        <f>MONTH(Libro_Diario[[#This Row],[Fecha]])</f>
        <v>#VALUE!</v>
      </c>
      <c r="I1018" s="38" t="e">
        <f>YEAR(Libro_Diario[[#This Row],[Fecha]])</f>
        <v>#VALUE!</v>
      </c>
    </row>
    <row r="1019" spans="3:9" x14ac:dyDescent="0.3">
      <c r="C1019" s="37"/>
      <c r="D1019" s="38"/>
      <c r="E1019" s="38"/>
      <c r="F1019" s="39"/>
      <c r="G1019" s="40"/>
      <c r="H1019" s="38" t="e">
        <f>MONTH(Libro_Diario[[#This Row],[Fecha]])</f>
        <v>#VALUE!</v>
      </c>
      <c r="I1019" s="38" t="e">
        <f>YEAR(Libro_Diario[[#This Row],[Fecha]])</f>
        <v>#VALUE!</v>
      </c>
    </row>
    <row r="1020" spans="3:9" x14ac:dyDescent="0.3">
      <c r="C1020" s="37"/>
      <c r="D1020" s="38"/>
      <c r="E1020" s="38"/>
      <c r="F1020" s="39"/>
      <c r="G1020" s="40"/>
      <c r="H1020" s="38" t="e">
        <f>MONTH(Libro_Diario[[#This Row],[Fecha]])</f>
        <v>#VALUE!</v>
      </c>
      <c r="I1020" s="38" t="e">
        <f>YEAR(Libro_Diario[[#This Row],[Fecha]])</f>
        <v>#VALUE!</v>
      </c>
    </row>
    <row r="1021" spans="3:9" x14ac:dyDescent="0.3">
      <c r="C1021" s="37"/>
      <c r="D1021" s="38"/>
      <c r="E1021" s="38"/>
      <c r="F1021" s="39"/>
      <c r="G1021" s="40"/>
      <c r="H1021" s="38" t="e">
        <f>MONTH(Libro_Diario[[#This Row],[Fecha]])</f>
        <v>#VALUE!</v>
      </c>
      <c r="I1021" s="38" t="e">
        <f>YEAR(Libro_Diario[[#This Row],[Fecha]])</f>
        <v>#VALUE!</v>
      </c>
    </row>
    <row r="1022" spans="3:9" x14ac:dyDescent="0.3">
      <c r="C1022" s="37"/>
      <c r="D1022" s="38"/>
      <c r="E1022" s="38"/>
      <c r="F1022" s="39"/>
      <c r="G1022" s="40"/>
      <c r="H1022" s="38" t="e">
        <f>MONTH(Libro_Diario[[#This Row],[Fecha]])</f>
        <v>#VALUE!</v>
      </c>
      <c r="I1022" s="38" t="e">
        <f>YEAR(Libro_Diario[[#This Row],[Fecha]])</f>
        <v>#VALUE!</v>
      </c>
    </row>
    <row r="1023" spans="3:9" x14ac:dyDescent="0.3">
      <c r="C1023" s="37"/>
      <c r="D1023" s="38"/>
      <c r="E1023" s="38"/>
      <c r="F1023" s="39"/>
      <c r="G1023" s="40"/>
      <c r="H1023" s="38" t="e">
        <f>MONTH(Libro_Diario[[#This Row],[Fecha]])</f>
        <v>#VALUE!</v>
      </c>
      <c r="I1023" s="38" t="e">
        <f>YEAR(Libro_Diario[[#This Row],[Fecha]])</f>
        <v>#VALUE!</v>
      </c>
    </row>
    <row r="1024" spans="3:9" x14ac:dyDescent="0.3">
      <c r="C1024" s="37"/>
      <c r="D1024" s="38"/>
      <c r="E1024" s="38"/>
      <c r="F1024" s="39"/>
      <c r="G1024" s="40"/>
      <c r="H1024" s="38" t="e">
        <f>MONTH(Libro_Diario[[#This Row],[Fecha]])</f>
        <v>#VALUE!</v>
      </c>
      <c r="I1024" s="38" t="e">
        <f>YEAR(Libro_Diario[[#This Row],[Fecha]])</f>
        <v>#VALUE!</v>
      </c>
    </row>
    <row r="1025" spans="3:9" x14ac:dyDescent="0.3">
      <c r="C1025" s="37"/>
      <c r="D1025" s="38"/>
      <c r="E1025" s="38"/>
      <c r="F1025" s="39"/>
      <c r="G1025" s="40"/>
      <c r="H1025" s="38" t="e">
        <f>MONTH(Libro_Diario[[#This Row],[Fecha]])</f>
        <v>#VALUE!</v>
      </c>
      <c r="I1025" s="38" t="e">
        <f>YEAR(Libro_Diario[[#This Row],[Fecha]])</f>
        <v>#VALUE!</v>
      </c>
    </row>
    <row r="1026" spans="3:9" x14ac:dyDescent="0.3">
      <c r="C1026" s="37"/>
      <c r="D1026" s="38"/>
      <c r="E1026" s="38"/>
      <c r="F1026" s="39"/>
      <c r="G1026" s="40"/>
      <c r="H1026" s="38" t="e">
        <f>MONTH(Libro_Diario[[#This Row],[Fecha]])</f>
        <v>#VALUE!</v>
      </c>
      <c r="I1026" s="38" t="e">
        <f>YEAR(Libro_Diario[[#This Row],[Fecha]])</f>
        <v>#VALUE!</v>
      </c>
    </row>
    <row r="1027" spans="3:9" x14ac:dyDescent="0.3">
      <c r="C1027" s="37"/>
      <c r="D1027" s="38"/>
      <c r="E1027" s="38"/>
      <c r="F1027" s="39"/>
      <c r="G1027" s="40"/>
      <c r="H1027" s="38" t="e">
        <f>MONTH(Libro_Diario[[#This Row],[Fecha]])</f>
        <v>#VALUE!</v>
      </c>
      <c r="I1027" s="38" t="e">
        <f>YEAR(Libro_Diario[[#This Row],[Fecha]])</f>
        <v>#VALUE!</v>
      </c>
    </row>
    <row r="1028" spans="3:9" x14ac:dyDescent="0.3">
      <c r="C1028" s="37"/>
      <c r="D1028" s="38"/>
      <c r="E1028" s="38"/>
      <c r="F1028" s="39"/>
      <c r="G1028" s="40"/>
      <c r="H1028" s="38" t="e">
        <f>MONTH(Libro_Diario[[#This Row],[Fecha]])</f>
        <v>#VALUE!</v>
      </c>
      <c r="I1028" s="38" t="e">
        <f>YEAR(Libro_Diario[[#This Row],[Fecha]])</f>
        <v>#VALUE!</v>
      </c>
    </row>
    <row r="1029" spans="3:9" x14ac:dyDescent="0.3">
      <c r="C1029" s="37"/>
      <c r="D1029" s="38"/>
      <c r="E1029" s="38"/>
      <c r="F1029" s="39"/>
      <c r="G1029" s="40"/>
      <c r="H1029" s="38" t="e">
        <f>MONTH(Libro_Diario[[#This Row],[Fecha]])</f>
        <v>#VALUE!</v>
      </c>
      <c r="I1029" s="38" t="e">
        <f>YEAR(Libro_Diario[[#This Row],[Fecha]])</f>
        <v>#VALUE!</v>
      </c>
    </row>
    <row r="1030" spans="3:9" x14ac:dyDescent="0.3">
      <c r="C1030" s="37"/>
      <c r="D1030" s="38"/>
      <c r="E1030" s="38"/>
      <c r="F1030" s="39"/>
      <c r="G1030" s="40"/>
      <c r="H1030" s="38" t="e">
        <f>MONTH(Libro_Diario[[#This Row],[Fecha]])</f>
        <v>#VALUE!</v>
      </c>
      <c r="I1030" s="38" t="e">
        <f>YEAR(Libro_Diario[[#This Row],[Fecha]])</f>
        <v>#VALUE!</v>
      </c>
    </row>
    <row r="1031" spans="3:9" x14ac:dyDescent="0.3">
      <c r="C1031" s="37"/>
      <c r="D1031" s="38"/>
      <c r="E1031" s="38"/>
      <c r="F1031" s="39"/>
      <c r="G1031" s="40"/>
      <c r="H1031" s="38" t="e">
        <f>MONTH(Libro_Diario[[#This Row],[Fecha]])</f>
        <v>#VALUE!</v>
      </c>
      <c r="I1031" s="38" t="e">
        <f>YEAR(Libro_Diario[[#This Row],[Fecha]])</f>
        <v>#VALUE!</v>
      </c>
    </row>
    <row r="1032" spans="3:9" x14ac:dyDescent="0.3">
      <c r="C1032" s="37"/>
      <c r="D1032" s="38"/>
      <c r="E1032" s="38"/>
      <c r="F1032" s="39"/>
      <c r="G1032" s="40"/>
      <c r="H1032" s="38" t="e">
        <f>MONTH(Libro_Diario[[#This Row],[Fecha]])</f>
        <v>#VALUE!</v>
      </c>
      <c r="I1032" s="38" t="e">
        <f>YEAR(Libro_Diario[[#This Row],[Fecha]])</f>
        <v>#VALUE!</v>
      </c>
    </row>
    <row r="1033" spans="3:9" x14ac:dyDescent="0.3">
      <c r="C1033" s="37"/>
      <c r="D1033" s="38"/>
      <c r="E1033" s="38"/>
      <c r="F1033" s="39"/>
      <c r="G1033" s="40"/>
      <c r="H1033" s="38" t="e">
        <f>MONTH(Libro_Diario[[#This Row],[Fecha]])</f>
        <v>#VALUE!</v>
      </c>
      <c r="I1033" s="38" t="e">
        <f>YEAR(Libro_Diario[[#This Row],[Fecha]])</f>
        <v>#VALUE!</v>
      </c>
    </row>
    <row r="1034" spans="3:9" x14ac:dyDescent="0.3">
      <c r="C1034" s="37"/>
      <c r="D1034" s="38"/>
      <c r="E1034" s="38"/>
      <c r="F1034" s="39"/>
      <c r="G1034" s="40"/>
      <c r="H1034" s="38" t="e">
        <f>MONTH(Libro_Diario[[#This Row],[Fecha]])</f>
        <v>#VALUE!</v>
      </c>
      <c r="I1034" s="38" t="e">
        <f>YEAR(Libro_Diario[[#This Row],[Fecha]])</f>
        <v>#VALUE!</v>
      </c>
    </row>
    <row r="1035" spans="3:9" x14ac:dyDescent="0.3">
      <c r="C1035" s="37"/>
      <c r="D1035" s="38"/>
      <c r="E1035" s="38"/>
      <c r="F1035" s="39"/>
      <c r="G1035" s="40"/>
      <c r="H1035" s="38" t="e">
        <f>MONTH(Libro_Diario[[#This Row],[Fecha]])</f>
        <v>#VALUE!</v>
      </c>
      <c r="I1035" s="38" t="e">
        <f>YEAR(Libro_Diario[[#This Row],[Fecha]])</f>
        <v>#VALUE!</v>
      </c>
    </row>
    <row r="1036" spans="3:9" x14ac:dyDescent="0.3">
      <c r="C1036" s="37"/>
      <c r="D1036" s="38"/>
      <c r="E1036" s="38"/>
      <c r="F1036" s="39"/>
      <c r="G1036" s="40"/>
      <c r="H1036" s="38" t="e">
        <f>MONTH(Libro_Diario[[#This Row],[Fecha]])</f>
        <v>#VALUE!</v>
      </c>
      <c r="I1036" s="38" t="e">
        <f>YEAR(Libro_Diario[[#This Row],[Fecha]])</f>
        <v>#VALUE!</v>
      </c>
    </row>
    <row r="1037" spans="3:9" x14ac:dyDescent="0.3">
      <c r="C1037" s="37"/>
      <c r="D1037" s="38"/>
      <c r="E1037" s="38"/>
      <c r="F1037" s="39"/>
      <c r="G1037" s="40"/>
      <c r="H1037" s="38" t="e">
        <f>MONTH(Libro_Diario[[#This Row],[Fecha]])</f>
        <v>#VALUE!</v>
      </c>
      <c r="I1037" s="38" t="e">
        <f>YEAR(Libro_Diario[[#This Row],[Fecha]])</f>
        <v>#VALUE!</v>
      </c>
    </row>
    <row r="1038" spans="3:9" x14ac:dyDescent="0.3">
      <c r="C1038" s="37"/>
      <c r="D1038" s="38"/>
      <c r="E1038" s="38"/>
      <c r="F1038" s="39"/>
      <c r="G1038" s="40"/>
      <c r="H1038" s="38" t="e">
        <f>MONTH(Libro_Diario[[#This Row],[Fecha]])</f>
        <v>#VALUE!</v>
      </c>
      <c r="I1038" s="38" t="e">
        <f>YEAR(Libro_Diario[[#This Row],[Fecha]])</f>
        <v>#VALUE!</v>
      </c>
    </row>
    <row r="1039" spans="3:9" x14ac:dyDescent="0.3">
      <c r="C1039" s="37"/>
      <c r="D1039" s="38"/>
      <c r="E1039" s="38"/>
      <c r="F1039" s="39"/>
      <c r="G1039" s="40"/>
      <c r="H1039" s="38" t="e">
        <f>MONTH(Libro_Diario[[#This Row],[Fecha]])</f>
        <v>#VALUE!</v>
      </c>
      <c r="I1039" s="38" t="e">
        <f>YEAR(Libro_Diario[[#This Row],[Fecha]])</f>
        <v>#VALUE!</v>
      </c>
    </row>
    <row r="1040" spans="3:9" x14ac:dyDescent="0.3">
      <c r="C1040" s="37"/>
      <c r="D1040" s="38"/>
      <c r="E1040" s="38"/>
      <c r="F1040" s="39"/>
      <c r="G1040" s="40"/>
      <c r="H1040" s="38" t="e">
        <f>MONTH(Libro_Diario[[#This Row],[Fecha]])</f>
        <v>#VALUE!</v>
      </c>
      <c r="I1040" s="38" t="e">
        <f>YEAR(Libro_Diario[[#This Row],[Fecha]])</f>
        <v>#VALUE!</v>
      </c>
    </row>
    <row r="1041" spans="3:9" x14ac:dyDescent="0.3">
      <c r="C1041" s="37"/>
      <c r="D1041" s="38"/>
      <c r="E1041" s="38"/>
      <c r="F1041" s="39"/>
      <c r="G1041" s="40"/>
      <c r="H1041" s="38" t="e">
        <f>MONTH(Libro_Diario[[#This Row],[Fecha]])</f>
        <v>#VALUE!</v>
      </c>
      <c r="I1041" s="38" t="e">
        <f>YEAR(Libro_Diario[[#This Row],[Fecha]])</f>
        <v>#VALUE!</v>
      </c>
    </row>
    <row r="1042" spans="3:9" x14ac:dyDescent="0.3">
      <c r="C1042" s="37"/>
      <c r="D1042" s="38"/>
      <c r="E1042" s="38"/>
      <c r="F1042" s="39"/>
      <c r="G1042" s="40"/>
      <c r="H1042" s="38" t="e">
        <f>MONTH(Libro_Diario[[#This Row],[Fecha]])</f>
        <v>#VALUE!</v>
      </c>
      <c r="I1042" s="38" t="e">
        <f>YEAR(Libro_Diario[[#This Row],[Fecha]])</f>
        <v>#VALUE!</v>
      </c>
    </row>
    <row r="1043" spans="3:9" x14ac:dyDescent="0.3">
      <c r="C1043" s="37"/>
      <c r="D1043" s="38"/>
      <c r="E1043" s="38"/>
      <c r="F1043" s="39"/>
      <c r="G1043" s="40"/>
      <c r="H1043" s="38" t="e">
        <f>MONTH(Libro_Diario[[#This Row],[Fecha]])</f>
        <v>#VALUE!</v>
      </c>
      <c r="I1043" s="38" t="e">
        <f>YEAR(Libro_Diario[[#This Row],[Fecha]])</f>
        <v>#VALUE!</v>
      </c>
    </row>
    <row r="1044" spans="3:9" x14ac:dyDescent="0.3">
      <c r="C1044" s="37"/>
      <c r="D1044" s="38"/>
      <c r="E1044" s="38"/>
      <c r="F1044" s="39"/>
      <c r="G1044" s="40"/>
      <c r="H1044" s="38" t="e">
        <f>MONTH(Libro_Diario[[#This Row],[Fecha]])</f>
        <v>#VALUE!</v>
      </c>
      <c r="I1044" s="38" t="e">
        <f>YEAR(Libro_Diario[[#This Row],[Fecha]])</f>
        <v>#VALUE!</v>
      </c>
    </row>
    <row r="1045" spans="3:9" x14ac:dyDescent="0.3">
      <c r="C1045" s="37"/>
      <c r="D1045" s="38"/>
      <c r="E1045" s="38"/>
      <c r="F1045" s="39"/>
      <c r="G1045" s="40"/>
      <c r="H1045" s="38" t="e">
        <f>MONTH(Libro_Diario[[#This Row],[Fecha]])</f>
        <v>#VALUE!</v>
      </c>
      <c r="I1045" s="38" t="e">
        <f>YEAR(Libro_Diario[[#This Row],[Fecha]])</f>
        <v>#VALUE!</v>
      </c>
    </row>
    <row r="1046" spans="3:9" x14ac:dyDescent="0.3">
      <c r="C1046" s="37"/>
      <c r="D1046" s="38"/>
      <c r="E1046" s="38"/>
      <c r="F1046" s="39"/>
      <c r="G1046" s="40"/>
      <c r="H1046" s="38" t="e">
        <f>MONTH(Libro_Diario[[#This Row],[Fecha]])</f>
        <v>#VALUE!</v>
      </c>
      <c r="I1046" s="38" t="e">
        <f>YEAR(Libro_Diario[[#This Row],[Fecha]])</f>
        <v>#VALUE!</v>
      </c>
    </row>
    <row r="1047" spans="3:9" x14ac:dyDescent="0.3">
      <c r="C1047" s="37"/>
      <c r="D1047" s="38"/>
      <c r="E1047" s="38"/>
      <c r="F1047" s="39"/>
      <c r="G1047" s="40"/>
      <c r="H1047" s="38" t="e">
        <f>MONTH(Libro_Diario[[#This Row],[Fecha]])</f>
        <v>#VALUE!</v>
      </c>
      <c r="I1047" s="38" t="e">
        <f>YEAR(Libro_Diario[[#This Row],[Fecha]])</f>
        <v>#VALUE!</v>
      </c>
    </row>
    <row r="1048" spans="3:9" x14ac:dyDescent="0.3">
      <c r="C1048" s="37"/>
      <c r="D1048" s="38"/>
      <c r="E1048" s="38"/>
      <c r="F1048" s="39"/>
      <c r="G1048" s="40"/>
      <c r="H1048" s="38" t="e">
        <f>MONTH(Libro_Diario[[#This Row],[Fecha]])</f>
        <v>#VALUE!</v>
      </c>
      <c r="I1048" s="38" t="e">
        <f>YEAR(Libro_Diario[[#This Row],[Fecha]])</f>
        <v>#VALUE!</v>
      </c>
    </row>
    <row r="1049" spans="3:9" x14ac:dyDescent="0.3">
      <c r="C1049" s="37"/>
      <c r="D1049" s="38"/>
      <c r="E1049" s="38"/>
      <c r="F1049" s="39"/>
      <c r="G1049" s="40"/>
      <c r="H1049" s="38" t="e">
        <f>MONTH(Libro_Diario[[#This Row],[Fecha]])</f>
        <v>#VALUE!</v>
      </c>
      <c r="I1049" s="38" t="e">
        <f>YEAR(Libro_Diario[[#This Row],[Fecha]])</f>
        <v>#VALUE!</v>
      </c>
    </row>
    <row r="1050" spans="3:9" x14ac:dyDescent="0.3">
      <c r="C1050" s="37"/>
      <c r="D1050" s="38"/>
      <c r="E1050" s="38"/>
      <c r="F1050" s="39"/>
      <c r="G1050" s="40"/>
      <c r="H1050" s="38" t="e">
        <f>MONTH(Libro_Diario[[#This Row],[Fecha]])</f>
        <v>#VALUE!</v>
      </c>
      <c r="I1050" s="38" t="e">
        <f>YEAR(Libro_Diario[[#This Row],[Fecha]])</f>
        <v>#VALUE!</v>
      </c>
    </row>
    <row r="1051" spans="3:9" x14ac:dyDescent="0.3">
      <c r="C1051" s="37"/>
      <c r="D1051" s="38"/>
      <c r="E1051" s="38"/>
      <c r="F1051" s="39"/>
      <c r="G1051" s="40"/>
      <c r="H1051" s="38" t="e">
        <f>MONTH(Libro_Diario[[#This Row],[Fecha]])</f>
        <v>#VALUE!</v>
      </c>
      <c r="I1051" s="38" t="e">
        <f>YEAR(Libro_Diario[[#This Row],[Fecha]])</f>
        <v>#VALUE!</v>
      </c>
    </row>
    <row r="1052" spans="3:9" x14ac:dyDescent="0.3">
      <c r="C1052" s="37"/>
      <c r="D1052" s="38"/>
      <c r="E1052" s="38"/>
      <c r="F1052" s="39"/>
      <c r="G1052" s="40"/>
      <c r="H1052" s="38" t="e">
        <f>MONTH(Libro_Diario[[#This Row],[Fecha]])</f>
        <v>#VALUE!</v>
      </c>
      <c r="I1052" s="38" t="e">
        <f>YEAR(Libro_Diario[[#This Row],[Fecha]])</f>
        <v>#VALUE!</v>
      </c>
    </row>
    <row r="1053" spans="3:9" x14ac:dyDescent="0.3">
      <c r="C1053" s="37"/>
      <c r="D1053" s="38"/>
      <c r="E1053" s="38"/>
      <c r="F1053" s="39"/>
      <c r="G1053" s="40"/>
      <c r="H1053" s="38" t="e">
        <f>MONTH(Libro_Diario[[#This Row],[Fecha]])</f>
        <v>#VALUE!</v>
      </c>
      <c r="I1053" s="38" t="e">
        <f>YEAR(Libro_Diario[[#This Row],[Fecha]])</f>
        <v>#VALUE!</v>
      </c>
    </row>
    <row r="1054" spans="3:9" x14ac:dyDescent="0.3">
      <c r="C1054" s="37"/>
      <c r="D1054" s="38"/>
      <c r="E1054" s="38"/>
      <c r="F1054" s="39"/>
      <c r="G1054" s="40"/>
      <c r="H1054" s="38" t="e">
        <f>MONTH(Libro_Diario[[#This Row],[Fecha]])</f>
        <v>#VALUE!</v>
      </c>
      <c r="I1054" s="38" t="e">
        <f>YEAR(Libro_Diario[[#This Row],[Fecha]])</f>
        <v>#VALUE!</v>
      </c>
    </row>
    <row r="1055" spans="3:9" x14ac:dyDescent="0.3">
      <c r="C1055" s="37"/>
      <c r="D1055" s="38"/>
      <c r="E1055" s="38"/>
      <c r="F1055" s="39"/>
      <c r="G1055" s="40"/>
      <c r="H1055" s="38" t="e">
        <f>MONTH(Libro_Diario[[#This Row],[Fecha]])</f>
        <v>#VALUE!</v>
      </c>
      <c r="I1055" s="38" t="e">
        <f>YEAR(Libro_Diario[[#This Row],[Fecha]])</f>
        <v>#VALUE!</v>
      </c>
    </row>
    <row r="1056" spans="3:9" x14ac:dyDescent="0.3">
      <c r="C1056" s="37"/>
      <c r="D1056" s="38"/>
      <c r="E1056" s="38"/>
      <c r="F1056" s="39"/>
      <c r="G1056" s="40"/>
      <c r="H1056" s="38" t="e">
        <f>MONTH(Libro_Diario[[#This Row],[Fecha]])</f>
        <v>#VALUE!</v>
      </c>
      <c r="I1056" s="38" t="e">
        <f>YEAR(Libro_Diario[[#This Row],[Fecha]])</f>
        <v>#VALUE!</v>
      </c>
    </row>
    <row r="1057" spans="3:9" x14ac:dyDescent="0.3">
      <c r="C1057" s="37"/>
      <c r="D1057" s="38"/>
      <c r="E1057" s="38"/>
      <c r="F1057" s="39"/>
      <c r="G1057" s="40"/>
      <c r="H1057" s="38" t="e">
        <f>MONTH(Libro_Diario[[#This Row],[Fecha]])</f>
        <v>#VALUE!</v>
      </c>
      <c r="I1057" s="38" t="e">
        <f>YEAR(Libro_Diario[[#This Row],[Fecha]])</f>
        <v>#VALUE!</v>
      </c>
    </row>
    <row r="1058" spans="3:9" x14ac:dyDescent="0.3">
      <c r="C1058" s="37"/>
      <c r="D1058" s="38"/>
      <c r="E1058" s="38"/>
      <c r="F1058" s="39"/>
      <c r="G1058" s="40"/>
      <c r="H1058" s="38" t="e">
        <f>MONTH(Libro_Diario[[#This Row],[Fecha]])</f>
        <v>#VALUE!</v>
      </c>
      <c r="I1058" s="38" t="e">
        <f>YEAR(Libro_Diario[[#This Row],[Fecha]])</f>
        <v>#VALUE!</v>
      </c>
    </row>
    <row r="1059" spans="3:9" x14ac:dyDescent="0.3">
      <c r="C1059" s="37"/>
      <c r="D1059" s="38"/>
      <c r="E1059" s="38"/>
      <c r="F1059" s="39"/>
      <c r="G1059" s="40"/>
      <c r="H1059" s="38" t="e">
        <f>MONTH(Libro_Diario[[#This Row],[Fecha]])</f>
        <v>#VALUE!</v>
      </c>
      <c r="I1059" s="38" t="e">
        <f>YEAR(Libro_Diario[[#This Row],[Fecha]])</f>
        <v>#VALUE!</v>
      </c>
    </row>
    <row r="1060" spans="3:9" x14ac:dyDescent="0.3">
      <c r="C1060" s="37"/>
      <c r="D1060" s="38"/>
      <c r="E1060" s="38"/>
      <c r="F1060" s="39"/>
      <c r="G1060" s="40"/>
      <c r="H1060" s="38" t="e">
        <f>MONTH(Libro_Diario[[#This Row],[Fecha]])</f>
        <v>#VALUE!</v>
      </c>
      <c r="I1060" s="38" t="e">
        <f>YEAR(Libro_Diario[[#This Row],[Fecha]])</f>
        <v>#VALUE!</v>
      </c>
    </row>
    <row r="1061" spans="3:9" x14ac:dyDescent="0.3">
      <c r="C1061" s="37"/>
      <c r="D1061" s="38"/>
      <c r="E1061" s="38"/>
      <c r="F1061" s="39"/>
      <c r="G1061" s="40"/>
      <c r="H1061" s="38" t="e">
        <f>MONTH(Libro_Diario[[#This Row],[Fecha]])</f>
        <v>#VALUE!</v>
      </c>
      <c r="I1061" s="38" t="e">
        <f>YEAR(Libro_Diario[[#This Row],[Fecha]])</f>
        <v>#VALUE!</v>
      </c>
    </row>
    <row r="1062" spans="3:9" x14ac:dyDescent="0.3">
      <c r="C1062" s="37"/>
      <c r="D1062" s="38"/>
      <c r="E1062" s="38"/>
      <c r="F1062" s="39"/>
      <c r="G1062" s="40"/>
      <c r="H1062" s="38" t="e">
        <f>MONTH(Libro_Diario[[#This Row],[Fecha]])</f>
        <v>#VALUE!</v>
      </c>
      <c r="I1062" s="38" t="e">
        <f>YEAR(Libro_Diario[[#This Row],[Fecha]])</f>
        <v>#VALUE!</v>
      </c>
    </row>
    <row r="1063" spans="3:9" x14ac:dyDescent="0.3">
      <c r="C1063" s="37"/>
      <c r="D1063" s="38"/>
      <c r="E1063" s="38"/>
      <c r="F1063" s="39"/>
      <c r="G1063" s="40"/>
      <c r="H1063" s="38" t="e">
        <f>MONTH(Libro_Diario[[#This Row],[Fecha]])</f>
        <v>#VALUE!</v>
      </c>
      <c r="I1063" s="38" t="e">
        <f>YEAR(Libro_Diario[[#This Row],[Fecha]])</f>
        <v>#VALUE!</v>
      </c>
    </row>
    <row r="1064" spans="3:9" x14ac:dyDescent="0.3">
      <c r="C1064" s="37"/>
      <c r="D1064" s="38"/>
      <c r="E1064" s="38"/>
      <c r="F1064" s="39"/>
      <c r="G1064" s="40"/>
      <c r="H1064" s="38" t="e">
        <f>MONTH(Libro_Diario[[#This Row],[Fecha]])</f>
        <v>#VALUE!</v>
      </c>
      <c r="I1064" s="38" t="e">
        <f>YEAR(Libro_Diario[[#This Row],[Fecha]])</f>
        <v>#VALUE!</v>
      </c>
    </row>
    <row r="1065" spans="3:9" x14ac:dyDescent="0.3">
      <c r="C1065" s="37"/>
      <c r="D1065" s="38"/>
      <c r="E1065" s="38"/>
      <c r="F1065" s="39"/>
      <c r="G1065" s="40"/>
      <c r="H1065" s="38" t="e">
        <f>MONTH(Libro_Diario[[#This Row],[Fecha]])</f>
        <v>#VALUE!</v>
      </c>
      <c r="I1065" s="38" t="e">
        <f>YEAR(Libro_Diario[[#This Row],[Fecha]])</f>
        <v>#VALUE!</v>
      </c>
    </row>
    <row r="1066" spans="3:9" x14ac:dyDescent="0.3">
      <c r="C1066" s="37"/>
      <c r="D1066" s="38"/>
      <c r="E1066" s="38"/>
      <c r="F1066" s="39"/>
      <c r="G1066" s="40"/>
      <c r="H1066" s="38" t="e">
        <f>MONTH(Libro_Diario[[#This Row],[Fecha]])</f>
        <v>#VALUE!</v>
      </c>
      <c r="I1066" s="38" t="e">
        <f>YEAR(Libro_Diario[[#This Row],[Fecha]])</f>
        <v>#VALUE!</v>
      </c>
    </row>
    <row r="1067" spans="3:9" x14ac:dyDescent="0.3">
      <c r="C1067" s="37"/>
      <c r="D1067" s="38"/>
      <c r="E1067" s="38"/>
      <c r="F1067" s="39"/>
      <c r="G1067" s="40"/>
      <c r="H1067" s="38" t="e">
        <f>MONTH(Libro_Diario[[#This Row],[Fecha]])</f>
        <v>#VALUE!</v>
      </c>
      <c r="I1067" s="38" t="e">
        <f>YEAR(Libro_Diario[[#This Row],[Fecha]])</f>
        <v>#VALUE!</v>
      </c>
    </row>
    <row r="1068" spans="3:9" x14ac:dyDescent="0.3">
      <c r="C1068" s="37"/>
      <c r="D1068" s="38"/>
      <c r="E1068" s="38"/>
      <c r="F1068" s="39"/>
      <c r="G1068" s="40"/>
      <c r="H1068" s="38" t="e">
        <f>MONTH(Libro_Diario[[#This Row],[Fecha]])</f>
        <v>#VALUE!</v>
      </c>
      <c r="I1068" s="38" t="e">
        <f>YEAR(Libro_Diario[[#This Row],[Fecha]])</f>
        <v>#VALUE!</v>
      </c>
    </row>
    <row r="1069" spans="3:9" x14ac:dyDescent="0.3">
      <c r="C1069" s="37"/>
      <c r="D1069" s="38"/>
      <c r="E1069" s="38"/>
      <c r="F1069" s="39"/>
      <c r="G1069" s="40"/>
      <c r="H1069" s="38" t="e">
        <f>MONTH(Libro_Diario[[#This Row],[Fecha]])</f>
        <v>#VALUE!</v>
      </c>
      <c r="I1069" s="38" t="e">
        <f>YEAR(Libro_Diario[[#This Row],[Fecha]])</f>
        <v>#VALUE!</v>
      </c>
    </row>
    <row r="1070" spans="3:9" x14ac:dyDescent="0.3">
      <c r="C1070" s="37"/>
      <c r="D1070" s="38"/>
      <c r="E1070" s="38"/>
      <c r="F1070" s="39"/>
      <c r="G1070" s="40"/>
      <c r="H1070" s="38" t="e">
        <f>MONTH(Libro_Diario[[#This Row],[Fecha]])</f>
        <v>#VALUE!</v>
      </c>
      <c r="I1070" s="38" t="e">
        <f>YEAR(Libro_Diario[[#This Row],[Fecha]])</f>
        <v>#VALUE!</v>
      </c>
    </row>
    <row r="1071" spans="3:9" x14ac:dyDescent="0.3">
      <c r="C1071" s="37"/>
      <c r="D1071" s="38"/>
      <c r="E1071" s="38"/>
      <c r="F1071" s="39"/>
      <c r="G1071" s="40"/>
      <c r="H1071" s="38" t="e">
        <f>MONTH(Libro_Diario[[#This Row],[Fecha]])</f>
        <v>#VALUE!</v>
      </c>
      <c r="I1071" s="38" t="e">
        <f>YEAR(Libro_Diario[[#This Row],[Fecha]])</f>
        <v>#VALUE!</v>
      </c>
    </row>
    <row r="1072" spans="3:9" x14ac:dyDescent="0.3">
      <c r="C1072" s="37"/>
      <c r="D1072" s="38"/>
      <c r="E1072" s="38"/>
      <c r="F1072" s="39"/>
      <c r="G1072" s="40"/>
      <c r="H1072" s="38" t="e">
        <f>MONTH(Libro_Diario[[#This Row],[Fecha]])</f>
        <v>#VALUE!</v>
      </c>
      <c r="I1072" s="38" t="e">
        <f>YEAR(Libro_Diario[[#This Row],[Fecha]])</f>
        <v>#VALUE!</v>
      </c>
    </row>
    <row r="1073" spans="3:9" x14ac:dyDescent="0.3">
      <c r="C1073" s="37"/>
      <c r="D1073" s="38"/>
      <c r="E1073" s="38"/>
      <c r="F1073" s="39"/>
      <c r="G1073" s="40"/>
      <c r="H1073" s="38" t="e">
        <f>MONTH(Libro_Diario[[#This Row],[Fecha]])</f>
        <v>#VALUE!</v>
      </c>
      <c r="I1073" s="38" t="e">
        <f>YEAR(Libro_Diario[[#This Row],[Fecha]])</f>
        <v>#VALUE!</v>
      </c>
    </row>
    <row r="1074" spans="3:9" x14ac:dyDescent="0.3">
      <c r="C1074" s="37"/>
      <c r="D1074" s="38"/>
      <c r="E1074" s="38"/>
      <c r="F1074" s="39"/>
      <c r="G1074" s="40"/>
      <c r="H1074" s="38" t="e">
        <f>MONTH(Libro_Diario[[#This Row],[Fecha]])</f>
        <v>#VALUE!</v>
      </c>
      <c r="I1074" s="38" t="e">
        <f>YEAR(Libro_Diario[[#This Row],[Fecha]])</f>
        <v>#VALUE!</v>
      </c>
    </row>
    <row r="1075" spans="3:9" x14ac:dyDescent="0.3">
      <c r="C1075" s="37"/>
      <c r="D1075" s="38"/>
      <c r="E1075" s="38"/>
      <c r="F1075" s="39"/>
      <c r="G1075" s="40"/>
      <c r="H1075" s="38" t="e">
        <f>MONTH(Libro_Diario[[#This Row],[Fecha]])</f>
        <v>#VALUE!</v>
      </c>
      <c r="I1075" s="38" t="e">
        <f>YEAR(Libro_Diario[[#This Row],[Fecha]])</f>
        <v>#VALUE!</v>
      </c>
    </row>
    <row r="1076" spans="3:9" x14ac:dyDescent="0.3">
      <c r="C1076" s="37"/>
      <c r="D1076" s="38"/>
      <c r="E1076" s="38"/>
      <c r="F1076" s="39"/>
      <c r="G1076" s="40"/>
      <c r="H1076" s="38" t="e">
        <f>MONTH(Libro_Diario[[#This Row],[Fecha]])</f>
        <v>#VALUE!</v>
      </c>
      <c r="I1076" s="38" t="e">
        <f>YEAR(Libro_Diario[[#This Row],[Fecha]])</f>
        <v>#VALUE!</v>
      </c>
    </row>
    <row r="1077" spans="3:9" x14ac:dyDescent="0.3">
      <c r="C1077" s="37"/>
      <c r="D1077" s="38"/>
      <c r="E1077" s="38"/>
      <c r="F1077" s="39"/>
      <c r="G1077" s="40"/>
      <c r="H1077" s="38" t="e">
        <f>MONTH(Libro_Diario[[#This Row],[Fecha]])</f>
        <v>#VALUE!</v>
      </c>
      <c r="I1077" s="38" t="e">
        <f>YEAR(Libro_Diario[[#This Row],[Fecha]])</f>
        <v>#VALUE!</v>
      </c>
    </row>
    <row r="1078" spans="3:9" x14ac:dyDescent="0.3">
      <c r="C1078" s="37"/>
      <c r="D1078" s="38"/>
      <c r="E1078" s="38"/>
      <c r="F1078" s="39"/>
      <c r="G1078" s="40"/>
      <c r="H1078" s="38" t="e">
        <f>MONTH(Libro_Diario[[#This Row],[Fecha]])</f>
        <v>#VALUE!</v>
      </c>
      <c r="I1078" s="38" t="e">
        <f>YEAR(Libro_Diario[[#This Row],[Fecha]])</f>
        <v>#VALUE!</v>
      </c>
    </row>
    <row r="1079" spans="3:9" x14ac:dyDescent="0.3">
      <c r="C1079" s="37"/>
      <c r="D1079" s="38"/>
      <c r="E1079" s="38"/>
      <c r="F1079" s="39"/>
      <c r="G1079" s="40"/>
      <c r="H1079" s="38" t="e">
        <f>MONTH(Libro_Diario[[#This Row],[Fecha]])</f>
        <v>#VALUE!</v>
      </c>
      <c r="I1079" s="38" t="e">
        <f>YEAR(Libro_Diario[[#This Row],[Fecha]])</f>
        <v>#VALUE!</v>
      </c>
    </row>
    <row r="1080" spans="3:9" x14ac:dyDescent="0.3">
      <c r="C1080" s="37"/>
      <c r="D1080" s="38"/>
      <c r="E1080" s="38"/>
      <c r="F1080" s="39"/>
      <c r="G1080" s="40"/>
      <c r="H1080" s="38" t="e">
        <f>MONTH(Libro_Diario[[#This Row],[Fecha]])</f>
        <v>#VALUE!</v>
      </c>
      <c r="I1080" s="38" t="e">
        <f>YEAR(Libro_Diario[[#This Row],[Fecha]])</f>
        <v>#VALUE!</v>
      </c>
    </row>
    <row r="1081" spans="3:9" x14ac:dyDescent="0.3">
      <c r="C1081" s="37"/>
      <c r="D1081" s="38"/>
      <c r="E1081" s="38"/>
      <c r="F1081" s="39"/>
      <c r="G1081" s="40"/>
      <c r="H1081" s="38" t="e">
        <f>MONTH(Libro_Diario[[#This Row],[Fecha]])</f>
        <v>#VALUE!</v>
      </c>
      <c r="I1081" s="38" t="e">
        <f>YEAR(Libro_Diario[[#This Row],[Fecha]])</f>
        <v>#VALUE!</v>
      </c>
    </row>
    <row r="1082" spans="3:9" x14ac:dyDescent="0.3">
      <c r="C1082" s="37"/>
      <c r="D1082" s="38"/>
      <c r="E1082" s="38"/>
      <c r="F1082" s="39"/>
      <c r="G1082" s="40"/>
      <c r="H1082" s="38" t="e">
        <f>MONTH(Libro_Diario[[#This Row],[Fecha]])</f>
        <v>#VALUE!</v>
      </c>
      <c r="I1082" s="38" t="e">
        <f>YEAR(Libro_Diario[[#This Row],[Fecha]])</f>
        <v>#VALUE!</v>
      </c>
    </row>
    <row r="1083" spans="3:9" x14ac:dyDescent="0.3">
      <c r="C1083" s="37"/>
      <c r="D1083" s="38"/>
      <c r="E1083" s="38"/>
      <c r="F1083" s="39"/>
      <c r="G1083" s="40"/>
      <c r="H1083" s="38" t="e">
        <f>MONTH(Libro_Diario[[#This Row],[Fecha]])</f>
        <v>#VALUE!</v>
      </c>
      <c r="I1083" s="38" t="e">
        <f>YEAR(Libro_Diario[[#This Row],[Fecha]])</f>
        <v>#VALUE!</v>
      </c>
    </row>
    <row r="1084" spans="3:9" x14ac:dyDescent="0.3">
      <c r="C1084" s="37"/>
      <c r="D1084" s="38"/>
      <c r="E1084" s="38"/>
      <c r="F1084" s="39"/>
      <c r="G1084" s="40"/>
      <c r="H1084" s="38" t="e">
        <f>MONTH(Libro_Diario[[#This Row],[Fecha]])</f>
        <v>#VALUE!</v>
      </c>
      <c r="I1084" s="38" t="e">
        <f>YEAR(Libro_Diario[[#This Row],[Fecha]])</f>
        <v>#VALUE!</v>
      </c>
    </row>
    <row r="1085" spans="3:9" x14ac:dyDescent="0.3">
      <c r="C1085" s="37"/>
      <c r="D1085" s="38"/>
      <c r="E1085" s="38"/>
      <c r="F1085" s="39"/>
      <c r="G1085" s="40"/>
      <c r="H1085" s="38" t="e">
        <f>MONTH(Libro_Diario[[#This Row],[Fecha]])</f>
        <v>#VALUE!</v>
      </c>
      <c r="I1085" s="38" t="e">
        <f>YEAR(Libro_Diario[[#This Row],[Fecha]])</f>
        <v>#VALUE!</v>
      </c>
    </row>
    <row r="1086" spans="3:9" x14ac:dyDescent="0.3">
      <c r="C1086" s="37"/>
      <c r="D1086" s="38"/>
      <c r="E1086" s="38"/>
      <c r="F1086" s="39"/>
      <c r="G1086" s="40"/>
      <c r="H1086" s="38" t="e">
        <f>MONTH(Libro_Diario[[#This Row],[Fecha]])</f>
        <v>#VALUE!</v>
      </c>
      <c r="I1086" s="38" t="e">
        <f>YEAR(Libro_Diario[[#This Row],[Fecha]])</f>
        <v>#VALUE!</v>
      </c>
    </row>
    <row r="1087" spans="3:9" x14ac:dyDescent="0.3">
      <c r="C1087" s="37"/>
      <c r="D1087" s="38"/>
      <c r="E1087" s="38"/>
      <c r="F1087" s="39"/>
      <c r="G1087" s="40"/>
      <c r="H1087" s="38" t="e">
        <f>MONTH(Libro_Diario[[#This Row],[Fecha]])</f>
        <v>#VALUE!</v>
      </c>
      <c r="I1087" s="38" t="e">
        <f>YEAR(Libro_Diario[[#This Row],[Fecha]])</f>
        <v>#VALUE!</v>
      </c>
    </row>
    <row r="1088" spans="3:9" x14ac:dyDescent="0.3">
      <c r="C1088" s="37"/>
      <c r="D1088" s="38"/>
      <c r="E1088" s="38"/>
      <c r="F1088" s="39"/>
      <c r="G1088" s="40"/>
      <c r="H1088" s="38" t="e">
        <f>MONTH(Libro_Diario[[#This Row],[Fecha]])</f>
        <v>#VALUE!</v>
      </c>
      <c r="I1088" s="38" t="e">
        <f>YEAR(Libro_Diario[[#This Row],[Fecha]])</f>
        <v>#VALUE!</v>
      </c>
    </row>
    <row r="1089" spans="3:9" x14ac:dyDescent="0.3">
      <c r="C1089" s="37"/>
      <c r="D1089" s="38"/>
      <c r="E1089" s="38"/>
      <c r="F1089" s="39"/>
      <c r="G1089" s="40"/>
      <c r="H1089" s="38" t="e">
        <f>MONTH(Libro_Diario[[#This Row],[Fecha]])</f>
        <v>#VALUE!</v>
      </c>
      <c r="I1089" s="38" t="e">
        <f>YEAR(Libro_Diario[[#This Row],[Fecha]])</f>
        <v>#VALUE!</v>
      </c>
    </row>
    <row r="1090" spans="3:9" x14ac:dyDescent="0.3">
      <c r="C1090" s="37"/>
      <c r="D1090" s="38"/>
      <c r="E1090" s="38"/>
      <c r="F1090" s="39"/>
      <c r="G1090" s="40"/>
      <c r="H1090" s="38" t="e">
        <f>MONTH(Libro_Diario[[#This Row],[Fecha]])</f>
        <v>#VALUE!</v>
      </c>
      <c r="I1090" s="38" t="e">
        <f>YEAR(Libro_Diario[[#This Row],[Fecha]])</f>
        <v>#VALUE!</v>
      </c>
    </row>
    <row r="1091" spans="3:9" x14ac:dyDescent="0.3">
      <c r="C1091" s="37"/>
      <c r="D1091" s="38"/>
      <c r="E1091" s="38"/>
      <c r="F1091" s="39"/>
      <c r="G1091" s="40"/>
      <c r="H1091" s="38" t="e">
        <f>MONTH(Libro_Diario[[#This Row],[Fecha]])</f>
        <v>#VALUE!</v>
      </c>
      <c r="I1091" s="38" t="e">
        <f>YEAR(Libro_Diario[[#This Row],[Fecha]])</f>
        <v>#VALUE!</v>
      </c>
    </row>
    <row r="1092" spans="3:9" x14ac:dyDescent="0.3">
      <c r="C1092" s="37"/>
      <c r="D1092" s="38"/>
      <c r="E1092" s="38"/>
      <c r="F1092" s="39"/>
      <c r="G1092" s="40"/>
      <c r="H1092" s="38" t="e">
        <f>MONTH(Libro_Diario[[#This Row],[Fecha]])</f>
        <v>#VALUE!</v>
      </c>
      <c r="I1092" s="38" t="e">
        <f>YEAR(Libro_Diario[[#This Row],[Fecha]])</f>
        <v>#VALUE!</v>
      </c>
    </row>
    <row r="1093" spans="3:9" x14ac:dyDescent="0.3">
      <c r="C1093" s="37"/>
      <c r="D1093" s="38"/>
      <c r="E1093" s="38"/>
      <c r="F1093" s="39"/>
      <c r="G1093" s="40"/>
      <c r="H1093" s="38" t="e">
        <f>MONTH(Libro_Diario[[#This Row],[Fecha]])</f>
        <v>#VALUE!</v>
      </c>
      <c r="I1093" s="38" t="e">
        <f>YEAR(Libro_Diario[[#This Row],[Fecha]])</f>
        <v>#VALUE!</v>
      </c>
    </row>
    <row r="1094" spans="3:9" x14ac:dyDescent="0.3">
      <c r="C1094" s="37"/>
      <c r="D1094" s="38"/>
      <c r="E1094" s="38"/>
      <c r="F1094" s="39"/>
      <c r="G1094" s="40"/>
      <c r="H1094" s="38" t="e">
        <f>MONTH(Libro_Diario[[#This Row],[Fecha]])</f>
        <v>#VALUE!</v>
      </c>
      <c r="I1094" s="38" t="e">
        <f>YEAR(Libro_Diario[[#This Row],[Fecha]])</f>
        <v>#VALUE!</v>
      </c>
    </row>
    <row r="1095" spans="3:9" x14ac:dyDescent="0.3">
      <c r="C1095" s="37"/>
      <c r="D1095" s="38"/>
      <c r="E1095" s="38"/>
      <c r="F1095" s="39"/>
      <c r="G1095" s="40"/>
      <c r="H1095" s="38" t="e">
        <f>MONTH(Libro_Diario[[#This Row],[Fecha]])</f>
        <v>#VALUE!</v>
      </c>
      <c r="I1095" s="38" t="e">
        <f>YEAR(Libro_Diario[[#This Row],[Fecha]])</f>
        <v>#VALUE!</v>
      </c>
    </row>
    <row r="1096" spans="3:9" x14ac:dyDescent="0.3">
      <c r="C1096" s="37"/>
      <c r="D1096" s="38"/>
      <c r="E1096" s="38"/>
      <c r="F1096" s="39"/>
      <c r="G1096" s="40"/>
      <c r="H1096" s="38" t="e">
        <f>MONTH(Libro_Diario[[#This Row],[Fecha]])</f>
        <v>#VALUE!</v>
      </c>
      <c r="I1096" s="38" t="e">
        <f>YEAR(Libro_Diario[[#This Row],[Fecha]])</f>
        <v>#VALUE!</v>
      </c>
    </row>
    <row r="1097" spans="3:9" x14ac:dyDescent="0.3">
      <c r="C1097" s="37"/>
      <c r="D1097" s="38"/>
      <c r="E1097" s="38"/>
      <c r="F1097" s="39"/>
      <c r="G1097" s="40"/>
      <c r="H1097" s="38" t="e">
        <f>MONTH(Libro_Diario[[#This Row],[Fecha]])</f>
        <v>#VALUE!</v>
      </c>
      <c r="I1097" s="38" t="e">
        <f>YEAR(Libro_Diario[[#This Row],[Fecha]])</f>
        <v>#VALUE!</v>
      </c>
    </row>
    <row r="1098" spans="3:9" x14ac:dyDescent="0.3">
      <c r="C1098" s="37"/>
      <c r="D1098" s="38"/>
      <c r="E1098" s="38"/>
      <c r="F1098" s="39"/>
      <c r="G1098" s="40"/>
      <c r="H1098" s="38" t="e">
        <f>MONTH(Libro_Diario[[#This Row],[Fecha]])</f>
        <v>#VALUE!</v>
      </c>
      <c r="I1098" s="38" t="e">
        <f>YEAR(Libro_Diario[[#This Row],[Fecha]])</f>
        <v>#VALUE!</v>
      </c>
    </row>
    <row r="1099" spans="3:9" x14ac:dyDescent="0.3">
      <c r="C1099" s="37"/>
      <c r="D1099" s="38"/>
      <c r="E1099" s="38"/>
      <c r="F1099" s="39"/>
      <c r="G1099" s="40"/>
      <c r="H1099" s="38" t="e">
        <f>MONTH(Libro_Diario[[#This Row],[Fecha]])</f>
        <v>#VALUE!</v>
      </c>
      <c r="I1099" s="38" t="e">
        <f>YEAR(Libro_Diario[[#This Row],[Fecha]])</f>
        <v>#VALUE!</v>
      </c>
    </row>
    <row r="1100" spans="3:9" x14ac:dyDescent="0.3">
      <c r="C1100" s="37"/>
      <c r="D1100" s="38"/>
      <c r="E1100" s="38"/>
      <c r="F1100" s="39"/>
      <c r="G1100" s="40"/>
      <c r="H1100" s="38" t="e">
        <f>MONTH(Libro_Diario[[#This Row],[Fecha]])</f>
        <v>#VALUE!</v>
      </c>
      <c r="I1100" s="38" t="e">
        <f>YEAR(Libro_Diario[[#This Row],[Fecha]])</f>
        <v>#VALUE!</v>
      </c>
    </row>
    <row r="1101" spans="3:9" ht="16.2" customHeight="1" x14ac:dyDescent="0.3">
      <c r="C1101" s="37"/>
      <c r="D1101" s="38"/>
      <c r="E1101" s="38"/>
      <c r="F1101" s="39"/>
      <c r="G1101" s="40"/>
      <c r="H1101" s="38" t="e">
        <f>MONTH(Libro_Diario[[#This Row],[Fecha]])</f>
        <v>#VALUE!</v>
      </c>
      <c r="I1101" s="38" t="e">
        <f>YEAR(Libro_Diario[[#This Row],[Fecha]])</f>
        <v>#VALUE!</v>
      </c>
    </row>
    <row r="1102" spans="3:9" x14ac:dyDescent="0.3">
      <c r="C1102" s="37"/>
      <c r="D1102" s="38"/>
      <c r="E1102" s="38"/>
      <c r="F1102" s="39"/>
      <c r="G1102" s="40"/>
      <c r="H1102" s="38" t="e">
        <f>MONTH(Libro_Diario[[#This Row],[Fecha]])</f>
        <v>#VALUE!</v>
      </c>
      <c r="I1102" s="38" t="e">
        <f>YEAR(Libro_Diario[[#This Row],[Fecha]])</f>
        <v>#VALUE!</v>
      </c>
    </row>
    <row r="1103" spans="3:9" x14ac:dyDescent="0.3">
      <c r="C1103" s="37"/>
      <c r="D1103" s="38"/>
      <c r="E1103" s="38"/>
      <c r="F1103" s="39"/>
      <c r="G1103" s="40"/>
      <c r="H1103" s="38" t="e">
        <f>MONTH(Libro_Diario[[#This Row],[Fecha]])</f>
        <v>#VALUE!</v>
      </c>
      <c r="I1103" s="38" t="e">
        <f>YEAR(Libro_Diario[[#This Row],[Fecha]])</f>
        <v>#VALUE!</v>
      </c>
    </row>
    <row r="1104" spans="3:9" x14ac:dyDescent="0.3">
      <c r="C1104" s="37"/>
      <c r="D1104" s="38"/>
      <c r="E1104" s="38"/>
      <c r="F1104" s="39"/>
      <c r="G1104" s="40"/>
      <c r="H1104" s="38" t="e">
        <f>MONTH(Libro_Diario[[#This Row],[Fecha]])</f>
        <v>#VALUE!</v>
      </c>
      <c r="I1104" s="38" t="e">
        <f>YEAR(Libro_Diario[[#This Row],[Fecha]])</f>
        <v>#VALUE!</v>
      </c>
    </row>
    <row r="1105" spans="3:9" x14ac:dyDescent="0.3">
      <c r="C1105" s="37"/>
      <c r="D1105" s="38"/>
      <c r="E1105" s="38"/>
      <c r="F1105" s="39"/>
      <c r="G1105" s="40"/>
      <c r="H1105" s="38" t="e">
        <f>MONTH(Libro_Diario[[#This Row],[Fecha]])</f>
        <v>#VALUE!</v>
      </c>
      <c r="I1105" s="38" t="e">
        <f>YEAR(Libro_Diario[[#This Row],[Fecha]])</f>
        <v>#VALUE!</v>
      </c>
    </row>
    <row r="1106" spans="3:9" x14ac:dyDescent="0.3">
      <c r="C1106" s="100"/>
      <c r="D1106" s="38"/>
      <c r="E1106" s="38"/>
      <c r="F1106" s="39"/>
      <c r="G1106" s="40"/>
      <c r="H1106" s="38" t="e">
        <f>MONTH(Libro_Diario[[#This Row],[Fecha]])</f>
        <v>#VALUE!</v>
      </c>
      <c r="I1106" s="38" t="e">
        <f>YEAR(Libro_Diario[[#This Row],[Fecha]])</f>
        <v>#VALUE!</v>
      </c>
    </row>
    <row r="1107" spans="3:9" x14ac:dyDescent="0.3">
      <c r="C1107" s="100"/>
      <c r="D1107" s="38"/>
      <c r="E1107" s="38"/>
      <c r="F1107" s="39"/>
      <c r="G1107" s="40"/>
      <c r="H1107" s="38" t="e">
        <f>MONTH(Libro_Diario[[#This Row],[Fecha]])</f>
        <v>#VALUE!</v>
      </c>
      <c r="I1107" s="38" t="e">
        <f>YEAR(Libro_Diario[[#This Row],[Fecha]])</f>
        <v>#VALUE!</v>
      </c>
    </row>
    <row r="1108" spans="3:9" x14ac:dyDescent="0.3">
      <c r="C1108" s="100"/>
      <c r="D1108" s="38"/>
      <c r="E1108" s="38"/>
      <c r="F1108" s="39"/>
      <c r="G1108" s="40"/>
      <c r="H1108" s="38" t="e">
        <f>MONTH(Libro_Diario[[#This Row],[Fecha]])</f>
        <v>#VALUE!</v>
      </c>
      <c r="I1108" s="38" t="e">
        <f>YEAR(Libro_Diario[[#This Row],[Fecha]])</f>
        <v>#VALUE!</v>
      </c>
    </row>
    <row r="1109" spans="3:9" x14ac:dyDescent="0.3">
      <c r="C1109" s="100"/>
      <c r="D1109" s="38"/>
      <c r="E1109" s="38"/>
      <c r="F1109" s="39"/>
      <c r="G1109" s="40"/>
      <c r="H1109" s="38" t="e">
        <f>MONTH(Libro_Diario[[#This Row],[Fecha]])</f>
        <v>#VALUE!</v>
      </c>
      <c r="I1109" s="38" t="e">
        <f>YEAR(Libro_Diario[[#This Row],[Fecha]])</f>
        <v>#VALUE!</v>
      </c>
    </row>
    <row r="1110" spans="3:9" x14ac:dyDescent="0.3">
      <c r="C1110" s="100"/>
      <c r="D1110" s="38"/>
      <c r="E1110" s="38"/>
      <c r="F1110" s="39"/>
      <c r="G1110" s="40"/>
      <c r="H1110" s="38" t="e">
        <f>MONTH(Libro_Diario[[#This Row],[Fecha]])</f>
        <v>#VALUE!</v>
      </c>
      <c r="I1110" s="38" t="e">
        <f>YEAR(Libro_Diario[[#This Row],[Fecha]])</f>
        <v>#VALUE!</v>
      </c>
    </row>
  </sheetData>
  <conditionalFormatting sqref="E13:E19">
    <cfRule type="expression" dxfId="23" priority="4">
      <formula>ISNA(MATCH(E13,INDIRECT(D13),0))</formula>
    </cfRule>
  </conditionalFormatting>
  <conditionalFormatting sqref="F12">
    <cfRule type="expression" dxfId="22" priority="1">
      <formula>D12="Ahorros"</formula>
    </cfRule>
    <cfRule type="expression" dxfId="21" priority="2">
      <formula>D12="Gastos"</formula>
    </cfRule>
    <cfRule type="expression" dxfId="20" priority="3">
      <formula>D12="Ingresos"</formula>
    </cfRule>
  </conditionalFormatting>
  <dataValidations count="4">
    <dataValidation type="date" allowBlank="1" showInputMessage="1" showErrorMessage="1" sqref="C12" xr:uid="{359501F9-55CD-C242-BAA5-77212E5E3E35}">
      <formula1>44927</formula1>
      <formula2>73415</formula2>
    </dataValidation>
    <dataValidation type="list" allowBlank="1" showInputMessage="1" showErrorMessage="1" sqref="D12" xr:uid="{6C764E39-7F97-384F-9E04-57D1E1409714}">
      <formula1>"Ingresos,Gastos"</formula1>
    </dataValidation>
    <dataValidation type="custom" allowBlank="1" showInputMessage="1" showErrorMessage="1" sqref="F12" xr:uid="{955D516E-FEAF-6A42-BCCA-D611F39544FF}">
      <formula1>ISNUMBER(F12)</formula1>
    </dataValidation>
    <dataValidation type="list" allowBlank="1" showInputMessage="1" showErrorMessage="1" sqref="E12" xr:uid="{60FF933A-8204-344D-93CB-DBACB1F108A2}">
      <formula1>INDIRECT(D12)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6FA9F-2877-3342-91A8-38D64744C3F2}">
  <sheetPr codeName="Hoja7"/>
  <dimension ref="C1:L51"/>
  <sheetViews>
    <sheetView showGridLines="0" topLeftCell="A6" zoomScaleNormal="100" workbookViewId="0">
      <selection activeCell="C8" sqref="C8"/>
    </sheetView>
  </sheetViews>
  <sheetFormatPr baseColWidth="10" defaultColWidth="10.69921875" defaultRowHeight="15.6" x14ac:dyDescent="0.3"/>
  <cols>
    <col min="2" max="2" width="17" bestFit="1" customWidth="1"/>
    <col min="3" max="3" width="12.09765625" bestFit="1" customWidth="1"/>
    <col min="4" max="4" width="18.69921875" bestFit="1" customWidth="1"/>
    <col min="5" max="5" width="10.59765625" bestFit="1" customWidth="1"/>
    <col min="6" max="8" width="8.09765625" bestFit="1" customWidth="1"/>
    <col min="9" max="9" width="11.19921875" bestFit="1" customWidth="1"/>
    <col min="10" max="10" width="8.09765625" bestFit="1" customWidth="1"/>
    <col min="11" max="11" width="16.5" bestFit="1" customWidth="1"/>
    <col min="12" max="12" width="18.69921875" bestFit="1" customWidth="1"/>
    <col min="13" max="13" width="11" bestFit="1" customWidth="1"/>
    <col min="14" max="14" width="16.09765625" bestFit="1" customWidth="1"/>
    <col min="15" max="15" width="19" bestFit="1" customWidth="1"/>
    <col min="16" max="16" width="12" bestFit="1" customWidth="1"/>
  </cols>
  <sheetData>
    <row r="1" spans="3:12" s="1" customFormat="1" x14ac:dyDescent="0.3"/>
    <row r="2" spans="3:12" s="1" customFormat="1" ht="28.8" x14ac:dyDescent="0.55000000000000004">
      <c r="C2" s="13" t="s">
        <v>43</v>
      </c>
    </row>
    <row r="3" spans="3:12" s="1" customFormat="1" x14ac:dyDescent="0.3"/>
    <row r="6" spans="3:12" x14ac:dyDescent="0.3">
      <c r="C6" s="52" t="s">
        <v>20</v>
      </c>
      <c r="D6" t="s">
        <v>112</v>
      </c>
      <c r="K6" s="52" t="s">
        <v>20</v>
      </c>
      <c r="L6" t="s">
        <v>112</v>
      </c>
    </row>
    <row r="8" spans="3:12" x14ac:dyDescent="0.3">
      <c r="C8" s="52" t="s">
        <v>69</v>
      </c>
      <c r="D8" t="s">
        <v>52</v>
      </c>
      <c r="K8" s="52" t="s">
        <v>66</v>
      </c>
      <c r="L8" t="s">
        <v>52</v>
      </c>
    </row>
    <row r="9" spans="3:12" x14ac:dyDescent="0.3">
      <c r="C9" s="50" t="s">
        <v>67</v>
      </c>
      <c r="D9" s="49"/>
      <c r="K9" s="50" t="s">
        <v>67</v>
      </c>
      <c r="L9" s="49"/>
    </row>
    <row r="14" spans="3:12" x14ac:dyDescent="0.3">
      <c r="K14" t="s">
        <v>69</v>
      </c>
    </row>
    <row r="49" spans="3:4" x14ac:dyDescent="0.3">
      <c r="D49" s="52" t="s">
        <v>68</v>
      </c>
    </row>
    <row r="50" spans="3:4" x14ac:dyDescent="0.3">
      <c r="D50" t="s">
        <v>111</v>
      </c>
    </row>
    <row r="51" spans="3:4" x14ac:dyDescent="0.3">
      <c r="C51" t="s">
        <v>52</v>
      </c>
      <c r="D51" s="49"/>
    </row>
  </sheetData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botón_actualizar">
                <anchor moveWithCells="1" sizeWithCells="1">
                  <from>
                    <xdr:col>16</xdr:col>
                    <xdr:colOff>22860</xdr:colOff>
                    <xdr:row>5</xdr:row>
                    <xdr:rowOff>22860</xdr:rowOff>
                  </from>
                  <to>
                    <xdr:col>17</xdr:col>
                    <xdr:colOff>632460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FC917-CA3F-4267-934B-EB950EC06067}">
  <sheetPr codeName="Hoja9"/>
  <dimension ref="B2:I28"/>
  <sheetViews>
    <sheetView showGridLines="0" topLeftCell="A4" workbookViewId="0"/>
  </sheetViews>
  <sheetFormatPr baseColWidth="10" defaultColWidth="10.69921875" defaultRowHeight="15.6" x14ac:dyDescent="0.3"/>
  <cols>
    <col min="2" max="2" width="34.09765625" customWidth="1"/>
    <col min="3" max="3" width="12.69921875" customWidth="1"/>
    <col min="6" max="6" width="11.19921875" style="61"/>
    <col min="7" max="7" width="12.19921875" style="61" customWidth="1"/>
    <col min="8" max="8" width="15" style="61" customWidth="1"/>
    <col min="9" max="9" width="16.8984375" customWidth="1"/>
  </cols>
  <sheetData>
    <row r="2" spans="2:9" x14ac:dyDescent="0.3">
      <c r="B2" t="s">
        <v>70</v>
      </c>
      <c r="C2" t="s">
        <v>71</v>
      </c>
      <c r="D2" t="s">
        <v>19</v>
      </c>
      <c r="E2" t="s">
        <v>55</v>
      </c>
      <c r="F2" s="61" t="s">
        <v>72</v>
      </c>
      <c r="G2" s="61" t="s">
        <v>73</v>
      </c>
      <c r="H2" s="61" t="s">
        <v>104</v>
      </c>
      <c r="I2" s="61" t="s">
        <v>74</v>
      </c>
    </row>
    <row r="3" spans="2:9" x14ac:dyDescent="0.3">
      <c r="D3" s="35"/>
      <c r="E3" s="65"/>
      <c r="I3" s="61"/>
    </row>
    <row r="4" spans="2:9" x14ac:dyDescent="0.3">
      <c r="D4" s="35"/>
      <c r="E4" s="65"/>
      <c r="I4" s="61"/>
    </row>
    <row r="5" spans="2:9" x14ac:dyDescent="0.3">
      <c r="D5" s="35"/>
      <c r="E5" s="65"/>
      <c r="I5" s="61"/>
    </row>
    <row r="6" spans="2:9" ht="17.399999999999999" customHeight="1" x14ac:dyDescent="0.3">
      <c r="B6" s="90"/>
      <c r="D6" s="35"/>
      <c r="E6" s="65"/>
      <c r="I6" s="61"/>
    </row>
    <row r="7" spans="2:9" x14ac:dyDescent="0.3">
      <c r="D7" s="35"/>
      <c r="E7" s="65"/>
      <c r="I7" s="61"/>
    </row>
    <row r="8" spans="2:9" x14ac:dyDescent="0.3">
      <c r="D8" s="35"/>
      <c r="E8" s="65"/>
      <c r="I8" s="61"/>
    </row>
    <row r="9" spans="2:9" x14ac:dyDescent="0.3">
      <c r="D9" s="35"/>
      <c r="E9" s="65"/>
    </row>
    <row r="10" spans="2:9" x14ac:dyDescent="0.3">
      <c r="D10" s="35"/>
      <c r="E10" s="65"/>
    </row>
    <row r="11" spans="2:9" x14ac:dyDescent="0.3">
      <c r="D11" s="35"/>
      <c r="E11" s="65"/>
    </row>
    <row r="12" spans="2:9" x14ac:dyDescent="0.3">
      <c r="D12" s="35"/>
      <c r="E12" s="65"/>
    </row>
    <row r="13" spans="2:9" x14ac:dyDescent="0.3">
      <c r="D13" s="35"/>
      <c r="E13" s="65"/>
    </row>
    <row r="14" spans="2:9" x14ac:dyDescent="0.3">
      <c r="D14" s="35"/>
      <c r="E14" s="65"/>
    </row>
    <row r="15" spans="2:9" x14ac:dyDescent="0.3">
      <c r="D15" s="35"/>
      <c r="E15" s="65"/>
    </row>
    <row r="16" spans="2:9" x14ac:dyDescent="0.3">
      <c r="D16" s="35"/>
      <c r="E16" s="65"/>
    </row>
    <row r="17" spans="4:5" x14ac:dyDescent="0.3">
      <c r="D17" s="35"/>
      <c r="E17" s="65"/>
    </row>
    <row r="18" spans="4:5" x14ac:dyDescent="0.3">
      <c r="D18" s="35"/>
      <c r="E18" s="65"/>
    </row>
    <row r="19" spans="4:5" x14ac:dyDescent="0.3">
      <c r="D19" s="35"/>
      <c r="E19" s="65"/>
    </row>
    <row r="20" spans="4:5" x14ac:dyDescent="0.3">
      <c r="D20" s="35"/>
      <c r="E20" s="65"/>
    </row>
    <row r="21" spans="4:5" x14ac:dyDescent="0.3">
      <c r="D21" s="35"/>
      <c r="E21" s="65"/>
    </row>
    <row r="22" spans="4:5" x14ac:dyDescent="0.3">
      <c r="D22" s="35"/>
      <c r="E22" s="65"/>
    </row>
    <row r="23" spans="4:5" x14ac:dyDescent="0.3">
      <c r="D23" s="35"/>
      <c r="E23" s="65"/>
    </row>
    <row r="24" spans="4:5" x14ac:dyDescent="0.3">
      <c r="D24" s="35"/>
      <c r="E24" s="65"/>
    </row>
    <row r="25" spans="4:5" x14ac:dyDescent="0.3">
      <c r="D25" s="35"/>
      <c r="E25" s="65"/>
    </row>
    <row r="26" spans="4:5" x14ac:dyDescent="0.3">
      <c r="D26" s="35"/>
      <c r="E26" s="65"/>
    </row>
    <row r="27" spans="4:5" x14ac:dyDescent="0.3">
      <c r="D27" s="35"/>
      <c r="E27" s="65"/>
    </row>
    <row r="28" spans="4:5" x14ac:dyDescent="0.3">
      <c r="D28" s="35"/>
      <c r="E28" s="65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A0F6-197C-5C46-B6F5-27BFEA9FE7E8}">
  <sheetPr codeName="Hoja8"/>
  <dimension ref="B1:AI30"/>
  <sheetViews>
    <sheetView showGridLines="0" zoomScaleNormal="100" workbookViewId="0">
      <selection activeCell="A10" sqref="A10"/>
    </sheetView>
  </sheetViews>
  <sheetFormatPr baseColWidth="10" defaultColWidth="10.69921875" defaultRowHeight="15.6" x14ac:dyDescent="0.3"/>
  <cols>
    <col min="1" max="1" width="1.69921875" customWidth="1"/>
    <col min="2" max="2" width="43.59765625" customWidth="1"/>
    <col min="3" max="3" width="37.59765625" customWidth="1"/>
    <col min="4" max="4" width="23.19921875" customWidth="1"/>
    <col min="5" max="5" width="13.3984375" customWidth="1"/>
    <col min="6" max="6" width="13.3984375" style="71" customWidth="1"/>
    <col min="7" max="7" width="11.19921875" style="85" customWidth="1"/>
    <col min="8" max="8" width="13.8984375" style="86" bestFit="1" customWidth="1"/>
    <col min="9" max="9" width="13.8984375" style="86" customWidth="1"/>
    <col min="10" max="10" width="13.8984375" style="84" customWidth="1"/>
    <col min="11" max="11" width="19.19921875" style="84" bestFit="1" customWidth="1"/>
    <col min="12" max="12" width="11.69921875" customWidth="1"/>
    <col min="13" max="13" width="12.59765625" style="61" customWidth="1"/>
    <col min="14" max="15" width="14.19921875" style="75" customWidth="1"/>
    <col min="16" max="16" width="18.59765625" style="76" customWidth="1"/>
    <col min="17" max="17" width="1.69921875" customWidth="1"/>
    <col min="18" max="18" width="23.19921875" customWidth="1"/>
  </cols>
  <sheetData>
    <row r="1" spans="2:35" ht="6" customHeight="1" x14ac:dyDescent="0.3">
      <c r="F1"/>
      <c r="G1"/>
      <c r="H1"/>
      <c r="I1"/>
      <c r="J1" s="67"/>
      <c r="K1" s="67"/>
      <c r="N1" s="61"/>
      <c r="O1" s="61"/>
      <c r="P1"/>
    </row>
    <row r="2" spans="2:35" ht="42" customHeight="1" x14ac:dyDescent="0.3">
      <c r="B2" s="105" t="s">
        <v>94</v>
      </c>
      <c r="C2" s="1"/>
      <c r="D2" s="1"/>
      <c r="E2" s="1"/>
      <c r="F2" s="1"/>
      <c r="G2" s="1"/>
      <c r="H2" s="1"/>
      <c r="I2" s="1"/>
      <c r="J2" s="72" t="s">
        <v>96</v>
      </c>
      <c r="K2" s="72" t="s">
        <v>95</v>
      </c>
      <c r="L2" s="72" t="s">
        <v>90</v>
      </c>
      <c r="M2" s="106" t="s">
        <v>91</v>
      </c>
      <c r="N2" s="106"/>
      <c r="O2" s="72" t="s">
        <v>89</v>
      </c>
      <c r="P2" s="72" t="s">
        <v>93</v>
      </c>
      <c r="R2" s="72" t="s">
        <v>105</v>
      </c>
    </row>
    <row r="3" spans="2:35" ht="28.95" customHeight="1" x14ac:dyDescent="0.3">
      <c r="B3" s="105"/>
      <c r="C3" s="1"/>
      <c r="D3" s="1"/>
      <c r="E3" s="1"/>
      <c r="F3" s="1"/>
      <c r="G3" s="1"/>
      <c r="H3" s="1"/>
      <c r="I3" s="1"/>
      <c r="J3" s="73">
        <f ca="1">SUM('Libro Mayor'!E44:P44,'Libro Mayor'!S44:AD44,'Libro Mayor'!AG44:AR44,'Libro Mayor'!AU44:BF44,'Libro Mayor'!BI44:BT44,'Libro Mayor'!BW44:CH44,'Libro Mayor'!CK44:CV44,'Libro Mayor'!CY44:DJ44,'Libro Mayor'!DM44:DX44,'Libro Mayor'!EA44:EL44,'Libro Mayor'!EO44:EZ44)</f>
        <v>0</v>
      </c>
      <c r="K3" s="73">
        <f ca="1">J3-(SUM(_xlfn.ANCHORARRAY(M7)))</f>
        <v>0</v>
      </c>
      <c r="L3" s="73">
        <f>IFERROR(SUM(_xlfn.ANCHORARRAY(L7)),"0")</f>
        <v>0</v>
      </c>
      <c r="M3" s="77">
        <f>IFERROR(SUM(_xlfn.ANCHORARRAY(I7)),"0")</f>
        <v>0</v>
      </c>
      <c r="N3" s="78" t="str">
        <f>IFERROR(M3/(L3-M3),"0")</f>
        <v>0</v>
      </c>
      <c r="O3" s="74">
        <f>IFERROR(SUM(_xlfn.ANCHORARRAY(N7)),"0")</f>
        <v>0</v>
      </c>
      <c r="P3" s="74">
        <f>IFERROR(SUM(_xlfn.ANCHORARRAY(P7)),"0")</f>
        <v>0</v>
      </c>
      <c r="R3" s="89" t="e">
        <f>O3/SUM(_xlfn.ANCHORARRAY(M7))</f>
        <v>#DIV/0!</v>
      </c>
    </row>
    <row r="4" spans="2:35" ht="3.6" customHeight="1" x14ac:dyDescent="0.3">
      <c r="F4"/>
      <c r="G4"/>
      <c r="H4"/>
      <c r="I4"/>
      <c r="J4" s="67"/>
      <c r="K4" s="67"/>
      <c r="N4" s="61"/>
      <c r="O4" s="61"/>
      <c r="P4"/>
      <c r="R4">
        <v>6</v>
      </c>
    </row>
    <row r="5" spans="2:35" ht="16.2" customHeight="1" x14ac:dyDescent="0.3">
      <c r="B5" s="102" t="s">
        <v>75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</row>
    <row r="6" spans="2:35" ht="39.6" customHeight="1" x14ac:dyDescent="0.3">
      <c r="B6" s="62" t="s">
        <v>76</v>
      </c>
      <c r="C6" s="62" t="s">
        <v>77</v>
      </c>
      <c r="D6" s="62" t="s">
        <v>79</v>
      </c>
      <c r="E6" s="62" t="s">
        <v>80</v>
      </c>
      <c r="F6" s="62" t="s">
        <v>78</v>
      </c>
      <c r="G6" s="62" t="s">
        <v>85</v>
      </c>
      <c r="H6" s="62" t="s">
        <v>86</v>
      </c>
      <c r="I6" s="66" t="s">
        <v>81</v>
      </c>
      <c r="J6" s="68" t="s">
        <v>83</v>
      </c>
      <c r="K6" s="62" t="s">
        <v>82</v>
      </c>
      <c r="L6" s="62" t="s">
        <v>87</v>
      </c>
      <c r="M6" s="66" t="s">
        <v>88</v>
      </c>
      <c r="N6" s="69" t="s">
        <v>89</v>
      </c>
      <c r="O6" s="69" t="s">
        <v>101</v>
      </c>
      <c r="P6" s="62" t="s">
        <v>92</v>
      </c>
    </row>
    <row r="7" spans="2:35" x14ac:dyDescent="0.3">
      <c r="B7" t="str" cm="1">
        <f t="array" ref="B7">IFERROR(_xlfn.UNIQUE(_xlfn._xlws.FILTER(Cotizaciones[Tablero de cotizaciones],SUMIF(Cotizaciones[Tablero de cotizaciones],Cotizaciones[Tablero de cotizaciones],Cotizaciones[Cantidad])&gt;0)),"No hay inversiones")</f>
        <v>No hay inversiones</v>
      </c>
      <c r="C7" t="str" cm="1">
        <f t="array" ref="C7">IFERROR(_FV(_xlfn.ANCHORARRAY(B7),"Sector"),"No hay inversiones")</f>
        <v>No hay inversiones</v>
      </c>
      <c r="D7" s="64" t="str" cm="1">
        <f t="array" ref="D7">IFERROR(_FV(_xlfn.ANCHORARRAY(B7),"Capitalización de mercado",TRUE)/1000000000,"0")</f>
        <v>0</v>
      </c>
      <c r="E7" s="63" t="str" cm="1">
        <f t="array" ref="E7">IF(_xlfn.ANCHORARRAY(D7)&gt;10,"Grd",IF(_xlfn.ANCHORARRAY(D7)&gt;2,"Med","Peq"))</f>
        <v>Grd</v>
      </c>
      <c r="F7" s="70" t="str" cm="1">
        <f t="array" ref="F7">IFERROR(_FV(_xlfn.ANCHORARRAY(B7),"Beta"),"0")</f>
        <v>0</v>
      </c>
      <c r="G7" s="85" cm="1">
        <f t="array" ref="G7">SUMIF(Cotizaciones[Tablero de cotizaciones],_xlfn.ANCHORARRAY('Cartera Inversión'!B7),Cotizaciones[Cantidad])</f>
        <v>0</v>
      </c>
      <c r="H7" s="83" t="str" cm="1">
        <f t="array" ref="H7">IFERROR(_FV(_xlfn.ANCHORARRAY(B7),"Precio"),"0")</f>
        <v>0</v>
      </c>
      <c r="I7" s="83" t="str" cm="1">
        <f t="array" ref="I7">IFERROR(_xlfn.ANCHORARRAY(H7)-_FV(_xlfn.ANCHORARRAY(B7),"Cierre anterior",TRUE),"0")</f>
        <v>0</v>
      </c>
      <c r="J7" s="84" t="str" cm="1">
        <f t="array" ref="J7">IFERROR(_xlfn.ANCHORARRAY(I7)/(L7-_xlfn.ANCHORARRAY(I7)),"0")</f>
        <v>0</v>
      </c>
      <c r="K7" s="87" t="str" cm="1">
        <f t="array" ref="K7">IFERROR(_xlfn.ANCHORARRAY(L7)/SUM(_xlfn.ANCHORARRAY(L7)),"0")</f>
        <v>0</v>
      </c>
      <c r="L7" s="49" cm="1">
        <f t="array" ref="L7">_xlfn.ANCHORARRAY(H7)*_xlfn.ANCHORARRAY(G7)</f>
        <v>0</v>
      </c>
      <c r="M7" s="61" cm="1">
        <f t="array" ref="M7">SUMIFS(Cotizaciones[Cantidad Total],Cotizaciones[Tablero de cotizaciones],_xlfn.ANCHORARRAY('Cartera Inversión'!B7),Cotizaciones[Transacción],"Compra")+SUMIFS(Cotizaciones[Cantidad Total],Cotizaciones[Tablero de cotizaciones],_xlfn.ANCHORARRAY('Cartera Inversión'!B7),Cotizaciones[Transacción],"Venta")</f>
        <v>0</v>
      </c>
      <c r="N7" s="75" cm="1">
        <f t="array" ref="N7">_xlfn.ANCHORARRAY(L7)-_xlfn.ANCHORARRAY(M7)</f>
        <v>0</v>
      </c>
      <c r="O7" s="75" cm="1">
        <f t="array" ref="O7">SUMIF(Cotizaciones[Tablero de cotizaciones],_xlfn.ANCHORARRAY('Cartera Inversión'!B7),Cotizaciones[Dividendo])</f>
        <v>0</v>
      </c>
      <c r="P7" s="76" cm="1">
        <f t="array" ref="P7">_xlfn.ANCHORARRAY(N7)+SUMIF(Cotizaciones[Tablero de cotizaciones],_xlfn.ANCHORARRAY('Cartera Inversión'!B7),Cotizaciones[Dividendo])</f>
        <v>0</v>
      </c>
      <c r="Q7" s="49"/>
    </row>
    <row r="8" spans="2:35" x14ac:dyDescent="0.3">
      <c r="D8" s="64"/>
      <c r="E8" s="63"/>
      <c r="F8" s="70"/>
      <c r="H8" s="83"/>
      <c r="I8" s="83"/>
      <c r="K8" s="87"/>
      <c r="L8" s="49"/>
      <c r="Q8" s="4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</row>
    <row r="9" spans="2:35" x14ac:dyDescent="0.3">
      <c r="D9" s="64"/>
      <c r="E9" s="63"/>
      <c r="F9" s="70"/>
      <c r="H9" s="83"/>
      <c r="I9" s="83"/>
      <c r="K9" s="87"/>
      <c r="L9" s="49"/>
      <c r="Q9" s="49"/>
    </row>
    <row r="10" spans="2:35" x14ac:dyDescent="0.3">
      <c r="D10" s="64"/>
      <c r="E10" s="63"/>
      <c r="F10" s="70"/>
      <c r="H10" s="83"/>
      <c r="I10" s="83"/>
      <c r="K10" s="87"/>
      <c r="L10" s="49"/>
      <c r="Q10" s="49"/>
    </row>
    <row r="11" spans="2:35" x14ac:dyDescent="0.3">
      <c r="D11" s="64"/>
      <c r="E11" s="63"/>
      <c r="F11" s="70"/>
      <c r="H11" s="83"/>
      <c r="I11" s="83"/>
      <c r="K11" s="87"/>
      <c r="L11" s="49"/>
      <c r="Q11" s="49"/>
    </row>
    <row r="12" spans="2:35" x14ac:dyDescent="0.3">
      <c r="D12" s="64"/>
      <c r="E12" s="63"/>
      <c r="F12" s="70"/>
      <c r="H12" s="83"/>
      <c r="I12" s="83"/>
      <c r="K12" s="87"/>
      <c r="L12" s="49"/>
      <c r="Q12" s="49"/>
    </row>
    <row r="13" spans="2:35" x14ac:dyDescent="0.3">
      <c r="D13" s="64"/>
      <c r="E13" s="63"/>
      <c r="F13" s="70"/>
      <c r="H13" s="83"/>
      <c r="I13" s="83"/>
      <c r="K13" s="87"/>
      <c r="L13" s="49"/>
      <c r="Q13" s="49"/>
    </row>
    <row r="14" spans="2:35" x14ac:dyDescent="0.3">
      <c r="D14" s="64"/>
      <c r="E14" s="63"/>
      <c r="F14" s="70"/>
      <c r="H14" s="83"/>
      <c r="I14" s="83"/>
      <c r="K14" s="87"/>
      <c r="L14" s="49"/>
      <c r="Q14" s="49"/>
    </row>
    <row r="15" spans="2:35" x14ac:dyDescent="0.3">
      <c r="D15" s="64"/>
      <c r="E15" s="63"/>
      <c r="F15" s="70"/>
      <c r="H15" s="83"/>
      <c r="I15" s="83"/>
      <c r="K15" s="87"/>
      <c r="L15" s="49"/>
      <c r="Q15" s="49"/>
    </row>
    <row r="16" spans="2:35" x14ac:dyDescent="0.3">
      <c r="E16" s="63"/>
      <c r="F16" s="70"/>
      <c r="I16" s="83"/>
      <c r="K16" s="87"/>
      <c r="L16" s="49"/>
      <c r="Q16" s="49"/>
    </row>
    <row r="17" spans="5:17" x14ac:dyDescent="0.3">
      <c r="E17" s="63"/>
      <c r="F17" s="70"/>
      <c r="I17" s="83"/>
      <c r="K17" s="87"/>
      <c r="L17" s="49"/>
      <c r="Q17" s="49"/>
    </row>
    <row r="18" spans="5:17" x14ac:dyDescent="0.3">
      <c r="E18" s="63"/>
      <c r="F18" s="70"/>
      <c r="I18" s="83"/>
      <c r="K18" s="87"/>
      <c r="L18" s="49"/>
      <c r="Q18" s="49"/>
    </row>
    <row r="19" spans="5:17" x14ac:dyDescent="0.3">
      <c r="E19" s="63"/>
      <c r="F19" s="70"/>
      <c r="I19" s="83"/>
      <c r="K19" s="87"/>
      <c r="L19" s="49"/>
      <c r="Q19" s="49"/>
    </row>
    <row r="20" spans="5:17" x14ac:dyDescent="0.3">
      <c r="E20" s="63"/>
      <c r="I20" s="83"/>
      <c r="K20" s="87"/>
      <c r="L20" s="49"/>
      <c r="Q20" s="49"/>
    </row>
    <row r="21" spans="5:17" x14ac:dyDescent="0.3">
      <c r="E21" s="63" t="s">
        <v>69</v>
      </c>
      <c r="I21" s="83"/>
      <c r="K21" s="87"/>
      <c r="L21" s="49"/>
    </row>
    <row r="27" spans="5:17" x14ac:dyDescent="0.3">
      <c r="J27" s="84" t="s">
        <v>69</v>
      </c>
    </row>
    <row r="30" spans="5:17" x14ac:dyDescent="0.3">
      <c r="G30" s="85" t="s">
        <v>69</v>
      </c>
    </row>
  </sheetData>
  <mergeCells count="3">
    <mergeCell ref="B5:P5"/>
    <mergeCell ref="B2:B3"/>
    <mergeCell ref="M2:N2"/>
  </mergeCells>
  <conditionalFormatting sqref="I7:I1048576">
    <cfRule type="cellIs" dxfId="3" priority="16" operator="lessThan">
      <formula>0</formula>
    </cfRule>
  </conditionalFormatting>
  <conditionalFormatting sqref="J22:K1048576 J7:J21">
    <cfRule type="cellIs" dxfId="2" priority="13" operator="lessThan">
      <formula>0</formula>
    </cfRule>
  </conditionalFormatting>
  <conditionalFormatting sqref="N7:N1048576">
    <cfRule type="cellIs" dxfId="1" priority="11" operator="lessThan">
      <formula>0</formula>
    </cfRule>
  </conditionalFormatting>
  <conditionalFormatting sqref="P7:P1048576">
    <cfRule type="cellIs" dxfId="0" priority="9" operator="lessThan">
      <formula>0</formula>
    </cfRule>
  </conditionalFormatting>
  <conditionalFormatting sqref="L7:L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{FC881004-FA5F-4872-A56D-112D87E3B6F3}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881004-FA5F-4872-A56D-112D87E3B6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L7:L1048576</xm:sqref>
        </x14:conditionalFormatting>
        <x14:conditionalFormatting xmlns:xm="http://schemas.microsoft.com/office/excel/2006/main">
          <x14:cfRule type="iconSet" priority="17" id="{04B3B506-F260-4E9D-BECA-42447ECD8210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14:cfRule type="iconSet" priority="18" id="{6CBD8F84-7C2E-4BFE-AEB1-4E42C75073E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I7:I1048576</xm:sqref>
        </x14:conditionalFormatting>
        <x14:conditionalFormatting xmlns:xm="http://schemas.microsoft.com/office/excel/2006/main">
          <x14:cfRule type="iconSet" priority="14" id="{332D88D1-D96D-4E43-A678-BB0547B771E5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J22:K1048576 J7:J21</xm:sqref>
        </x14:conditionalFormatting>
        <x14:conditionalFormatting xmlns:xm="http://schemas.microsoft.com/office/excel/2006/main">
          <x14:cfRule type="iconSet" priority="8" id="{2EC2AF81-35F9-4797-A4AE-902B9E049606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N7:N1048576</xm:sqref>
        </x14:conditionalFormatting>
        <x14:conditionalFormatting xmlns:xm="http://schemas.microsoft.com/office/excel/2006/main">
          <x14:cfRule type="iconSet" priority="7" id="{35AC6271-665F-4413-B614-D5C4000F5B2A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P7:P1048576</xm:sqref>
        </x14:conditionalFormatting>
        <x14:conditionalFormatting xmlns:xm="http://schemas.microsoft.com/office/excel/2006/main">
          <x14:cfRule type="iconSet" priority="4" id="{E250AF51-2C09-4728-98CF-84E346054278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M3</xm:sqref>
        </x14:conditionalFormatting>
        <x14:conditionalFormatting xmlns:xm="http://schemas.microsoft.com/office/excel/2006/main">
          <x14:cfRule type="iconSet" priority="3" id="{D7EE4205-0D60-4F8F-9E41-629E33CD231E}">
            <x14:iconSet iconSet="3Triangles">
              <x14:cfvo type="percent">
                <xm:f>0</xm:f>
              </x14:cfvo>
              <x14:cfvo type="percent" gte="0">
                <xm:f>0</xm:f>
              </x14:cfvo>
              <x14:cfvo type="num" gte="0">
                <xm:f>0</xm:f>
              </x14:cfvo>
            </x14:iconSet>
          </x14:cfRule>
          <xm:sqref>N3</xm:sqref>
        </x14:conditionalFormatting>
        <x14:conditionalFormatting xmlns:xm="http://schemas.microsoft.com/office/excel/2006/main">
          <x14:cfRule type="iconSet" priority="57" id="{B3E1CC0F-0E81-44BD-8061-EF9A88D125B7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O3</xm:sqref>
        </x14:conditionalFormatting>
        <x14:conditionalFormatting xmlns:xm="http://schemas.microsoft.com/office/excel/2006/main">
          <x14:cfRule type="iconSet" priority="58" id="{931B7D78-35A5-45B8-BC73-CD02404729A2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P3 R3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E80D-59D8-4723-85A5-876240ACB1E5}">
  <sheetPr codeName="Hoja10"/>
  <dimension ref="B35"/>
  <sheetViews>
    <sheetView showGridLines="0" topLeftCell="B4" workbookViewId="0">
      <selection activeCell="P23" sqref="P23"/>
    </sheetView>
  </sheetViews>
  <sheetFormatPr baseColWidth="10" defaultColWidth="10.69921875" defaultRowHeight="15.6" x14ac:dyDescent="0.3"/>
  <cols>
    <col min="2" max="3" width="17.59765625" bestFit="1" customWidth="1"/>
  </cols>
  <sheetData>
    <row r="35" spans="2:2" x14ac:dyDescent="0.3">
      <c r="B35" t="s">
        <v>100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A32DB-D573-B245-A268-5973BABB3854}">
  <sheetPr codeName="Hoja6"/>
  <dimension ref="C3:J22"/>
  <sheetViews>
    <sheetView showGridLines="0" topLeftCell="A5" workbookViewId="0">
      <selection activeCell="C11" sqref="C11"/>
    </sheetView>
  </sheetViews>
  <sheetFormatPr baseColWidth="10" defaultColWidth="10.69921875" defaultRowHeight="15.6" x14ac:dyDescent="0.3"/>
  <cols>
    <col min="3" max="3" width="30.69921875" customWidth="1"/>
    <col min="12" max="12" width="10.69921875" customWidth="1"/>
  </cols>
  <sheetData>
    <row r="3" spans="3:10" ht="28.8" x14ac:dyDescent="0.55000000000000004">
      <c r="C3" s="43" t="s">
        <v>64</v>
      </c>
      <c r="D3" s="1"/>
      <c r="E3" s="1"/>
      <c r="F3" s="1"/>
    </row>
    <row r="4" spans="3:10" x14ac:dyDescent="0.3">
      <c r="C4" s="44"/>
      <c r="F4" s="46"/>
      <c r="H4" s="101"/>
    </row>
    <row r="5" spans="3:10" ht="21" x14ac:dyDescent="0.4">
      <c r="C5" s="48">
        <f ca="1">SUM('Libro Mayor'!AB40:AD40,'Libro Mayor'!AG40:AR40,'Libro Mayor'!AU40:BF40,'Libro Mayor'!BI40:BT40,'Libro Mayor'!BW40:CH40,'Libro Mayor'!CK40:CV40,'Libro Mayor'!CY40:DJ40,'Libro Mayor'!DM40:DX40,'Libro Mayor'!EA40:EL40,'Libro Mayor'!EO40:EZ40)</f>
        <v>0</v>
      </c>
      <c r="F5" s="46"/>
    </row>
    <row r="6" spans="3:10" x14ac:dyDescent="0.3">
      <c r="C6" s="45" t="s">
        <v>69</v>
      </c>
      <c r="D6" s="42"/>
      <c r="E6" s="42"/>
      <c r="F6" s="47"/>
    </row>
    <row r="7" spans="3:10" ht="10.8" customHeight="1" x14ac:dyDescent="0.3">
      <c r="J7" s="49"/>
    </row>
    <row r="8" spans="3:10" ht="24.6" customHeight="1" x14ac:dyDescent="0.55000000000000004">
      <c r="C8" s="43" t="s">
        <v>110</v>
      </c>
      <c r="D8" s="1"/>
      <c r="E8" s="1"/>
      <c r="F8" s="1"/>
    </row>
    <row r="9" spans="3:10" x14ac:dyDescent="0.3">
      <c r="C9" s="44"/>
      <c r="F9" s="46"/>
    </row>
    <row r="10" spans="3:10" ht="21" x14ac:dyDescent="0.4">
      <c r="C10" s="48">
        <f ca="1">IF(C5&gt;0,
    SUM('Libro Mayor'!E43:P43, 'Libro Mayor'!S43:AD43, 'Libro Mayor'!AG43:AR43, 'Libro Mayor'!AU43:BF43, 'Libro Mayor'!BI43:BT43, 'Libro Mayor'!BW43:CH43, 'Libro Mayor'!CK43:CV43, 'Libro Mayor'!CY43:DJ43, 'Libro Mayor'!DM43:DX43, 'Libro Mayor'!EA43:EL43, 'Libro Mayor'!EO43:EZ43),
    SUM('Libro Mayor'!E43:P43, 'Libro Mayor'!S43:AD43, 'Libro Mayor'!AG43:AR43, 'Libro Mayor'!AU43:BF43, 'Libro Mayor'!BI43:BT43, 'Libro Mayor'!BW43:CH43, 'Libro Mayor'!CK43:CV43, 'Libro Mayor'!CY43:DJ43, 'Libro Mayor'!DM43:DX43, 'Libro Mayor'!EA43:EL43, 'Libro Mayor'!EO43:EZ43) + C5
)</f>
        <v>0</v>
      </c>
      <c r="F10" s="46"/>
    </row>
    <row r="11" spans="3:10" x14ac:dyDescent="0.3">
      <c r="C11" s="45" t="s">
        <v>69</v>
      </c>
      <c r="D11" s="42"/>
      <c r="E11" s="42"/>
      <c r="F11" s="47"/>
    </row>
    <row r="13" spans="3:10" ht="28.8" x14ac:dyDescent="0.55000000000000004">
      <c r="C13" s="13" t="s">
        <v>46</v>
      </c>
      <c r="D13" s="1"/>
      <c r="E13" s="1"/>
      <c r="F13" s="1"/>
    </row>
    <row r="14" spans="3:10" x14ac:dyDescent="0.3">
      <c r="C14" s="44"/>
      <c r="F14" s="46"/>
    </row>
    <row r="15" spans="3:10" ht="21" x14ac:dyDescent="0.4">
      <c r="C15" s="48">
        <f ca="1">'Cartera Inversión'!K3+'Cartera Inversión'!L3</f>
        <v>0</v>
      </c>
      <c r="F15" s="46"/>
    </row>
    <row r="16" spans="3:10" x14ac:dyDescent="0.3">
      <c r="C16" s="45"/>
      <c r="D16" s="42"/>
      <c r="E16" s="42"/>
      <c r="F16" s="47"/>
    </row>
    <row r="18" spans="3:9" ht="28.8" x14ac:dyDescent="0.55000000000000004">
      <c r="C18" s="13" t="s">
        <v>47</v>
      </c>
      <c r="D18" s="1"/>
      <c r="E18" s="1"/>
      <c r="F18" s="1"/>
    </row>
    <row r="19" spans="3:9" x14ac:dyDescent="0.3">
      <c r="C19" s="44"/>
      <c r="F19" s="46"/>
    </row>
    <row r="20" spans="3:9" ht="21" x14ac:dyDescent="0.4">
      <c r="C20" s="48">
        <f ca="1">C10+C15</f>
        <v>0</v>
      </c>
      <c r="F20" s="46"/>
    </row>
    <row r="21" spans="3:9" x14ac:dyDescent="0.3">
      <c r="C21" s="45"/>
      <c r="D21" s="42"/>
      <c r="E21" s="42"/>
      <c r="F21" s="47"/>
    </row>
    <row r="22" spans="3:9" x14ac:dyDescent="0.3">
      <c r="I22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Ajustes</vt:lpstr>
      <vt:lpstr>Cálculos</vt:lpstr>
      <vt:lpstr>Presupuestos de Gastos</vt:lpstr>
      <vt:lpstr>Libro Mayor</vt:lpstr>
      <vt:lpstr>Libro Diario</vt:lpstr>
      <vt:lpstr>Dashboard I&amp;G</vt:lpstr>
      <vt:lpstr>Transacciones Inversión</vt:lpstr>
      <vt:lpstr>Cartera Inversión</vt:lpstr>
      <vt:lpstr>Dashboard Inversión</vt:lpstr>
      <vt:lpstr>Patrimonio</vt:lpstr>
      <vt:lpstr>Año_de_inicio</vt:lpstr>
      <vt:lpstr>Cambio_Ingresos_tardios_dia_inicio</vt:lpstr>
      <vt:lpstr>Cambio_Ingresos_tardios_estatus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 riera guardia</dc:creator>
  <cp:lastModifiedBy>PAU RIERA GUARDIA</cp:lastModifiedBy>
  <cp:lastPrinted>2023-11-30T16:26:00Z</cp:lastPrinted>
  <dcterms:created xsi:type="dcterms:W3CDTF">2023-09-05T08:56:25Z</dcterms:created>
  <dcterms:modified xsi:type="dcterms:W3CDTF">2024-10-25T14:58:39Z</dcterms:modified>
</cp:coreProperties>
</file>